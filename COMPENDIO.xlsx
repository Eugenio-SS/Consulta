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5497FFE7-EAC0-4171-AF99-2A240E10B144}" xr6:coauthVersionLast="47" xr6:coauthVersionMax="47" xr10:uidLastSave="{00000000-0000-0000-0000-000000000000}"/>
  <bookViews>
    <workbookView xWindow="-120" yWindow="-120" windowWidth="29040" windowHeight="15720" xr2:uid="{F07B00B4-EA88-4ACA-B4E3-2F065E1DC7B4}"/>
  </bookViews>
  <sheets>
    <sheet name="BASE" sheetId="1" r:id="rId1"/>
    <sheet name="CF" sheetId="2" r:id="rId2"/>
    <sheet name="AROS" sheetId="3" r:id="rId3"/>
    <sheet name="Hoja1" sheetId="4" r:id="rId4"/>
  </sheets>
  <externalReferences>
    <externalReference r:id="rId5"/>
    <externalReference r:id="rId6"/>
  </externalReferences>
  <definedNames>
    <definedName name="_xlnm._FilterDatabase" localSheetId="2" hidden="1">AROS!$A$1:$K$878</definedName>
    <definedName name="_xlnm._FilterDatabase" localSheetId="0" hidden="1">BASE!$A$1:$K$961</definedName>
    <definedName name="_xlnm._FilterDatabase" localSheetId="1" hidden="1">CF!$A$1:$K$844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M50" i="1"/>
  <c r="N50" i="1"/>
  <c r="O50" i="1"/>
  <c r="M51" i="1"/>
  <c r="N51" i="1"/>
  <c r="O51" i="1"/>
  <c r="M52" i="1"/>
  <c r="N52" i="1"/>
  <c r="O52" i="1"/>
  <c r="M53" i="1"/>
  <c r="N53" i="1"/>
  <c r="O53" i="1"/>
  <c r="M54" i="1"/>
  <c r="N54" i="1"/>
  <c r="O54" i="1"/>
  <c r="M55" i="1"/>
  <c r="N55" i="1"/>
  <c r="O55" i="1"/>
  <c r="M56" i="1"/>
  <c r="N56" i="1"/>
  <c r="O56" i="1"/>
  <c r="M57" i="1"/>
  <c r="N57" i="1"/>
  <c r="O57" i="1"/>
  <c r="M58" i="1"/>
  <c r="N58" i="1"/>
  <c r="O58" i="1"/>
  <c r="M59" i="1"/>
  <c r="N59" i="1"/>
  <c r="O59" i="1"/>
  <c r="M60" i="1"/>
  <c r="N60" i="1"/>
  <c r="O60" i="1"/>
  <c r="M61" i="1"/>
  <c r="N61" i="1"/>
  <c r="O61" i="1"/>
  <c r="M62" i="1"/>
  <c r="N62" i="1"/>
  <c r="O62" i="1"/>
  <c r="M63" i="1"/>
  <c r="N63" i="1"/>
  <c r="O63" i="1"/>
  <c r="M64" i="1"/>
  <c r="N64" i="1"/>
  <c r="O64" i="1"/>
  <c r="M65" i="1"/>
  <c r="N65" i="1"/>
  <c r="O65" i="1"/>
  <c r="M66" i="1"/>
  <c r="N66" i="1"/>
  <c r="O66" i="1"/>
  <c r="M67" i="1"/>
  <c r="N67" i="1"/>
  <c r="O67" i="1"/>
  <c r="M68" i="1"/>
  <c r="N68" i="1"/>
  <c r="O68" i="1"/>
  <c r="M69" i="1"/>
  <c r="N69" i="1"/>
  <c r="O69" i="1"/>
  <c r="M70" i="1"/>
  <c r="N70" i="1"/>
  <c r="O70" i="1"/>
  <c r="M71" i="1"/>
  <c r="N71" i="1"/>
  <c r="O71" i="1"/>
  <c r="M72" i="1"/>
  <c r="N72" i="1"/>
  <c r="O72" i="1"/>
  <c r="M73" i="1"/>
  <c r="N73" i="1"/>
  <c r="O73" i="1"/>
  <c r="M74" i="1"/>
  <c r="N74" i="1"/>
  <c r="O74" i="1"/>
  <c r="M75" i="1"/>
  <c r="N75" i="1"/>
  <c r="O75" i="1"/>
  <c r="M76" i="1"/>
  <c r="N76" i="1"/>
  <c r="O76" i="1"/>
  <c r="M77" i="1"/>
  <c r="N77" i="1"/>
  <c r="O77" i="1"/>
  <c r="M78" i="1"/>
  <c r="N78" i="1"/>
  <c r="O78" i="1"/>
  <c r="M79" i="1"/>
  <c r="N79" i="1"/>
  <c r="O79" i="1"/>
  <c r="M80" i="1"/>
  <c r="N80" i="1"/>
  <c r="O80" i="1"/>
  <c r="M81" i="1"/>
  <c r="N81" i="1"/>
  <c r="O81" i="1"/>
  <c r="M82" i="1"/>
  <c r="N82" i="1"/>
  <c r="O82" i="1"/>
  <c r="M83" i="1"/>
  <c r="N83" i="1"/>
  <c r="O83" i="1"/>
  <c r="M84" i="1"/>
  <c r="N84" i="1"/>
  <c r="O84" i="1"/>
  <c r="M85" i="1"/>
  <c r="N85" i="1"/>
  <c r="O85" i="1"/>
  <c r="M86" i="1"/>
  <c r="N86" i="1"/>
  <c r="O86" i="1"/>
  <c r="M87" i="1"/>
  <c r="N87" i="1"/>
  <c r="O87" i="1"/>
  <c r="M88" i="1"/>
  <c r="N88" i="1"/>
  <c r="O88" i="1"/>
  <c r="M89" i="1"/>
  <c r="N89" i="1"/>
  <c r="O89" i="1"/>
  <c r="M90" i="1"/>
  <c r="N90" i="1"/>
  <c r="O90" i="1"/>
  <c r="M91" i="1"/>
  <c r="N91" i="1"/>
  <c r="O91" i="1"/>
  <c r="M92" i="1"/>
  <c r="N92" i="1"/>
  <c r="O92" i="1"/>
  <c r="M93" i="1"/>
  <c r="N93" i="1"/>
  <c r="O93" i="1"/>
  <c r="M94" i="1"/>
  <c r="N94" i="1"/>
  <c r="O94" i="1"/>
  <c r="M95" i="1"/>
  <c r="N95" i="1"/>
  <c r="O95" i="1"/>
  <c r="M96" i="1"/>
  <c r="N96" i="1"/>
  <c r="O96" i="1"/>
  <c r="M97" i="1"/>
  <c r="N97" i="1"/>
  <c r="O97" i="1"/>
  <c r="M98" i="1"/>
  <c r="N98" i="1"/>
  <c r="O98" i="1"/>
  <c r="M99" i="1"/>
  <c r="N99" i="1"/>
  <c r="O99" i="1"/>
  <c r="M100" i="1"/>
  <c r="N100" i="1"/>
  <c r="O100" i="1"/>
  <c r="M101" i="1"/>
  <c r="N101" i="1"/>
  <c r="O101" i="1"/>
  <c r="M102" i="1"/>
  <c r="N102" i="1"/>
  <c r="O102" i="1"/>
  <c r="M103" i="1"/>
  <c r="N103" i="1"/>
  <c r="O103" i="1"/>
  <c r="M104" i="1"/>
  <c r="N104" i="1"/>
  <c r="O104" i="1"/>
  <c r="M105" i="1"/>
  <c r="N105" i="1"/>
  <c r="O105" i="1"/>
  <c r="M106" i="1"/>
  <c r="N106" i="1"/>
  <c r="O106" i="1"/>
  <c r="M107" i="1"/>
  <c r="N107" i="1"/>
  <c r="O107" i="1"/>
  <c r="M108" i="1"/>
  <c r="N108" i="1"/>
  <c r="O108" i="1"/>
  <c r="M109" i="1"/>
  <c r="N109" i="1"/>
  <c r="O109" i="1"/>
  <c r="M110" i="1"/>
  <c r="N110" i="1"/>
  <c r="O110" i="1"/>
  <c r="M111" i="1"/>
  <c r="N111" i="1"/>
  <c r="O111" i="1"/>
  <c r="M112" i="1"/>
  <c r="N112" i="1"/>
  <c r="O112" i="1"/>
  <c r="M113" i="1"/>
  <c r="N113" i="1"/>
  <c r="O113" i="1"/>
  <c r="M114" i="1"/>
  <c r="N114" i="1"/>
  <c r="O114" i="1"/>
  <c r="M115" i="1"/>
  <c r="N115" i="1"/>
  <c r="O115" i="1"/>
  <c r="M116" i="1"/>
  <c r="N116" i="1"/>
  <c r="O116" i="1"/>
  <c r="M117" i="1"/>
  <c r="N117" i="1"/>
  <c r="O117" i="1"/>
  <c r="M118" i="1"/>
  <c r="N118" i="1"/>
  <c r="O118" i="1"/>
  <c r="M119" i="1"/>
  <c r="N119" i="1"/>
  <c r="O119" i="1"/>
  <c r="M120" i="1"/>
  <c r="N120" i="1"/>
  <c r="O120" i="1"/>
  <c r="M121" i="1"/>
  <c r="N121" i="1"/>
  <c r="O121" i="1"/>
  <c r="M122" i="1"/>
  <c r="N122" i="1"/>
  <c r="O122" i="1"/>
  <c r="M123" i="1"/>
  <c r="N123" i="1"/>
  <c r="O123" i="1"/>
  <c r="M124" i="1"/>
  <c r="N124" i="1"/>
  <c r="O124" i="1"/>
  <c r="M125" i="1"/>
  <c r="N125" i="1"/>
  <c r="O125" i="1"/>
  <c r="M126" i="1"/>
  <c r="N126" i="1"/>
  <c r="O126" i="1"/>
  <c r="M127" i="1"/>
  <c r="N127" i="1"/>
  <c r="O127" i="1"/>
  <c r="M128" i="1"/>
  <c r="N128" i="1"/>
  <c r="O128" i="1"/>
  <c r="M129" i="1"/>
  <c r="N129" i="1"/>
  <c r="O129" i="1"/>
  <c r="M130" i="1"/>
  <c r="N130" i="1"/>
  <c r="O130" i="1"/>
  <c r="M131" i="1"/>
  <c r="N131" i="1"/>
  <c r="O131" i="1"/>
  <c r="M132" i="1"/>
  <c r="N132" i="1"/>
  <c r="O132" i="1"/>
  <c r="M133" i="1"/>
  <c r="N133" i="1"/>
  <c r="O133" i="1"/>
  <c r="M134" i="1"/>
  <c r="N134" i="1"/>
  <c r="O134" i="1"/>
  <c r="M135" i="1"/>
  <c r="N135" i="1"/>
  <c r="O135" i="1"/>
  <c r="M136" i="1"/>
  <c r="N136" i="1"/>
  <c r="O136" i="1"/>
  <c r="M137" i="1"/>
  <c r="N137" i="1"/>
  <c r="O137" i="1"/>
  <c r="M138" i="1"/>
  <c r="N138" i="1"/>
  <c r="O138" i="1"/>
  <c r="M139" i="1"/>
  <c r="N139" i="1"/>
  <c r="O139" i="1"/>
  <c r="M140" i="1"/>
  <c r="N140" i="1"/>
  <c r="O140" i="1"/>
  <c r="M141" i="1"/>
  <c r="N141" i="1"/>
  <c r="O141" i="1"/>
  <c r="M142" i="1"/>
  <c r="N142" i="1"/>
  <c r="O142" i="1"/>
  <c r="M143" i="1"/>
  <c r="N143" i="1"/>
  <c r="O143" i="1"/>
  <c r="M144" i="1"/>
  <c r="N144" i="1"/>
  <c r="O144" i="1"/>
  <c r="M145" i="1"/>
  <c r="N145" i="1"/>
  <c r="O145" i="1"/>
  <c r="M146" i="1"/>
  <c r="N146" i="1"/>
  <c r="O146" i="1"/>
  <c r="M147" i="1"/>
  <c r="N147" i="1"/>
  <c r="O147" i="1"/>
  <c r="M148" i="1"/>
  <c r="N148" i="1"/>
  <c r="O148" i="1"/>
  <c r="M149" i="1"/>
  <c r="N149" i="1"/>
  <c r="O149" i="1"/>
  <c r="M150" i="1"/>
  <c r="N150" i="1"/>
  <c r="O150" i="1"/>
  <c r="M151" i="1"/>
  <c r="N151" i="1"/>
  <c r="O151" i="1"/>
  <c r="M152" i="1"/>
  <c r="N152" i="1"/>
  <c r="O152" i="1"/>
  <c r="M153" i="1"/>
  <c r="N153" i="1"/>
  <c r="O153" i="1"/>
  <c r="M154" i="1"/>
  <c r="N154" i="1"/>
  <c r="O154" i="1"/>
  <c r="M155" i="1"/>
  <c r="N155" i="1"/>
  <c r="O155" i="1"/>
  <c r="M156" i="1"/>
  <c r="N156" i="1"/>
  <c r="O156" i="1"/>
  <c r="M157" i="1"/>
  <c r="N157" i="1"/>
  <c r="O157" i="1"/>
  <c r="M158" i="1"/>
  <c r="N158" i="1"/>
  <c r="O158" i="1"/>
  <c r="M159" i="1"/>
  <c r="N159" i="1"/>
  <c r="O159" i="1"/>
  <c r="M160" i="1"/>
  <c r="N160" i="1"/>
  <c r="O160" i="1"/>
  <c r="M161" i="1"/>
  <c r="N161" i="1"/>
  <c r="O161" i="1"/>
  <c r="M162" i="1"/>
  <c r="N162" i="1"/>
  <c r="O162" i="1"/>
  <c r="M163" i="1"/>
  <c r="N163" i="1"/>
  <c r="O163" i="1"/>
  <c r="M164" i="1"/>
  <c r="N164" i="1"/>
  <c r="O164" i="1"/>
  <c r="M165" i="1"/>
  <c r="N165" i="1"/>
  <c r="O165" i="1"/>
  <c r="M166" i="1"/>
  <c r="N166" i="1"/>
  <c r="O166" i="1"/>
  <c r="M167" i="1"/>
  <c r="N167" i="1"/>
  <c r="O167" i="1"/>
  <c r="M168" i="1"/>
  <c r="N168" i="1"/>
  <c r="O168" i="1"/>
  <c r="M169" i="1"/>
  <c r="N169" i="1"/>
  <c r="O169" i="1"/>
  <c r="M170" i="1"/>
  <c r="N170" i="1"/>
  <c r="O170" i="1"/>
  <c r="M171" i="1"/>
  <c r="N171" i="1"/>
  <c r="O171" i="1"/>
  <c r="M172" i="1"/>
  <c r="N172" i="1"/>
  <c r="O172" i="1"/>
  <c r="M173" i="1"/>
  <c r="N173" i="1"/>
  <c r="O173" i="1"/>
  <c r="M174" i="1"/>
  <c r="N174" i="1"/>
  <c r="O174" i="1"/>
  <c r="M175" i="1"/>
  <c r="N175" i="1"/>
  <c r="O175" i="1"/>
  <c r="M176" i="1"/>
  <c r="N176" i="1"/>
  <c r="O176" i="1"/>
  <c r="M177" i="1"/>
  <c r="N177" i="1"/>
  <c r="O177" i="1"/>
  <c r="M178" i="1"/>
  <c r="N178" i="1"/>
  <c r="O178" i="1"/>
  <c r="M179" i="1"/>
  <c r="N179" i="1"/>
  <c r="O179" i="1"/>
  <c r="M180" i="1"/>
  <c r="N180" i="1"/>
  <c r="O180" i="1"/>
  <c r="M181" i="1"/>
  <c r="N181" i="1"/>
  <c r="O181" i="1"/>
  <c r="M182" i="1"/>
  <c r="N182" i="1"/>
  <c r="O182" i="1"/>
  <c r="M183" i="1"/>
  <c r="N183" i="1"/>
  <c r="O183" i="1"/>
  <c r="M184" i="1"/>
  <c r="N184" i="1"/>
  <c r="O184" i="1"/>
  <c r="M185" i="1"/>
  <c r="N185" i="1"/>
  <c r="O185" i="1"/>
  <c r="M186" i="1"/>
  <c r="N186" i="1"/>
  <c r="O186" i="1"/>
  <c r="M187" i="1"/>
  <c r="N187" i="1"/>
  <c r="O187" i="1"/>
  <c r="M188" i="1"/>
  <c r="N188" i="1"/>
  <c r="O188" i="1"/>
  <c r="M189" i="1"/>
  <c r="N189" i="1"/>
  <c r="O189" i="1"/>
  <c r="M190" i="1"/>
  <c r="N190" i="1"/>
  <c r="O190" i="1"/>
  <c r="M191" i="1"/>
  <c r="N191" i="1"/>
  <c r="O191" i="1"/>
  <c r="M192" i="1"/>
  <c r="N192" i="1"/>
  <c r="O192" i="1"/>
  <c r="M193" i="1"/>
  <c r="N193" i="1"/>
  <c r="O193" i="1"/>
  <c r="M194" i="1"/>
  <c r="N194" i="1"/>
  <c r="O194" i="1"/>
  <c r="M195" i="1"/>
  <c r="N195" i="1"/>
  <c r="O195" i="1"/>
  <c r="M196" i="1"/>
  <c r="N196" i="1"/>
  <c r="O196" i="1"/>
  <c r="M197" i="1"/>
  <c r="N197" i="1"/>
  <c r="O197" i="1"/>
  <c r="M198" i="1"/>
  <c r="N198" i="1"/>
  <c r="O198" i="1"/>
  <c r="M199" i="1"/>
  <c r="N199" i="1"/>
  <c r="O199" i="1"/>
  <c r="M200" i="1"/>
  <c r="N200" i="1"/>
  <c r="O200" i="1"/>
  <c r="M201" i="1"/>
  <c r="N201" i="1"/>
  <c r="O201" i="1"/>
  <c r="M202" i="1"/>
  <c r="N202" i="1"/>
  <c r="O202" i="1"/>
  <c r="M203" i="1"/>
  <c r="N203" i="1"/>
  <c r="O203" i="1"/>
  <c r="M204" i="1"/>
  <c r="N204" i="1"/>
  <c r="O204" i="1"/>
  <c r="M205" i="1"/>
  <c r="N205" i="1"/>
  <c r="O205" i="1"/>
  <c r="M206" i="1"/>
  <c r="N206" i="1"/>
  <c r="O206" i="1"/>
  <c r="M207" i="1"/>
  <c r="N207" i="1"/>
  <c r="O207" i="1"/>
  <c r="M208" i="1"/>
  <c r="N208" i="1"/>
  <c r="O208" i="1"/>
  <c r="M209" i="1"/>
  <c r="N209" i="1"/>
  <c r="O209" i="1"/>
  <c r="M210" i="1"/>
  <c r="N210" i="1"/>
  <c r="O210" i="1"/>
  <c r="M211" i="1"/>
  <c r="N211" i="1"/>
  <c r="O211" i="1"/>
  <c r="M212" i="1"/>
  <c r="N212" i="1"/>
  <c r="O212" i="1"/>
  <c r="M213" i="1"/>
  <c r="N213" i="1"/>
  <c r="O213" i="1"/>
  <c r="M214" i="1"/>
  <c r="N214" i="1"/>
  <c r="O214" i="1"/>
  <c r="M215" i="1"/>
  <c r="N215" i="1"/>
  <c r="O215" i="1"/>
  <c r="M216" i="1"/>
  <c r="N216" i="1"/>
  <c r="O216" i="1"/>
  <c r="M217" i="1"/>
  <c r="N217" i="1"/>
  <c r="O217" i="1"/>
  <c r="M218" i="1"/>
  <c r="N218" i="1"/>
  <c r="O218" i="1"/>
  <c r="M219" i="1"/>
  <c r="N219" i="1"/>
  <c r="O219" i="1"/>
  <c r="M220" i="1"/>
  <c r="N220" i="1"/>
  <c r="O220" i="1"/>
  <c r="M221" i="1"/>
  <c r="N221" i="1"/>
  <c r="O221" i="1"/>
  <c r="M222" i="1"/>
  <c r="N222" i="1"/>
  <c r="O222" i="1"/>
  <c r="M223" i="1"/>
  <c r="N223" i="1"/>
  <c r="O223" i="1"/>
  <c r="M224" i="1"/>
  <c r="N224" i="1"/>
  <c r="O224" i="1"/>
  <c r="M225" i="1"/>
  <c r="N225" i="1"/>
  <c r="O225" i="1"/>
  <c r="M226" i="1"/>
  <c r="N226" i="1"/>
  <c r="O226" i="1"/>
  <c r="M227" i="1"/>
  <c r="N227" i="1"/>
  <c r="O227" i="1"/>
  <c r="M228" i="1"/>
  <c r="N228" i="1"/>
  <c r="O228" i="1"/>
  <c r="M229" i="1"/>
  <c r="N229" i="1"/>
  <c r="O229" i="1"/>
  <c r="M230" i="1"/>
  <c r="N230" i="1"/>
  <c r="O230" i="1"/>
  <c r="M231" i="1"/>
  <c r="N231" i="1"/>
  <c r="O231" i="1"/>
  <c r="M232" i="1"/>
  <c r="N232" i="1"/>
  <c r="O232" i="1"/>
  <c r="M233" i="1"/>
  <c r="N233" i="1"/>
  <c r="O233" i="1"/>
  <c r="M234" i="1"/>
  <c r="N234" i="1"/>
  <c r="O234" i="1"/>
  <c r="M235" i="1"/>
  <c r="N235" i="1"/>
  <c r="O235" i="1"/>
  <c r="M236" i="1"/>
  <c r="N236" i="1"/>
  <c r="O236" i="1"/>
  <c r="M237" i="1"/>
  <c r="N237" i="1"/>
  <c r="O237" i="1"/>
  <c r="M238" i="1"/>
  <c r="N238" i="1"/>
  <c r="O238" i="1"/>
  <c r="M239" i="1"/>
  <c r="N239" i="1"/>
  <c r="O239" i="1"/>
  <c r="M240" i="1"/>
  <c r="N240" i="1"/>
  <c r="O240" i="1"/>
  <c r="M241" i="1"/>
  <c r="N241" i="1"/>
  <c r="O241" i="1"/>
  <c r="M242" i="1"/>
  <c r="N242" i="1"/>
  <c r="O242" i="1"/>
  <c r="M243" i="1"/>
  <c r="N243" i="1"/>
  <c r="O243" i="1"/>
  <c r="M244" i="1"/>
  <c r="N244" i="1"/>
  <c r="O244" i="1"/>
  <c r="M245" i="1"/>
  <c r="N245" i="1"/>
  <c r="O245" i="1"/>
  <c r="M246" i="1"/>
  <c r="N246" i="1"/>
  <c r="O246" i="1"/>
  <c r="M247" i="1"/>
  <c r="N247" i="1"/>
  <c r="O247" i="1"/>
  <c r="M248" i="1"/>
  <c r="N248" i="1"/>
  <c r="O248" i="1"/>
  <c r="M249" i="1"/>
  <c r="N249" i="1"/>
  <c r="O249" i="1"/>
  <c r="M250" i="1"/>
  <c r="N250" i="1"/>
  <c r="O250" i="1"/>
  <c r="M251" i="1"/>
  <c r="N251" i="1"/>
  <c r="O251" i="1"/>
  <c r="M252" i="1"/>
  <c r="N252" i="1"/>
  <c r="O252" i="1"/>
  <c r="M253" i="1"/>
  <c r="N253" i="1"/>
  <c r="O253" i="1"/>
  <c r="M254" i="1"/>
  <c r="N254" i="1"/>
  <c r="O254" i="1"/>
  <c r="M255" i="1"/>
  <c r="N255" i="1"/>
  <c r="O255" i="1"/>
  <c r="M256" i="1"/>
  <c r="N256" i="1"/>
  <c r="O256" i="1"/>
  <c r="M257" i="1"/>
  <c r="N257" i="1"/>
  <c r="O257" i="1"/>
  <c r="M258" i="1"/>
  <c r="N258" i="1"/>
  <c r="O258" i="1"/>
  <c r="M259" i="1"/>
  <c r="N259" i="1"/>
  <c r="O259" i="1"/>
  <c r="M260" i="1"/>
  <c r="N260" i="1"/>
  <c r="O260" i="1"/>
  <c r="M261" i="1"/>
  <c r="N261" i="1"/>
  <c r="O261" i="1"/>
  <c r="M262" i="1"/>
  <c r="N262" i="1"/>
  <c r="O262" i="1"/>
  <c r="M263" i="1"/>
  <c r="N263" i="1"/>
  <c r="O263" i="1"/>
  <c r="M264" i="1"/>
  <c r="N264" i="1"/>
  <c r="O264" i="1"/>
  <c r="M265" i="1"/>
  <c r="N265" i="1"/>
  <c r="O265" i="1"/>
  <c r="M266" i="1"/>
  <c r="N266" i="1"/>
  <c r="O266" i="1"/>
  <c r="M267" i="1"/>
  <c r="N267" i="1"/>
  <c r="O267" i="1"/>
  <c r="M268" i="1"/>
  <c r="N268" i="1"/>
  <c r="O268" i="1"/>
  <c r="M269" i="1"/>
  <c r="N269" i="1"/>
  <c r="O269" i="1"/>
  <c r="M270" i="1"/>
  <c r="N270" i="1"/>
  <c r="O270" i="1"/>
  <c r="M271" i="1"/>
  <c r="N271" i="1"/>
  <c r="O271" i="1"/>
  <c r="M272" i="1"/>
  <c r="N272" i="1"/>
  <c r="O272" i="1"/>
  <c r="M273" i="1"/>
  <c r="N273" i="1"/>
  <c r="O273" i="1"/>
  <c r="M274" i="1"/>
  <c r="N274" i="1"/>
  <c r="O274" i="1"/>
  <c r="M275" i="1"/>
  <c r="N275" i="1"/>
  <c r="O275" i="1"/>
  <c r="M276" i="1"/>
  <c r="N276" i="1"/>
  <c r="O276" i="1"/>
  <c r="M277" i="1"/>
  <c r="N277" i="1"/>
  <c r="O277" i="1"/>
  <c r="M278" i="1"/>
  <c r="N278" i="1"/>
  <c r="O278" i="1"/>
  <c r="M279" i="1"/>
  <c r="N279" i="1"/>
  <c r="O279" i="1"/>
  <c r="M280" i="1"/>
  <c r="N280" i="1"/>
  <c r="O280" i="1"/>
  <c r="M281" i="1"/>
  <c r="N281" i="1"/>
  <c r="O281" i="1"/>
  <c r="M282" i="1"/>
  <c r="N282" i="1"/>
  <c r="O282" i="1"/>
  <c r="M283" i="1"/>
  <c r="N283" i="1"/>
  <c r="O283" i="1"/>
  <c r="M284" i="1"/>
  <c r="N284" i="1"/>
  <c r="O284" i="1"/>
  <c r="M285" i="1"/>
  <c r="N285" i="1"/>
  <c r="O285" i="1"/>
  <c r="M286" i="1"/>
  <c r="N286" i="1"/>
  <c r="O286" i="1"/>
  <c r="M287" i="1"/>
  <c r="N287" i="1"/>
  <c r="O287" i="1"/>
  <c r="M288" i="1"/>
  <c r="N288" i="1"/>
  <c r="O288" i="1"/>
  <c r="M289" i="1"/>
  <c r="N289" i="1"/>
  <c r="O289" i="1"/>
  <c r="M290" i="1"/>
  <c r="N290" i="1"/>
  <c r="O290" i="1"/>
  <c r="M291" i="1"/>
  <c r="N291" i="1"/>
  <c r="O291" i="1"/>
  <c r="M292" i="1"/>
  <c r="N292" i="1"/>
  <c r="O292" i="1"/>
  <c r="M293" i="1"/>
  <c r="N293" i="1"/>
  <c r="O293" i="1"/>
  <c r="M294" i="1"/>
  <c r="N294" i="1"/>
  <c r="O294" i="1"/>
  <c r="M295" i="1"/>
  <c r="N295" i="1"/>
  <c r="O295" i="1"/>
  <c r="M296" i="1"/>
  <c r="N296" i="1"/>
  <c r="O296" i="1"/>
  <c r="M297" i="1"/>
  <c r="N297" i="1"/>
  <c r="O297" i="1"/>
  <c r="M298" i="1"/>
  <c r="N298" i="1"/>
  <c r="O298" i="1"/>
  <c r="M299" i="1"/>
  <c r="N299" i="1"/>
  <c r="O299" i="1"/>
  <c r="M300" i="1"/>
  <c r="N300" i="1"/>
  <c r="O300" i="1"/>
  <c r="M301" i="1"/>
  <c r="N301" i="1"/>
  <c r="O301" i="1"/>
  <c r="M302" i="1"/>
  <c r="N302" i="1"/>
  <c r="O302" i="1"/>
  <c r="M303" i="1"/>
  <c r="N303" i="1"/>
  <c r="O303" i="1"/>
  <c r="M304" i="1"/>
  <c r="N304" i="1"/>
  <c r="O304" i="1"/>
  <c r="M305" i="1"/>
  <c r="N305" i="1"/>
  <c r="O305" i="1"/>
  <c r="M306" i="1"/>
  <c r="N306" i="1"/>
  <c r="O306" i="1"/>
  <c r="M307" i="1"/>
  <c r="N307" i="1"/>
  <c r="O307" i="1"/>
  <c r="M308" i="1"/>
  <c r="N308" i="1"/>
  <c r="O308" i="1"/>
  <c r="M309" i="1"/>
  <c r="N309" i="1"/>
  <c r="O309" i="1"/>
  <c r="M310" i="1"/>
  <c r="N310" i="1"/>
  <c r="O310" i="1"/>
  <c r="M311" i="1"/>
  <c r="N311" i="1"/>
  <c r="O311" i="1"/>
  <c r="M312" i="1"/>
  <c r="N312" i="1"/>
  <c r="O312" i="1"/>
  <c r="M313" i="1"/>
  <c r="N313" i="1"/>
  <c r="O313" i="1"/>
  <c r="M314" i="1"/>
  <c r="N314" i="1"/>
  <c r="O314" i="1"/>
  <c r="M315" i="1"/>
  <c r="N315" i="1"/>
  <c r="O315" i="1"/>
  <c r="M316" i="1"/>
  <c r="N316" i="1"/>
  <c r="O316" i="1"/>
  <c r="M317" i="1"/>
  <c r="N317" i="1"/>
  <c r="O317" i="1"/>
  <c r="M318" i="1"/>
  <c r="N318" i="1"/>
  <c r="O318" i="1"/>
  <c r="M319" i="1"/>
  <c r="N319" i="1"/>
  <c r="O319" i="1"/>
  <c r="M320" i="1"/>
  <c r="N320" i="1"/>
  <c r="O320" i="1"/>
  <c r="M321" i="1"/>
  <c r="N321" i="1"/>
  <c r="O321" i="1"/>
  <c r="M322" i="1"/>
  <c r="N322" i="1"/>
  <c r="O322" i="1"/>
  <c r="M323" i="1"/>
  <c r="N323" i="1"/>
  <c r="O323" i="1"/>
  <c r="M324" i="1"/>
  <c r="N324" i="1"/>
  <c r="O324" i="1"/>
  <c r="M325" i="1"/>
  <c r="N325" i="1"/>
  <c r="O325" i="1"/>
  <c r="M326" i="1"/>
  <c r="N326" i="1"/>
  <c r="O326" i="1"/>
  <c r="M327" i="1"/>
  <c r="N327" i="1"/>
  <c r="O327" i="1"/>
  <c r="M328" i="1"/>
  <c r="N328" i="1"/>
  <c r="O328" i="1"/>
  <c r="M329" i="1"/>
  <c r="N329" i="1"/>
  <c r="O329" i="1"/>
  <c r="M330" i="1"/>
  <c r="N330" i="1"/>
  <c r="O330" i="1"/>
  <c r="M331" i="1"/>
  <c r="N331" i="1"/>
  <c r="O331" i="1"/>
  <c r="M332" i="1"/>
  <c r="N332" i="1"/>
  <c r="O332" i="1"/>
  <c r="M333" i="1"/>
  <c r="N333" i="1"/>
  <c r="O333" i="1"/>
  <c r="M334" i="1"/>
  <c r="N334" i="1"/>
  <c r="O334" i="1"/>
  <c r="M335" i="1"/>
  <c r="N335" i="1"/>
  <c r="O335" i="1"/>
  <c r="M336" i="1"/>
  <c r="N336" i="1"/>
  <c r="O336" i="1"/>
  <c r="M337" i="1"/>
  <c r="N337" i="1"/>
  <c r="O337" i="1"/>
  <c r="M338" i="1"/>
  <c r="N338" i="1"/>
  <c r="O338" i="1"/>
  <c r="M339" i="1"/>
  <c r="N339" i="1"/>
  <c r="O339" i="1"/>
  <c r="M340" i="1"/>
  <c r="N340" i="1"/>
  <c r="O340" i="1"/>
  <c r="M341" i="1"/>
  <c r="N341" i="1"/>
  <c r="O341" i="1"/>
  <c r="M342" i="1"/>
  <c r="N342" i="1"/>
  <c r="O342" i="1"/>
  <c r="M343" i="1"/>
  <c r="N343" i="1"/>
  <c r="O343" i="1"/>
  <c r="M344" i="1"/>
  <c r="N344" i="1"/>
  <c r="O344" i="1"/>
  <c r="M345" i="1"/>
  <c r="N345" i="1"/>
  <c r="O345" i="1"/>
  <c r="M346" i="1"/>
  <c r="N346" i="1"/>
  <c r="O346" i="1"/>
  <c r="M347" i="1"/>
  <c r="N347" i="1"/>
  <c r="O347" i="1"/>
  <c r="M348" i="1"/>
  <c r="N348" i="1"/>
  <c r="O348" i="1"/>
  <c r="M349" i="1"/>
  <c r="N349" i="1"/>
  <c r="O349" i="1"/>
  <c r="M350" i="1"/>
  <c r="N350" i="1"/>
  <c r="O350" i="1"/>
  <c r="M351" i="1"/>
  <c r="N351" i="1"/>
  <c r="O351" i="1"/>
  <c r="M352" i="1"/>
  <c r="N352" i="1"/>
  <c r="O352" i="1"/>
  <c r="M353" i="1"/>
  <c r="N353" i="1"/>
  <c r="O353" i="1"/>
  <c r="M354" i="1"/>
  <c r="N354" i="1"/>
  <c r="O354" i="1"/>
  <c r="M355" i="1"/>
  <c r="N355" i="1"/>
  <c r="O355" i="1"/>
  <c r="M356" i="1"/>
  <c r="N356" i="1"/>
  <c r="O356" i="1"/>
  <c r="M357" i="1"/>
  <c r="N357" i="1"/>
  <c r="O357" i="1"/>
  <c r="M358" i="1"/>
  <c r="N358" i="1"/>
  <c r="O358" i="1"/>
  <c r="M359" i="1"/>
  <c r="N359" i="1"/>
  <c r="O359" i="1"/>
  <c r="M360" i="1"/>
  <c r="N360" i="1"/>
  <c r="O360" i="1"/>
  <c r="M361" i="1"/>
  <c r="N361" i="1"/>
  <c r="O361" i="1"/>
  <c r="M362" i="1"/>
  <c r="N362" i="1"/>
  <c r="O362" i="1"/>
  <c r="M363" i="1"/>
  <c r="N363" i="1"/>
  <c r="O363" i="1"/>
  <c r="M364" i="1"/>
  <c r="N364" i="1"/>
  <c r="O364" i="1"/>
  <c r="M365" i="1"/>
  <c r="N365" i="1"/>
  <c r="O365" i="1"/>
  <c r="M366" i="1"/>
  <c r="N366" i="1"/>
  <c r="O366" i="1"/>
  <c r="M367" i="1"/>
  <c r="N367" i="1"/>
  <c r="O367" i="1"/>
  <c r="M368" i="1"/>
  <c r="N368" i="1"/>
  <c r="O368" i="1"/>
  <c r="M369" i="1"/>
  <c r="N369" i="1"/>
  <c r="O369" i="1"/>
  <c r="M370" i="1"/>
  <c r="N370" i="1"/>
  <c r="O370" i="1"/>
  <c r="M371" i="1"/>
  <c r="N371" i="1"/>
  <c r="O371" i="1"/>
  <c r="M372" i="1"/>
  <c r="N372" i="1"/>
  <c r="O372" i="1"/>
  <c r="M373" i="1"/>
  <c r="N373" i="1"/>
  <c r="O373" i="1"/>
  <c r="M374" i="1"/>
  <c r="N374" i="1"/>
  <c r="O374" i="1"/>
  <c r="M375" i="1"/>
  <c r="N375" i="1"/>
  <c r="O375" i="1"/>
  <c r="M376" i="1"/>
  <c r="N376" i="1"/>
  <c r="O376" i="1"/>
  <c r="M377" i="1"/>
  <c r="N377" i="1"/>
  <c r="O377" i="1"/>
  <c r="M378" i="1"/>
  <c r="N378" i="1"/>
  <c r="O378" i="1"/>
  <c r="M379" i="1"/>
  <c r="N379" i="1"/>
  <c r="O379" i="1"/>
  <c r="M380" i="1"/>
  <c r="N380" i="1"/>
  <c r="O380" i="1"/>
  <c r="M381" i="1"/>
  <c r="N381" i="1"/>
  <c r="O381" i="1"/>
  <c r="M382" i="1"/>
  <c r="N382" i="1"/>
  <c r="O382" i="1"/>
  <c r="M383" i="1"/>
  <c r="N383" i="1"/>
  <c r="O383" i="1"/>
  <c r="M384" i="1"/>
  <c r="N384" i="1"/>
  <c r="O384" i="1"/>
  <c r="M385" i="1"/>
  <c r="N385" i="1"/>
  <c r="O385" i="1"/>
  <c r="M386" i="1"/>
  <c r="N386" i="1"/>
  <c r="O386" i="1"/>
  <c r="M387" i="1"/>
  <c r="N387" i="1"/>
  <c r="O387" i="1"/>
  <c r="M388" i="1"/>
  <c r="N388" i="1"/>
  <c r="O388" i="1"/>
  <c r="M389" i="1"/>
  <c r="N389" i="1"/>
  <c r="O389" i="1"/>
  <c r="M390" i="1"/>
  <c r="N390" i="1"/>
  <c r="O390" i="1"/>
  <c r="M391" i="1"/>
  <c r="N391" i="1"/>
  <c r="O391" i="1"/>
  <c r="M392" i="1"/>
  <c r="N392" i="1"/>
  <c r="O392" i="1"/>
  <c r="M393" i="1"/>
  <c r="N393" i="1"/>
  <c r="O393" i="1"/>
  <c r="M394" i="1"/>
  <c r="N394" i="1"/>
  <c r="O394" i="1"/>
  <c r="M395" i="1"/>
  <c r="N395" i="1"/>
  <c r="O395" i="1"/>
  <c r="M396" i="1"/>
  <c r="N396" i="1"/>
  <c r="O396" i="1"/>
  <c r="M397" i="1"/>
  <c r="N397" i="1"/>
  <c r="O397" i="1"/>
  <c r="M398" i="1"/>
  <c r="N398" i="1"/>
  <c r="O398" i="1"/>
  <c r="M399" i="1"/>
  <c r="N399" i="1"/>
  <c r="O399" i="1"/>
  <c r="M400" i="1"/>
  <c r="N400" i="1"/>
  <c r="O400" i="1"/>
  <c r="M401" i="1"/>
  <c r="N401" i="1"/>
  <c r="O401" i="1"/>
  <c r="M402" i="1"/>
  <c r="N402" i="1"/>
  <c r="O402" i="1"/>
  <c r="M403" i="1"/>
  <c r="N403" i="1"/>
  <c r="O403" i="1"/>
  <c r="M404" i="1"/>
  <c r="N404" i="1"/>
  <c r="O404" i="1"/>
  <c r="M405" i="1"/>
  <c r="N405" i="1"/>
  <c r="O405" i="1"/>
  <c r="M406" i="1"/>
  <c r="N406" i="1"/>
  <c r="O406" i="1"/>
  <c r="M407" i="1"/>
  <c r="N407" i="1"/>
  <c r="O407" i="1"/>
  <c r="M408" i="1"/>
  <c r="N408" i="1"/>
  <c r="O408" i="1"/>
  <c r="M409" i="1"/>
  <c r="N409" i="1"/>
  <c r="O409" i="1"/>
  <c r="M410" i="1"/>
  <c r="N410" i="1"/>
  <c r="O410" i="1"/>
  <c r="M411" i="1"/>
  <c r="N411" i="1"/>
  <c r="O411" i="1"/>
  <c r="M412" i="1"/>
  <c r="N412" i="1"/>
  <c r="O412" i="1"/>
  <c r="M413" i="1"/>
  <c r="N413" i="1"/>
  <c r="O413" i="1"/>
  <c r="M414" i="1"/>
  <c r="N414" i="1"/>
  <c r="O414" i="1"/>
  <c r="M415" i="1"/>
  <c r="N415" i="1"/>
  <c r="O415" i="1"/>
  <c r="M416" i="1"/>
  <c r="N416" i="1"/>
  <c r="O416" i="1"/>
  <c r="M417" i="1"/>
  <c r="N417" i="1"/>
  <c r="O417" i="1"/>
  <c r="M418" i="1"/>
  <c r="N418" i="1"/>
  <c r="O418" i="1"/>
  <c r="M419" i="1"/>
  <c r="N419" i="1"/>
  <c r="O419" i="1"/>
  <c r="M420" i="1"/>
  <c r="N420" i="1"/>
  <c r="O420" i="1"/>
  <c r="M421" i="1"/>
  <c r="N421" i="1"/>
  <c r="O421" i="1"/>
  <c r="M422" i="1"/>
  <c r="N422" i="1"/>
  <c r="O422" i="1"/>
  <c r="M423" i="1"/>
  <c r="N423" i="1"/>
  <c r="O423" i="1"/>
  <c r="M424" i="1"/>
  <c r="N424" i="1"/>
  <c r="O424" i="1"/>
  <c r="M425" i="1"/>
  <c r="N425" i="1"/>
  <c r="O425" i="1"/>
  <c r="M426" i="1"/>
  <c r="N426" i="1"/>
  <c r="O426" i="1"/>
  <c r="M427" i="1"/>
  <c r="N427" i="1"/>
  <c r="O427" i="1"/>
  <c r="M428" i="1"/>
  <c r="N428" i="1"/>
  <c r="O428" i="1"/>
  <c r="M429" i="1"/>
  <c r="N429" i="1"/>
  <c r="O429" i="1"/>
  <c r="M430" i="1"/>
  <c r="N430" i="1"/>
  <c r="O430" i="1"/>
  <c r="M431" i="1"/>
  <c r="N431" i="1"/>
  <c r="O431" i="1"/>
  <c r="M432" i="1"/>
  <c r="N432" i="1"/>
  <c r="O432" i="1"/>
  <c r="M433" i="1"/>
  <c r="N433" i="1"/>
  <c r="O433" i="1"/>
  <c r="M434" i="1"/>
  <c r="N434" i="1"/>
  <c r="O434" i="1"/>
  <c r="M435" i="1"/>
  <c r="N435" i="1"/>
  <c r="O435" i="1"/>
  <c r="M436" i="1"/>
  <c r="N436" i="1"/>
  <c r="O436" i="1"/>
  <c r="M437" i="1"/>
  <c r="N437" i="1"/>
  <c r="O437" i="1"/>
  <c r="M438" i="1"/>
  <c r="N438" i="1"/>
  <c r="O438" i="1"/>
  <c r="M439" i="1"/>
  <c r="N439" i="1"/>
  <c r="O439" i="1"/>
  <c r="M440" i="1"/>
  <c r="N440" i="1"/>
  <c r="O440" i="1"/>
  <c r="M441" i="1"/>
  <c r="N441" i="1"/>
  <c r="O441" i="1"/>
  <c r="M442" i="1"/>
  <c r="N442" i="1"/>
  <c r="O442" i="1"/>
  <c r="M443" i="1"/>
  <c r="N443" i="1"/>
  <c r="O443" i="1"/>
  <c r="M444" i="1"/>
  <c r="N444" i="1"/>
  <c r="O444" i="1"/>
  <c r="M445" i="1"/>
  <c r="N445" i="1"/>
  <c r="O445" i="1"/>
  <c r="M446" i="1"/>
  <c r="N446" i="1"/>
  <c r="O446" i="1"/>
  <c r="M447" i="1"/>
  <c r="N447" i="1"/>
  <c r="O447" i="1"/>
  <c r="M448" i="1"/>
  <c r="N448" i="1"/>
  <c r="O448" i="1"/>
  <c r="M449" i="1"/>
  <c r="N449" i="1"/>
  <c r="O449" i="1"/>
  <c r="M450" i="1"/>
  <c r="N450" i="1"/>
  <c r="O450" i="1"/>
  <c r="M451" i="1"/>
  <c r="N451" i="1"/>
  <c r="O451" i="1"/>
  <c r="M452" i="1"/>
  <c r="N452" i="1"/>
  <c r="O452" i="1"/>
  <c r="M453" i="1"/>
  <c r="N453" i="1"/>
  <c r="O453" i="1"/>
  <c r="M454" i="1"/>
  <c r="N454" i="1"/>
  <c r="O454" i="1"/>
  <c r="M455" i="1"/>
  <c r="N455" i="1"/>
  <c r="O455" i="1"/>
  <c r="M456" i="1"/>
  <c r="N456" i="1"/>
  <c r="O456" i="1"/>
  <c r="M457" i="1"/>
  <c r="N457" i="1"/>
  <c r="O457" i="1"/>
  <c r="M458" i="1"/>
  <c r="N458" i="1"/>
  <c r="O458" i="1"/>
  <c r="M459" i="1"/>
  <c r="N459" i="1"/>
  <c r="O459" i="1"/>
  <c r="M460" i="1"/>
  <c r="N460" i="1"/>
  <c r="O460" i="1"/>
  <c r="M461" i="1"/>
  <c r="N461" i="1"/>
  <c r="O461" i="1"/>
  <c r="M462" i="1"/>
  <c r="N462" i="1"/>
  <c r="O462" i="1"/>
  <c r="M463" i="1"/>
  <c r="N463" i="1"/>
  <c r="O463" i="1"/>
  <c r="M464" i="1"/>
  <c r="N464" i="1"/>
  <c r="O464" i="1"/>
  <c r="M465" i="1"/>
  <c r="N465" i="1"/>
  <c r="O465" i="1"/>
  <c r="M466" i="1"/>
  <c r="N466" i="1"/>
  <c r="O466" i="1"/>
  <c r="M467" i="1"/>
  <c r="N467" i="1"/>
  <c r="O467" i="1"/>
  <c r="M468" i="1"/>
  <c r="N468" i="1"/>
  <c r="O468" i="1"/>
  <c r="M469" i="1"/>
  <c r="N469" i="1"/>
  <c r="O469" i="1"/>
  <c r="M470" i="1"/>
  <c r="N470" i="1"/>
  <c r="O470" i="1"/>
  <c r="M471" i="1"/>
  <c r="N471" i="1"/>
  <c r="O471" i="1"/>
  <c r="M472" i="1"/>
  <c r="N472" i="1"/>
  <c r="O472" i="1"/>
  <c r="M473" i="1"/>
  <c r="N473" i="1"/>
  <c r="O473" i="1"/>
  <c r="M474" i="1"/>
  <c r="N474" i="1"/>
  <c r="O474" i="1"/>
  <c r="M475" i="1"/>
  <c r="N475" i="1"/>
  <c r="O475" i="1"/>
  <c r="M476" i="1"/>
  <c r="N476" i="1"/>
  <c r="O476" i="1"/>
  <c r="M477" i="1"/>
  <c r="N477" i="1"/>
  <c r="O477" i="1"/>
  <c r="M478" i="1"/>
  <c r="N478" i="1"/>
  <c r="O478" i="1"/>
  <c r="M479" i="1"/>
  <c r="N479" i="1"/>
  <c r="O479" i="1"/>
  <c r="M480" i="1"/>
  <c r="N480" i="1"/>
  <c r="O480" i="1"/>
  <c r="M481" i="1"/>
  <c r="N481" i="1"/>
  <c r="O481" i="1"/>
  <c r="M482" i="1"/>
  <c r="N482" i="1"/>
  <c r="O482" i="1"/>
  <c r="M483" i="1"/>
  <c r="N483" i="1"/>
  <c r="O483" i="1"/>
  <c r="M484" i="1"/>
  <c r="N484" i="1"/>
  <c r="O484" i="1"/>
  <c r="M485" i="1"/>
  <c r="N485" i="1"/>
  <c r="O485" i="1"/>
  <c r="M486" i="1"/>
  <c r="N486" i="1"/>
  <c r="O486" i="1"/>
  <c r="M487" i="1"/>
  <c r="N487" i="1"/>
  <c r="O487" i="1"/>
  <c r="M488" i="1"/>
  <c r="N488" i="1"/>
  <c r="O488" i="1"/>
  <c r="M489" i="1"/>
  <c r="N489" i="1"/>
  <c r="O489" i="1"/>
  <c r="M490" i="1"/>
  <c r="N490" i="1"/>
  <c r="O490" i="1"/>
  <c r="M491" i="1"/>
  <c r="N491" i="1"/>
  <c r="O491" i="1"/>
  <c r="M492" i="1"/>
  <c r="N492" i="1"/>
  <c r="O492" i="1"/>
  <c r="M493" i="1"/>
  <c r="N493" i="1"/>
  <c r="O493" i="1"/>
  <c r="M494" i="1"/>
  <c r="N494" i="1"/>
  <c r="O494" i="1"/>
  <c r="M495" i="1"/>
  <c r="N495" i="1"/>
  <c r="O495" i="1"/>
  <c r="M496" i="1"/>
  <c r="N496" i="1"/>
  <c r="O496" i="1"/>
  <c r="M497" i="1"/>
  <c r="N497" i="1"/>
  <c r="O497" i="1"/>
  <c r="M498" i="1"/>
  <c r="N498" i="1"/>
  <c r="O498" i="1"/>
  <c r="M499" i="1"/>
  <c r="N499" i="1"/>
  <c r="O499" i="1"/>
  <c r="M500" i="1"/>
  <c r="N500" i="1"/>
  <c r="O500" i="1"/>
  <c r="M501" i="1"/>
  <c r="N501" i="1"/>
  <c r="O501" i="1"/>
  <c r="M502" i="1"/>
  <c r="N502" i="1"/>
  <c r="O502" i="1"/>
  <c r="M503" i="1"/>
  <c r="N503" i="1"/>
  <c r="O503" i="1"/>
  <c r="M504" i="1"/>
  <c r="N504" i="1"/>
  <c r="O504" i="1"/>
  <c r="M505" i="1"/>
  <c r="N505" i="1"/>
  <c r="O505" i="1"/>
  <c r="M506" i="1"/>
  <c r="N506" i="1"/>
  <c r="O506" i="1"/>
  <c r="M507" i="1"/>
  <c r="N507" i="1"/>
  <c r="O507" i="1"/>
  <c r="M508" i="1"/>
  <c r="N508" i="1"/>
  <c r="O508" i="1"/>
  <c r="M509" i="1"/>
  <c r="N509" i="1"/>
  <c r="O509" i="1"/>
  <c r="M510" i="1"/>
  <c r="N510" i="1"/>
  <c r="O510" i="1"/>
  <c r="M511" i="1"/>
  <c r="N511" i="1"/>
  <c r="O511" i="1"/>
  <c r="M512" i="1"/>
  <c r="N512" i="1"/>
  <c r="O512" i="1"/>
  <c r="M513" i="1"/>
  <c r="N513" i="1"/>
  <c r="O513" i="1"/>
  <c r="M514" i="1"/>
  <c r="N514" i="1"/>
  <c r="O514" i="1"/>
  <c r="M515" i="1"/>
  <c r="N515" i="1"/>
  <c r="O515" i="1"/>
  <c r="M516" i="1"/>
  <c r="N516" i="1"/>
  <c r="O516" i="1"/>
  <c r="M517" i="1"/>
  <c r="N517" i="1"/>
  <c r="O517" i="1"/>
  <c r="M518" i="1"/>
  <c r="N518" i="1"/>
  <c r="O518" i="1"/>
  <c r="M519" i="1"/>
  <c r="N519" i="1"/>
  <c r="O519" i="1"/>
  <c r="M520" i="1"/>
  <c r="N520" i="1"/>
  <c r="O520" i="1"/>
  <c r="M521" i="1"/>
  <c r="N521" i="1"/>
  <c r="O521" i="1"/>
  <c r="M522" i="1"/>
  <c r="N522" i="1"/>
  <c r="O522" i="1"/>
  <c r="M523" i="1"/>
  <c r="N523" i="1"/>
  <c r="O523" i="1"/>
  <c r="M524" i="1"/>
  <c r="N524" i="1"/>
  <c r="O524" i="1"/>
  <c r="M525" i="1"/>
  <c r="N525" i="1"/>
  <c r="O525" i="1"/>
  <c r="M526" i="1"/>
  <c r="N526" i="1"/>
  <c r="O526" i="1"/>
  <c r="M527" i="1"/>
  <c r="N527" i="1"/>
  <c r="O527" i="1"/>
  <c r="M528" i="1"/>
  <c r="N528" i="1"/>
  <c r="O528" i="1"/>
  <c r="M529" i="1"/>
  <c r="N529" i="1"/>
  <c r="O529" i="1"/>
  <c r="M530" i="1"/>
  <c r="N530" i="1"/>
  <c r="O530" i="1"/>
  <c r="M531" i="1"/>
  <c r="N531" i="1"/>
  <c r="O531" i="1"/>
  <c r="M532" i="1"/>
  <c r="N532" i="1"/>
  <c r="O532" i="1"/>
  <c r="M533" i="1"/>
  <c r="N533" i="1"/>
  <c r="O533" i="1"/>
  <c r="M534" i="1"/>
  <c r="N534" i="1"/>
  <c r="O534" i="1"/>
  <c r="M535" i="1"/>
  <c r="N535" i="1"/>
  <c r="O535" i="1"/>
  <c r="M536" i="1"/>
  <c r="N536" i="1"/>
  <c r="O536" i="1"/>
  <c r="M537" i="1"/>
  <c r="N537" i="1"/>
  <c r="O537" i="1"/>
  <c r="M538" i="1"/>
  <c r="N538" i="1"/>
  <c r="O538" i="1"/>
  <c r="M539" i="1"/>
  <c r="N539" i="1"/>
  <c r="O539" i="1"/>
  <c r="M540" i="1"/>
  <c r="N540" i="1"/>
  <c r="O540" i="1"/>
  <c r="M541" i="1"/>
  <c r="N541" i="1"/>
  <c r="O541" i="1"/>
  <c r="M542" i="1"/>
  <c r="N542" i="1"/>
  <c r="O542" i="1"/>
  <c r="M543" i="1"/>
  <c r="N543" i="1"/>
  <c r="O543" i="1"/>
  <c r="M544" i="1"/>
  <c r="N544" i="1"/>
  <c r="O544" i="1"/>
  <c r="M545" i="1"/>
  <c r="N545" i="1"/>
  <c r="O545" i="1"/>
  <c r="M546" i="1"/>
  <c r="N546" i="1"/>
  <c r="O546" i="1"/>
  <c r="M547" i="1"/>
  <c r="N547" i="1"/>
  <c r="O547" i="1"/>
  <c r="M548" i="1"/>
  <c r="N548" i="1"/>
  <c r="O548" i="1"/>
  <c r="M549" i="1"/>
  <c r="N549" i="1"/>
  <c r="O549" i="1"/>
  <c r="M550" i="1"/>
  <c r="N550" i="1"/>
  <c r="O550" i="1"/>
  <c r="M551" i="1"/>
  <c r="N551" i="1"/>
  <c r="O551" i="1"/>
  <c r="M552" i="1"/>
  <c r="N552" i="1"/>
  <c r="O552" i="1"/>
  <c r="M553" i="1"/>
  <c r="N553" i="1"/>
  <c r="O553" i="1"/>
  <c r="M554" i="1"/>
  <c r="N554" i="1"/>
  <c r="O554" i="1"/>
  <c r="M555" i="1"/>
  <c r="N555" i="1"/>
  <c r="O555" i="1"/>
  <c r="M556" i="1"/>
  <c r="N556" i="1"/>
  <c r="O556" i="1"/>
  <c r="M557" i="1"/>
  <c r="N557" i="1"/>
  <c r="O557" i="1"/>
  <c r="M558" i="1"/>
  <c r="N558" i="1"/>
  <c r="O558" i="1"/>
  <c r="M559" i="1"/>
  <c r="N559" i="1"/>
  <c r="O559" i="1"/>
  <c r="M560" i="1"/>
  <c r="N560" i="1"/>
  <c r="O560" i="1"/>
  <c r="M561" i="1"/>
  <c r="N561" i="1"/>
  <c r="O561" i="1"/>
  <c r="M562" i="1"/>
  <c r="N562" i="1"/>
  <c r="O562" i="1"/>
  <c r="M563" i="1"/>
  <c r="N563" i="1"/>
  <c r="O563" i="1"/>
  <c r="M564" i="1"/>
  <c r="N564" i="1"/>
  <c r="O564" i="1"/>
  <c r="M565" i="1"/>
  <c r="N565" i="1"/>
  <c r="O565" i="1"/>
  <c r="M566" i="1"/>
  <c r="N566" i="1"/>
  <c r="O566" i="1"/>
  <c r="M567" i="1"/>
  <c r="N567" i="1"/>
  <c r="O567" i="1"/>
  <c r="M568" i="1"/>
  <c r="N568" i="1"/>
  <c r="O568" i="1"/>
  <c r="M569" i="1"/>
  <c r="N569" i="1"/>
  <c r="O569" i="1"/>
  <c r="M570" i="1"/>
  <c r="N570" i="1"/>
  <c r="O570" i="1"/>
  <c r="M571" i="1"/>
  <c r="N571" i="1"/>
  <c r="O571" i="1"/>
  <c r="M572" i="1"/>
  <c r="N572" i="1"/>
  <c r="O572" i="1"/>
  <c r="M573" i="1"/>
  <c r="N573" i="1"/>
  <c r="O573" i="1"/>
  <c r="M574" i="1"/>
  <c r="N574" i="1"/>
  <c r="O574" i="1"/>
  <c r="M575" i="1"/>
  <c r="N575" i="1"/>
  <c r="O575" i="1"/>
  <c r="M576" i="1"/>
  <c r="N576" i="1"/>
  <c r="O576" i="1"/>
  <c r="M577" i="1"/>
  <c r="N577" i="1"/>
  <c r="O577" i="1"/>
  <c r="M578" i="1"/>
  <c r="N578" i="1"/>
  <c r="O578" i="1"/>
  <c r="M579" i="1"/>
  <c r="N579" i="1"/>
  <c r="O579" i="1"/>
  <c r="M580" i="1"/>
  <c r="N580" i="1"/>
  <c r="O580" i="1"/>
  <c r="M581" i="1"/>
  <c r="N581" i="1"/>
  <c r="O581" i="1"/>
  <c r="M582" i="1"/>
  <c r="N582" i="1"/>
  <c r="O582" i="1"/>
  <c r="M583" i="1"/>
  <c r="N583" i="1"/>
  <c r="O583" i="1"/>
  <c r="M584" i="1"/>
  <c r="N584" i="1"/>
  <c r="O584" i="1"/>
  <c r="M585" i="1"/>
  <c r="N585" i="1"/>
  <c r="O585" i="1"/>
  <c r="M586" i="1"/>
  <c r="N586" i="1"/>
  <c r="O586" i="1"/>
  <c r="M587" i="1"/>
  <c r="N587" i="1"/>
  <c r="O587" i="1"/>
  <c r="M588" i="1"/>
  <c r="N588" i="1"/>
  <c r="O588" i="1"/>
  <c r="M589" i="1"/>
  <c r="N589" i="1"/>
  <c r="O589" i="1"/>
  <c r="M590" i="1"/>
  <c r="N590" i="1"/>
  <c r="O590" i="1"/>
  <c r="M591" i="1"/>
  <c r="N591" i="1"/>
  <c r="O591" i="1"/>
  <c r="M592" i="1"/>
  <c r="N592" i="1"/>
  <c r="O592" i="1"/>
  <c r="M593" i="1"/>
  <c r="N593" i="1"/>
  <c r="O593" i="1"/>
  <c r="M594" i="1"/>
  <c r="N594" i="1"/>
  <c r="O594" i="1"/>
  <c r="M595" i="1"/>
  <c r="N595" i="1"/>
  <c r="O595" i="1"/>
  <c r="M596" i="1"/>
  <c r="N596" i="1"/>
  <c r="O596" i="1"/>
  <c r="M597" i="1"/>
  <c r="N597" i="1"/>
  <c r="O597" i="1"/>
  <c r="M598" i="1"/>
  <c r="N598" i="1"/>
  <c r="O598" i="1"/>
  <c r="M599" i="1"/>
  <c r="N599" i="1"/>
  <c r="O599" i="1"/>
  <c r="M600" i="1"/>
  <c r="N600" i="1"/>
  <c r="O600" i="1"/>
  <c r="M601" i="1"/>
  <c r="N601" i="1"/>
  <c r="O601" i="1"/>
  <c r="M602" i="1"/>
  <c r="N602" i="1"/>
  <c r="O602" i="1"/>
  <c r="M603" i="1"/>
  <c r="N603" i="1"/>
  <c r="O603" i="1"/>
  <c r="M604" i="1"/>
  <c r="N604" i="1"/>
  <c r="O604" i="1"/>
  <c r="M605" i="1"/>
  <c r="N605" i="1"/>
  <c r="O605" i="1"/>
  <c r="M606" i="1"/>
  <c r="N606" i="1"/>
  <c r="O606" i="1"/>
  <c r="M607" i="1"/>
  <c r="N607" i="1"/>
  <c r="O607" i="1"/>
  <c r="M608" i="1"/>
  <c r="N608" i="1"/>
  <c r="O608" i="1"/>
  <c r="M609" i="1"/>
  <c r="N609" i="1"/>
  <c r="O609" i="1"/>
  <c r="M610" i="1"/>
  <c r="N610" i="1"/>
  <c r="O610" i="1"/>
  <c r="M611" i="1"/>
  <c r="N611" i="1"/>
  <c r="O611" i="1"/>
  <c r="M612" i="1"/>
  <c r="N612" i="1"/>
  <c r="O612" i="1"/>
  <c r="M613" i="1"/>
  <c r="N613" i="1"/>
  <c r="O613" i="1"/>
  <c r="M614" i="1"/>
  <c r="N614" i="1"/>
  <c r="O614" i="1"/>
  <c r="M615" i="1"/>
  <c r="N615" i="1"/>
  <c r="O615" i="1"/>
  <c r="M616" i="1"/>
  <c r="N616" i="1"/>
  <c r="O616" i="1"/>
  <c r="M617" i="1"/>
  <c r="N617" i="1"/>
  <c r="O617" i="1"/>
  <c r="M618" i="1"/>
  <c r="N618" i="1"/>
  <c r="O618" i="1"/>
  <c r="M619" i="1"/>
  <c r="N619" i="1"/>
  <c r="O619" i="1"/>
  <c r="M620" i="1"/>
  <c r="N620" i="1"/>
  <c r="O620" i="1"/>
  <c r="M621" i="1"/>
  <c r="N621" i="1"/>
  <c r="O621" i="1"/>
  <c r="M622" i="1"/>
  <c r="N622" i="1"/>
  <c r="O622" i="1"/>
  <c r="M623" i="1"/>
  <c r="N623" i="1"/>
  <c r="O623" i="1"/>
  <c r="M624" i="1"/>
  <c r="N624" i="1"/>
  <c r="O624" i="1"/>
  <c r="M625" i="1"/>
  <c r="N625" i="1"/>
  <c r="O625" i="1"/>
  <c r="M626" i="1"/>
  <c r="N626" i="1"/>
  <c r="O626" i="1"/>
  <c r="M627" i="1"/>
  <c r="N627" i="1"/>
  <c r="O627" i="1"/>
  <c r="M628" i="1"/>
  <c r="N628" i="1"/>
  <c r="O628" i="1"/>
  <c r="M629" i="1"/>
  <c r="N629" i="1"/>
  <c r="O629" i="1"/>
  <c r="M630" i="1"/>
  <c r="N630" i="1"/>
  <c r="O630" i="1"/>
  <c r="M631" i="1"/>
  <c r="N631" i="1"/>
  <c r="O631" i="1"/>
  <c r="M632" i="1"/>
  <c r="N632" i="1"/>
  <c r="O632" i="1"/>
  <c r="M633" i="1"/>
  <c r="N633" i="1"/>
  <c r="O633" i="1"/>
  <c r="M634" i="1"/>
  <c r="N634" i="1"/>
  <c r="O634" i="1"/>
  <c r="M635" i="1"/>
  <c r="N635" i="1"/>
  <c r="O635" i="1"/>
  <c r="M636" i="1"/>
  <c r="N636" i="1"/>
  <c r="O636" i="1"/>
  <c r="M637" i="1"/>
  <c r="N637" i="1"/>
  <c r="O637" i="1"/>
  <c r="M638" i="1"/>
  <c r="N638" i="1"/>
  <c r="O638" i="1"/>
  <c r="M639" i="1"/>
  <c r="N639" i="1"/>
  <c r="O639" i="1"/>
  <c r="M640" i="1"/>
  <c r="N640" i="1"/>
  <c r="O640" i="1"/>
  <c r="M641" i="1"/>
  <c r="N641" i="1"/>
  <c r="O641" i="1"/>
  <c r="M642" i="1"/>
  <c r="N642" i="1"/>
  <c r="O642" i="1"/>
  <c r="M643" i="1"/>
  <c r="N643" i="1"/>
  <c r="O643" i="1"/>
  <c r="M644" i="1"/>
  <c r="N644" i="1"/>
  <c r="O644" i="1"/>
  <c r="M645" i="1"/>
  <c r="N645" i="1"/>
  <c r="O645" i="1"/>
  <c r="M646" i="1"/>
  <c r="N646" i="1"/>
  <c r="O646" i="1"/>
  <c r="M647" i="1"/>
  <c r="N647" i="1"/>
  <c r="O647" i="1"/>
  <c r="M648" i="1"/>
  <c r="N648" i="1"/>
  <c r="O648" i="1"/>
  <c r="M649" i="1"/>
  <c r="N649" i="1"/>
  <c r="O649" i="1"/>
  <c r="M650" i="1"/>
  <c r="N650" i="1"/>
  <c r="O650" i="1"/>
  <c r="M651" i="1"/>
  <c r="N651" i="1"/>
  <c r="O651" i="1"/>
  <c r="M652" i="1"/>
  <c r="N652" i="1"/>
  <c r="O652" i="1"/>
  <c r="M653" i="1"/>
  <c r="N653" i="1"/>
  <c r="O653" i="1"/>
  <c r="M654" i="1"/>
  <c r="N654" i="1"/>
  <c r="O654" i="1"/>
  <c r="M655" i="1"/>
  <c r="N655" i="1"/>
  <c r="O655" i="1"/>
  <c r="M656" i="1"/>
  <c r="N656" i="1"/>
  <c r="O656" i="1"/>
  <c r="M657" i="1"/>
  <c r="N657" i="1"/>
  <c r="O657" i="1"/>
  <c r="M658" i="1"/>
  <c r="N658" i="1"/>
  <c r="O658" i="1"/>
  <c r="M659" i="1"/>
  <c r="N659" i="1"/>
  <c r="O659" i="1"/>
  <c r="M660" i="1"/>
  <c r="N660" i="1"/>
  <c r="O660" i="1"/>
  <c r="M661" i="1"/>
  <c r="N661" i="1"/>
  <c r="O661" i="1"/>
  <c r="M662" i="1"/>
  <c r="N662" i="1"/>
  <c r="O662" i="1"/>
  <c r="M663" i="1"/>
  <c r="N663" i="1"/>
  <c r="O663" i="1"/>
  <c r="M664" i="1"/>
  <c r="N664" i="1"/>
  <c r="O664" i="1"/>
  <c r="M665" i="1"/>
  <c r="N665" i="1"/>
  <c r="O665" i="1"/>
  <c r="M666" i="1"/>
  <c r="N666" i="1"/>
  <c r="O666" i="1"/>
  <c r="M667" i="1"/>
  <c r="N667" i="1"/>
  <c r="O667" i="1"/>
  <c r="M668" i="1"/>
  <c r="N668" i="1"/>
  <c r="O668" i="1"/>
  <c r="M669" i="1"/>
  <c r="N669" i="1"/>
  <c r="O669" i="1"/>
  <c r="M670" i="1"/>
  <c r="N670" i="1"/>
  <c r="O670" i="1"/>
  <c r="M671" i="1"/>
  <c r="N671" i="1"/>
  <c r="O671" i="1"/>
  <c r="M672" i="1"/>
  <c r="N672" i="1"/>
  <c r="O672" i="1"/>
  <c r="M673" i="1"/>
  <c r="N673" i="1"/>
  <c r="O673" i="1"/>
  <c r="M674" i="1"/>
  <c r="N674" i="1"/>
  <c r="O674" i="1"/>
  <c r="M675" i="1"/>
  <c r="N675" i="1"/>
  <c r="O675" i="1"/>
  <c r="M676" i="1"/>
  <c r="N676" i="1"/>
  <c r="O676" i="1"/>
  <c r="M677" i="1"/>
  <c r="N677" i="1"/>
  <c r="O677" i="1"/>
  <c r="M678" i="1"/>
  <c r="N678" i="1"/>
  <c r="O678" i="1"/>
  <c r="M679" i="1"/>
  <c r="N679" i="1"/>
  <c r="O679" i="1"/>
  <c r="M680" i="1"/>
  <c r="N680" i="1"/>
  <c r="O680" i="1"/>
  <c r="M681" i="1"/>
  <c r="N681" i="1"/>
  <c r="O681" i="1"/>
  <c r="M682" i="1"/>
  <c r="N682" i="1"/>
  <c r="O682" i="1"/>
  <c r="M683" i="1"/>
  <c r="N683" i="1"/>
  <c r="O683" i="1"/>
  <c r="M684" i="1"/>
  <c r="N684" i="1"/>
  <c r="O684" i="1"/>
  <c r="M685" i="1"/>
  <c r="N685" i="1"/>
  <c r="O685" i="1"/>
  <c r="M686" i="1"/>
  <c r="N686" i="1"/>
  <c r="O686" i="1"/>
  <c r="M687" i="1"/>
  <c r="N687" i="1"/>
  <c r="O687" i="1"/>
  <c r="M688" i="1"/>
  <c r="N688" i="1"/>
  <c r="O688" i="1"/>
  <c r="M689" i="1"/>
  <c r="N689" i="1"/>
  <c r="O689" i="1"/>
  <c r="M690" i="1"/>
  <c r="N690" i="1"/>
  <c r="O690" i="1"/>
  <c r="M691" i="1"/>
  <c r="N691" i="1"/>
  <c r="O691" i="1"/>
  <c r="M692" i="1"/>
  <c r="N692" i="1"/>
  <c r="O692" i="1"/>
  <c r="M693" i="1"/>
  <c r="N693" i="1"/>
  <c r="O693" i="1"/>
  <c r="M694" i="1"/>
  <c r="N694" i="1"/>
  <c r="O694" i="1"/>
  <c r="M695" i="1"/>
  <c r="N695" i="1"/>
  <c r="O695" i="1"/>
  <c r="M696" i="1"/>
  <c r="N696" i="1"/>
  <c r="O696" i="1"/>
  <c r="M697" i="1"/>
  <c r="N697" i="1"/>
  <c r="O697" i="1"/>
  <c r="M698" i="1"/>
  <c r="N698" i="1"/>
  <c r="O698" i="1"/>
  <c r="M699" i="1"/>
  <c r="N699" i="1"/>
  <c r="O699" i="1"/>
  <c r="M700" i="1"/>
  <c r="N700" i="1"/>
  <c r="O700" i="1"/>
  <c r="M701" i="1"/>
  <c r="N701" i="1"/>
  <c r="O701" i="1"/>
  <c r="M702" i="1"/>
  <c r="N702" i="1"/>
  <c r="O702" i="1"/>
  <c r="M703" i="1"/>
  <c r="N703" i="1"/>
  <c r="O703" i="1"/>
  <c r="M704" i="1"/>
  <c r="N704" i="1"/>
  <c r="O704" i="1"/>
  <c r="M705" i="1"/>
  <c r="N705" i="1"/>
  <c r="O705" i="1"/>
  <c r="M706" i="1"/>
  <c r="N706" i="1"/>
  <c r="O706" i="1"/>
  <c r="M707" i="1"/>
  <c r="N707" i="1"/>
  <c r="O707" i="1"/>
  <c r="M708" i="1"/>
  <c r="N708" i="1"/>
  <c r="O708" i="1"/>
  <c r="M709" i="1"/>
  <c r="N709" i="1"/>
  <c r="O709" i="1"/>
  <c r="M710" i="1"/>
  <c r="N710" i="1"/>
  <c r="O710" i="1"/>
  <c r="M711" i="1"/>
  <c r="N711" i="1"/>
  <c r="O711" i="1"/>
  <c r="M712" i="1"/>
  <c r="N712" i="1"/>
  <c r="O712" i="1"/>
  <c r="M713" i="1"/>
  <c r="N713" i="1"/>
  <c r="O713" i="1"/>
  <c r="M714" i="1"/>
  <c r="N714" i="1"/>
  <c r="O714" i="1"/>
  <c r="M715" i="1"/>
  <c r="N715" i="1"/>
  <c r="O715" i="1"/>
  <c r="M716" i="1"/>
  <c r="N716" i="1"/>
  <c r="O716" i="1"/>
  <c r="M717" i="1"/>
  <c r="N717" i="1"/>
  <c r="O717" i="1"/>
  <c r="M718" i="1"/>
  <c r="N718" i="1"/>
  <c r="O718" i="1"/>
  <c r="M719" i="1"/>
  <c r="N719" i="1"/>
  <c r="O719" i="1"/>
  <c r="M720" i="1"/>
  <c r="N720" i="1"/>
  <c r="O720" i="1"/>
  <c r="M721" i="1"/>
  <c r="N721" i="1"/>
  <c r="O721" i="1"/>
  <c r="M722" i="1"/>
  <c r="N722" i="1"/>
  <c r="O722" i="1"/>
  <c r="M723" i="1"/>
  <c r="N723" i="1"/>
  <c r="O723" i="1"/>
  <c r="M724" i="1"/>
  <c r="N724" i="1"/>
  <c r="O724" i="1"/>
  <c r="M725" i="1"/>
  <c r="N725" i="1"/>
  <c r="O725" i="1"/>
  <c r="M726" i="1"/>
  <c r="N726" i="1"/>
  <c r="O726" i="1"/>
  <c r="M727" i="1"/>
  <c r="N727" i="1"/>
  <c r="O727" i="1"/>
  <c r="M728" i="1"/>
  <c r="N728" i="1"/>
  <c r="O728" i="1"/>
  <c r="M729" i="1"/>
  <c r="N729" i="1"/>
  <c r="O729" i="1"/>
  <c r="M730" i="1"/>
  <c r="N730" i="1"/>
  <c r="O730" i="1"/>
  <c r="M731" i="1"/>
  <c r="N731" i="1"/>
  <c r="O731" i="1"/>
  <c r="M732" i="1"/>
  <c r="N732" i="1"/>
  <c r="O732" i="1"/>
  <c r="M733" i="1"/>
  <c r="N733" i="1"/>
  <c r="O733" i="1"/>
  <c r="M734" i="1"/>
  <c r="N734" i="1"/>
  <c r="O734" i="1"/>
  <c r="M735" i="1"/>
  <c r="N735" i="1"/>
  <c r="O735" i="1"/>
  <c r="M736" i="1"/>
  <c r="N736" i="1"/>
  <c r="O736" i="1"/>
  <c r="M737" i="1"/>
  <c r="N737" i="1"/>
  <c r="O737" i="1"/>
  <c r="M738" i="1"/>
  <c r="N738" i="1"/>
  <c r="O738" i="1"/>
  <c r="M739" i="1"/>
  <c r="N739" i="1"/>
  <c r="O739" i="1"/>
  <c r="M740" i="1"/>
  <c r="N740" i="1"/>
  <c r="O740" i="1"/>
  <c r="M741" i="1"/>
  <c r="N741" i="1"/>
  <c r="O741" i="1"/>
  <c r="M742" i="1"/>
  <c r="N742" i="1"/>
  <c r="O742" i="1"/>
  <c r="M743" i="1"/>
  <c r="N743" i="1"/>
  <c r="O743" i="1"/>
  <c r="M744" i="1"/>
  <c r="N744" i="1"/>
  <c r="O744" i="1"/>
  <c r="M745" i="1"/>
  <c r="N745" i="1"/>
  <c r="O745" i="1"/>
  <c r="M746" i="1"/>
  <c r="N746" i="1"/>
  <c r="O746" i="1"/>
  <c r="M747" i="1"/>
  <c r="N747" i="1"/>
  <c r="O747" i="1"/>
  <c r="M748" i="1"/>
  <c r="N748" i="1"/>
  <c r="O748" i="1"/>
  <c r="M749" i="1"/>
  <c r="N749" i="1"/>
  <c r="O749" i="1"/>
  <c r="M750" i="1"/>
  <c r="N750" i="1"/>
  <c r="O750" i="1"/>
  <c r="M751" i="1"/>
  <c r="N751" i="1"/>
  <c r="O751" i="1"/>
  <c r="M752" i="1"/>
  <c r="N752" i="1"/>
  <c r="O752" i="1"/>
  <c r="M753" i="1"/>
  <c r="N753" i="1"/>
  <c r="O753" i="1"/>
  <c r="M754" i="1"/>
  <c r="N754" i="1"/>
  <c r="O754" i="1"/>
  <c r="M755" i="1"/>
  <c r="N755" i="1"/>
  <c r="O755" i="1"/>
  <c r="M756" i="1"/>
  <c r="N756" i="1"/>
  <c r="O756" i="1"/>
  <c r="M757" i="1"/>
  <c r="N757" i="1"/>
  <c r="O757" i="1"/>
  <c r="M758" i="1"/>
  <c r="N758" i="1"/>
  <c r="O758" i="1"/>
  <c r="M759" i="1"/>
  <c r="N759" i="1"/>
  <c r="O759" i="1"/>
  <c r="M760" i="1"/>
  <c r="N760" i="1"/>
  <c r="O760" i="1"/>
  <c r="M761" i="1"/>
  <c r="N761" i="1"/>
  <c r="O761" i="1"/>
  <c r="M762" i="1"/>
  <c r="N762" i="1"/>
  <c r="O762" i="1"/>
  <c r="M763" i="1"/>
  <c r="N763" i="1"/>
  <c r="O763" i="1"/>
  <c r="M764" i="1"/>
  <c r="N764" i="1"/>
  <c r="O764" i="1"/>
  <c r="M765" i="1"/>
  <c r="N765" i="1"/>
  <c r="O765" i="1"/>
  <c r="M766" i="1"/>
  <c r="N766" i="1"/>
  <c r="O766" i="1"/>
  <c r="M767" i="1"/>
  <c r="N767" i="1"/>
  <c r="O767" i="1"/>
  <c r="M768" i="1"/>
  <c r="N768" i="1"/>
  <c r="O768" i="1"/>
  <c r="M769" i="1"/>
  <c r="N769" i="1"/>
  <c r="O769" i="1"/>
  <c r="M770" i="1"/>
  <c r="N770" i="1"/>
  <c r="O770" i="1"/>
  <c r="M771" i="1"/>
  <c r="N771" i="1"/>
  <c r="O771" i="1"/>
  <c r="M772" i="1"/>
  <c r="N772" i="1"/>
  <c r="O772" i="1"/>
  <c r="M773" i="1"/>
  <c r="N773" i="1"/>
  <c r="O773" i="1"/>
  <c r="M774" i="1"/>
  <c r="N774" i="1"/>
  <c r="O774" i="1"/>
  <c r="M775" i="1"/>
  <c r="N775" i="1"/>
  <c r="O775" i="1"/>
  <c r="M776" i="1"/>
  <c r="N776" i="1"/>
  <c r="O776" i="1"/>
  <c r="M777" i="1"/>
  <c r="N777" i="1"/>
  <c r="O777" i="1"/>
  <c r="M778" i="1"/>
  <c r="N778" i="1"/>
  <c r="O778" i="1"/>
  <c r="M779" i="1"/>
  <c r="N779" i="1"/>
  <c r="O779" i="1"/>
  <c r="M780" i="1"/>
  <c r="N780" i="1"/>
  <c r="O780" i="1"/>
  <c r="M781" i="1"/>
  <c r="N781" i="1"/>
  <c r="O781" i="1"/>
  <c r="M782" i="1"/>
  <c r="N782" i="1"/>
  <c r="O782" i="1"/>
  <c r="M783" i="1"/>
  <c r="N783" i="1"/>
  <c r="O783" i="1"/>
  <c r="M784" i="1"/>
  <c r="N784" i="1"/>
  <c r="O784" i="1"/>
  <c r="M785" i="1"/>
  <c r="N785" i="1"/>
  <c r="O785" i="1"/>
  <c r="M786" i="1"/>
  <c r="N786" i="1"/>
  <c r="O786" i="1"/>
  <c r="M787" i="1"/>
  <c r="N787" i="1"/>
  <c r="O787" i="1"/>
  <c r="M788" i="1"/>
  <c r="N788" i="1"/>
  <c r="O788" i="1"/>
  <c r="M789" i="1"/>
  <c r="N789" i="1"/>
  <c r="O789" i="1"/>
  <c r="M790" i="1"/>
  <c r="N790" i="1"/>
  <c r="O790" i="1"/>
  <c r="M791" i="1"/>
  <c r="N791" i="1"/>
  <c r="O791" i="1"/>
  <c r="M792" i="1"/>
  <c r="N792" i="1"/>
  <c r="O792" i="1"/>
  <c r="M793" i="1"/>
  <c r="N793" i="1"/>
  <c r="O793" i="1"/>
  <c r="M794" i="1"/>
  <c r="N794" i="1"/>
  <c r="O794" i="1"/>
  <c r="M795" i="1"/>
  <c r="N795" i="1"/>
  <c r="O795" i="1"/>
  <c r="M796" i="1"/>
  <c r="N796" i="1"/>
  <c r="O796" i="1"/>
  <c r="M797" i="1"/>
  <c r="N797" i="1"/>
  <c r="O797" i="1"/>
  <c r="M798" i="1"/>
  <c r="N798" i="1"/>
  <c r="O798" i="1"/>
  <c r="M799" i="1"/>
  <c r="N799" i="1"/>
  <c r="O799" i="1"/>
  <c r="M800" i="1"/>
  <c r="N800" i="1"/>
  <c r="O800" i="1"/>
  <c r="M801" i="1"/>
  <c r="N801" i="1"/>
  <c r="O801" i="1"/>
  <c r="M802" i="1"/>
  <c r="N802" i="1"/>
  <c r="O802" i="1"/>
  <c r="M803" i="1"/>
  <c r="N803" i="1"/>
  <c r="O803" i="1"/>
  <c r="M804" i="1"/>
  <c r="N804" i="1"/>
  <c r="O804" i="1"/>
  <c r="M805" i="1"/>
  <c r="N805" i="1"/>
  <c r="O805" i="1"/>
  <c r="M806" i="1"/>
  <c r="N806" i="1"/>
  <c r="O806" i="1"/>
  <c r="M807" i="1"/>
  <c r="N807" i="1"/>
  <c r="O807" i="1"/>
  <c r="M808" i="1"/>
  <c r="N808" i="1"/>
  <c r="O808" i="1"/>
  <c r="M809" i="1"/>
  <c r="N809" i="1"/>
  <c r="O809" i="1"/>
  <c r="M810" i="1"/>
  <c r="N810" i="1"/>
  <c r="O810" i="1"/>
  <c r="M811" i="1"/>
  <c r="N811" i="1"/>
  <c r="O811" i="1"/>
  <c r="M812" i="1"/>
  <c r="N812" i="1"/>
  <c r="O812" i="1"/>
  <c r="M813" i="1"/>
  <c r="N813" i="1"/>
  <c r="O813" i="1"/>
  <c r="M814" i="1"/>
  <c r="N814" i="1"/>
  <c r="O814" i="1"/>
  <c r="M815" i="1"/>
  <c r="N815" i="1"/>
  <c r="O815" i="1"/>
  <c r="M816" i="1"/>
  <c r="N816" i="1"/>
  <c r="O816" i="1"/>
  <c r="M817" i="1"/>
  <c r="N817" i="1"/>
  <c r="O817" i="1"/>
  <c r="M818" i="1"/>
  <c r="N818" i="1"/>
  <c r="O818" i="1"/>
  <c r="M819" i="1"/>
  <c r="N819" i="1"/>
  <c r="O819" i="1"/>
  <c r="M820" i="1"/>
  <c r="N820" i="1"/>
  <c r="O820" i="1"/>
  <c r="M821" i="1"/>
  <c r="N821" i="1"/>
  <c r="O821" i="1"/>
  <c r="M822" i="1"/>
  <c r="N822" i="1"/>
  <c r="O822" i="1"/>
  <c r="M823" i="1"/>
  <c r="N823" i="1"/>
  <c r="O823" i="1"/>
  <c r="M824" i="1"/>
  <c r="N824" i="1"/>
  <c r="O824" i="1"/>
  <c r="M825" i="1"/>
  <c r="N825" i="1"/>
  <c r="O825" i="1"/>
  <c r="M826" i="1"/>
  <c r="N826" i="1"/>
  <c r="O826" i="1"/>
  <c r="M827" i="1"/>
  <c r="N827" i="1"/>
  <c r="O827" i="1"/>
  <c r="M828" i="1"/>
  <c r="N828" i="1"/>
  <c r="O828" i="1"/>
  <c r="M829" i="1"/>
  <c r="N829" i="1"/>
  <c r="O829" i="1"/>
  <c r="M830" i="1"/>
  <c r="N830" i="1"/>
  <c r="O830" i="1"/>
  <c r="M831" i="1"/>
  <c r="N831" i="1"/>
  <c r="O831" i="1"/>
  <c r="M832" i="1"/>
  <c r="N832" i="1"/>
  <c r="O832" i="1"/>
  <c r="M833" i="1"/>
  <c r="N833" i="1"/>
  <c r="O833" i="1"/>
  <c r="M834" i="1"/>
  <c r="N834" i="1"/>
  <c r="O834" i="1"/>
  <c r="M835" i="1"/>
  <c r="N835" i="1"/>
  <c r="O835" i="1"/>
  <c r="M836" i="1"/>
  <c r="N836" i="1"/>
  <c r="O836" i="1"/>
  <c r="M837" i="1"/>
  <c r="N837" i="1"/>
  <c r="O837" i="1"/>
  <c r="M838" i="1"/>
  <c r="N838" i="1"/>
  <c r="O838" i="1"/>
  <c r="M839" i="1"/>
  <c r="N839" i="1"/>
  <c r="O839" i="1"/>
  <c r="M840" i="1"/>
  <c r="N840" i="1"/>
  <c r="O840" i="1"/>
  <c r="M841" i="1"/>
  <c r="N841" i="1"/>
  <c r="O841" i="1"/>
  <c r="M842" i="1"/>
  <c r="N842" i="1"/>
  <c r="O842" i="1"/>
  <c r="M843" i="1"/>
  <c r="N843" i="1"/>
  <c r="O843" i="1"/>
  <c r="M844" i="1"/>
  <c r="N844" i="1"/>
  <c r="O844" i="1"/>
  <c r="M845" i="1"/>
  <c r="N845" i="1"/>
  <c r="O845" i="1"/>
  <c r="M846" i="1"/>
  <c r="N846" i="1"/>
  <c r="O846" i="1"/>
  <c r="M847" i="1"/>
  <c r="N847" i="1"/>
  <c r="O847" i="1"/>
  <c r="M848" i="1"/>
  <c r="N848" i="1"/>
  <c r="O848" i="1"/>
  <c r="M849" i="1"/>
  <c r="N849" i="1"/>
  <c r="O849" i="1"/>
  <c r="M850" i="1"/>
  <c r="N850" i="1"/>
  <c r="O850" i="1"/>
  <c r="M851" i="1"/>
  <c r="N851" i="1"/>
  <c r="O851" i="1"/>
  <c r="M852" i="1"/>
  <c r="N852" i="1"/>
  <c r="O852" i="1"/>
  <c r="M853" i="1"/>
  <c r="N853" i="1"/>
  <c r="O853" i="1"/>
  <c r="M854" i="1"/>
  <c r="N854" i="1"/>
  <c r="O854" i="1"/>
  <c r="M855" i="1"/>
  <c r="N855" i="1"/>
  <c r="O855" i="1"/>
  <c r="M856" i="1"/>
  <c r="N856" i="1"/>
  <c r="O856" i="1"/>
  <c r="M857" i="1"/>
  <c r="N857" i="1"/>
  <c r="O857" i="1"/>
  <c r="M858" i="1"/>
  <c r="N858" i="1"/>
  <c r="O858" i="1"/>
  <c r="M859" i="1"/>
  <c r="N859" i="1"/>
  <c r="O859" i="1"/>
  <c r="M860" i="1"/>
  <c r="N860" i="1"/>
  <c r="O860" i="1"/>
  <c r="M861" i="1"/>
  <c r="N861" i="1"/>
  <c r="O861" i="1"/>
  <c r="M862" i="1"/>
  <c r="N862" i="1"/>
  <c r="O862" i="1"/>
  <c r="M863" i="1"/>
  <c r="N863" i="1"/>
  <c r="O863" i="1"/>
  <c r="M864" i="1"/>
  <c r="N864" i="1"/>
  <c r="O864" i="1"/>
  <c r="M865" i="1"/>
  <c r="N865" i="1"/>
  <c r="O865" i="1"/>
  <c r="M866" i="1"/>
  <c r="N866" i="1"/>
  <c r="O866" i="1"/>
  <c r="M867" i="1"/>
  <c r="N867" i="1"/>
  <c r="O867" i="1"/>
  <c r="M868" i="1"/>
  <c r="N868" i="1"/>
  <c r="O868" i="1"/>
  <c r="M869" i="1"/>
  <c r="N869" i="1"/>
  <c r="O869" i="1"/>
  <c r="M870" i="1"/>
  <c r="N870" i="1"/>
  <c r="O870" i="1"/>
  <c r="M871" i="1"/>
  <c r="N871" i="1"/>
  <c r="O871" i="1"/>
  <c r="M872" i="1"/>
  <c r="N872" i="1"/>
  <c r="O872" i="1"/>
  <c r="M873" i="1"/>
  <c r="N873" i="1"/>
  <c r="O873" i="1"/>
  <c r="M874" i="1"/>
  <c r="N874" i="1"/>
  <c r="O874" i="1"/>
  <c r="M875" i="1"/>
  <c r="N875" i="1"/>
  <c r="O875" i="1"/>
  <c r="M876" i="1"/>
  <c r="N876" i="1"/>
  <c r="O876" i="1"/>
  <c r="M877" i="1"/>
  <c r="N877" i="1"/>
  <c r="O877" i="1"/>
  <c r="M878" i="1"/>
  <c r="N878" i="1"/>
  <c r="O878" i="1"/>
  <c r="M879" i="1"/>
  <c r="N879" i="1"/>
  <c r="O879" i="1"/>
  <c r="M880" i="1"/>
  <c r="N880" i="1"/>
  <c r="O880" i="1"/>
  <c r="M881" i="1"/>
  <c r="N881" i="1"/>
  <c r="O881" i="1"/>
  <c r="M882" i="1"/>
  <c r="N882" i="1"/>
  <c r="O882" i="1"/>
  <c r="M883" i="1"/>
  <c r="N883" i="1"/>
  <c r="O883" i="1"/>
  <c r="M884" i="1"/>
  <c r="N884" i="1"/>
  <c r="O884" i="1"/>
  <c r="M885" i="1"/>
  <c r="N885" i="1"/>
  <c r="O885" i="1"/>
  <c r="M886" i="1"/>
  <c r="N886" i="1"/>
  <c r="O886" i="1"/>
  <c r="M887" i="1"/>
  <c r="N887" i="1"/>
  <c r="O887" i="1"/>
  <c r="M888" i="1"/>
  <c r="N888" i="1"/>
  <c r="O888" i="1"/>
  <c r="M889" i="1"/>
  <c r="N889" i="1"/>
  <c r="O889" i="1"/>
  <c r="M890" i="1"/>
  <c r="N890" i="1"/>
  <c r="O890" i="1"/>
  <c r="M891" i="1"/>
  <c r="N891" i="1"/>
  <c r="O891" i="1"/>
  <c r="M892" i="1"/>
  <c r="N892" i="1"/>
  <c r="O892" i="1"/>
  <c r="M893" i="1"/>
  <c r="N893" i="1"/>
  <c r="O893" i="1"/>
  <c r="M894" i="1"/>
  <c r="N894" i="1"/>
  <c r="O894" i="1"/>
  <c r="M895" i="1"/>
  <c r="N895" i="1"/>
  <c r="O895" i="1"/>
  <c r="M896" i="1"/>
  <c r="N896" i="1"/>
  <c r="O896" i="1"/>
  <c r="M897" i="1"/>
  <c r="N897" i="1"/>
  <c r="O897" i="1"/>
  <c r="M898" i="1"/>
  <c r="N898" i="1"/>
  <c r="O898" i="1"/>
  <c r="M899" i="1"/>
  <c r="N899" i="1"/>
  <c r="O899" i="1"/>
  <c r="M900" i="1"/>
  <c r="N900" i="1"/>
  <c r="O900" i="1"/>
  <c r="M901" i="1"/>
  <c r="N901" i="1"/>
  <c r="O901" i="1"/>
  <c r="M902" i="1"/>
  <c r="N902" i="1"/>
  <c r="O902" i="1"/>
  <c r="M903" i="1"/>
  <c r="N903" i="1"/>
  <c r="O903" i="1"/>
  <c r="M904" i="1"/>
  <c r="N904" i="1"/>
  <c r="O904" i="1"/>
  <c r="M905" i="1"/>
  <c r="N905" i="1"/>
  <c r="O905" i="1"/>
  <c r="M906" i="1"/>
  <c r="N906" i="1"/>
  <c r="O906" i="1"/>
  <c r="M907" i="1"/>
  <c r="N907" i="1"/>
  <c r="O907" i="1"/>
  <c r="M908" i="1"/>
  <c r="N908" i="1"/>
  <c r="O908" i="1"/>
  <c r="M909" i="1"/>
  <c r="N909" i="1"/>
  <c r="O909" i="1"/>
  <c r="M910" i="1"/>
  <c r="N910" i="1"/>
  <c r="O910" i="1"/>
  <c r="M911" i="1"/>
  <c r="N911" i="1"/>
  <c r="O911" i="1"/>
  <c r="M912" i="1"/>
  <c r="N912" i="1"/>
  <c r="O912" i="1"/>
  <c r="M913" i="1"/>
  <c r="N913" i="1"/>
  <c r="O913" i="1"/>
  <c r="M914" i="1"/>
  <c r="N914" i="1"/>
  <c r="O914" i="1"/>
  <c r="M915" i="1"/>
  <c r="N915" i="1"/>
  <c r="O915" i="1"/>
  <c r="M916" i="1"/>
  <c r="N916" i="1"/>
  <c r="O916" i="1"/>
  <c r="M917" i="1"/>
  <c r="N917" i="1"/>
  <c r="O917" i="1"/>
  <c r="M918" i="1"/>
  <c r="N918" i="1"/>
  <c r="O918" i="1"/>
  <c r="M919" i="1"/>
  <c r="N919" i="1"/>
  <c r="O919" i="1"/>
  <c r="M920" i="1"/>
  <c r="N920" i="1"/>
  <c r="O920" i="1"/>
  <c r="M921" i="1"/>
  <c r="N921" i="1"/>
  <c r="O921" i="1"/>
  <c r="M922" i="1"/>
  <c r="N922" i="1"/>
  <c r="O922" i="1"/>
  <c r="M923" i="1"/>
  <c r="N923" i="1"/>
  <c r="O923" i="1"/>
  <c r="M924" i="1"/>
  <c r="N924" i="1"/>
  <c r="O924" i="1"/>
  <c r="M925" i="1"/>
  <c r="N925" i="1"/>
  <c r="O925" i="1"/>
  <c r="M926" i="1"/>
  <c r="N926" i="1"/>
  <c r="O926" i="1"/>
  <c r="M927" i="1"/>
  <c r="N927" i="1"/>
  <c r="O927" i="1"/>
  <c r="M928" i="1"/>
  <c r="N928" i="1"/>
  <c r="O928" i="1"/>
  <c r="M929" i="1"/>
  <c r="N929" i="1"/>
  <c r="O929" i="1"/>
  <c r="M930" i="1"/>
  <c r="N930" i="1"/>
  <c r="O930" i="1"/>
  <c r="M931" i="1"/>
  <c r="N931" i="1"/>
  <c r="O931" i="1"/>
  <c r="M932" i="1"/>
  <c r="N932" i="1"/>
  <c r="O932" i="1"/>
  <c r="M933" i="1"/>
  <c r="N933" i="1"/>
  <c r="O933" i="1"/>
  <c r="M934" i="1"/>
  <c r="N934" i="1"/>
  <c r="O934" i="1"/>
  <c r="M935" i="1"/>
  <c r="N935" i="1"/>
  <c r="O935" i="1"/>
  <c r="M936" i="1"/>
  <c r="N936" i="1"/>
  <c r="O936" i="1"/>
  <c r="M937" i="1"/>
  <c r="N937" i="1"/>
  <c r="O937" i="1"/>
  <c r="M938" i="1"/>
  <c r="N938" i="1"/>
  <c r="O938" i="1"/>
  <c r="M939" i="1"/>
  <c r="N939" i="1"/>
  <c r="O939" i="1"/>
  <c r="M940" i="1"/>
  <c r="N940" i="1"/>
  <c r="O940" i="1"/>
  <c r="M941" i="1"/>
  <c r="N941" i="1"/>
  <c r="O941" i="1"/>
  <c r="M942" i="1"/>
  <c r="N942" i="1"/>
  <c r="O942" i="1"/>
  <c r="M943" i="1"/>
  <c r="N943" i="1"/>
  <c r="O943" i="1"/>
  <c r="M944" i="1"/>
  <c r="N944" i="1"/>
  <c r="O944" i="1"/>
  <c r="M945" i="1"/>
  <c r="N945" i="1"/>
  <c r="O945" i="1"/>
  <c r="M946" i="1"/>
  <c r="N946" i="1"/>
  <c r="O946" i="1"/>
  <c r="M947" i="1"/>
  <c r="N947" i="1"/>
  <c r="O947" i="1"/>
  <c r="M948" i="1"/>
  <c r="N948" i="1"/>
  <c r="O948" i="1"/>
  <c r="M949" i="1"/>
  <c r="N949" i="1"/>
  <c r="O949" i="1"/>
  <c r="M950" i="1"/>
  <c r="N950" i="1"/>
  <c r="O950" i="1"/>
  <c r="M951" i="1"/>
  <c r="N951" i="1"/>
  <c r="O951" i="1"/>
  <c r="M952" i="1"/>
  <c r="N952" i="1"/>
  <c r="O952" i="1"/>
  <c r="M953" i="1"/>
  <c r="N953" i="1"/>
  <c r="O953" i="1"/>
  <c r="M954" i="1"/>
  <c r="N954" i="1"/>
  <c r="O954" i="1"/>
  <c r="M955" i="1"/>
  <c r="N955" i="1"/>
  <c r="O955" i="1"/>
  <c r="M956" i="1"/>
  <c r="N956" i="1"/>
  <c r="O956" i="1"/>
  <c r="M957" i="1"/>
  <c r="N957" i="1"/>
  <c r="O957" i="1"/>
  <c r="M958" i="1"/>
  <c r="N958" i="1"/>
  <c r="O958" i="1"/>
  <c r="M959" i="1"/>
  <c r="N959" i="1"/>
  <c r="O959" i="1"/>
  <c r="M960" i="1"/>
  <c r="N960" i="1"/>
  <c r="O960" i="1"/>
  <c r="M961" i="1"/>
  <c r="N961" i="1"/>
  <c r="O961" i="1"/>
  <c r="O2" i="1"/>
  <c r="N2" i="1"/>
  <c r="M2" i="1"/>
  <c r="K583" i="3" l="1"/>
  <c r="K766" i="3" l="1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3" i="3"/>
  <c r="K811" i="3"/>
  <c r="K810" i="3"/>
  <c r="K809" i="3"/>
  <c r="K808" i="3"/>
  <c r="K807" i="3"/>
  <c r="K806" i="3"/>
  <c r="K805" i="3"/>
  <c r="K804" i="3"/>
  <c r="K803" i="3"/>
  <c r="K802" i="3"/>
  <c r="K784" i="3"/>
  <c r="K783" i="3"/>
  <c r="K782" i="3"/>
  <c r="K781" i="3"/>
  <c r="K780" i="3"/>
  <c r="K779" i="3"/>
  <c r="K778" i="3"/>
  <c r="K777" i="3"/>
  <c r="K776" i="3"/>
  <c r="K775" i="3"/>
  <c r="K774" i="3"/>
  <c r="K772" i="3"/>
  <c r="K771" i="3"/>
  <c r="K770" i="3"/>
  <c r="K769" i="3"/>
  <c r="K768" i="3"/>
  <c r="K767" i="3"/>
  <c r="K765" i="3"/>
  <c r="K764" i="3"/>
  <c r="K763" i="3"/>
  <c r="K762" i="3"/>
  <c r="K75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2" i="3"/>
  <c r="K581" i="3"/>
  <c r="K580" i="3"/>
  <c r="K579" i="3"/>
  <c r="K576" i="3"/>
  <c r="K565" i="3"/>
  <c r="K564" i="3"/>
  <c r="K563" i="3"/>
  <c r="K562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3" i="3"/>
  <c r="K542" i="3"/>
  <c r="K541" i="3"/>
  <c r="K540" i="3"/>
  <c r="K539" i="3"/>
  <c r="K538" i="3"/>
  <c r="K537" i="3"/>
  <c r="K536" i="3"/>
  <c r="K534" i="3"/>
  <c r="K533" i="3"/>
  <c r="K532" i="3"/>
  <c r="K527" i="3"/>
  <c r="K524" i="3"/>
  <c r="K523" i="3"/>
  <c r="K521" i="3"/>
  <c r="K520" i="3"/>
  <c r="K518" i="3"/>
  <c r="K517" i="3"/>
  <c r="K516" i="3"/>
  <c r="K515" i="3"/>
  <c r="K514" i="3"/>
  <c r="K513" i="3"/>
  <c r="K506" i="3"/>
  <c r="K505" i="3"/>
  <c r="K504" i="3"/>
  <c r="K503" i="3"/>
  <c r="K493" i="3"/>
  <c r="K492" i="3"/>
  <c r="K490" i="3"/>
  <c r="K488" i="3"/>
  <c r="K487" i="3"/>
  <c r="K486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313" i="1"/>
  <c r="K314" i="1"/>
  <c r="K315" i="1"/>
  <c r="K316" i="1"/>
  <c r="K317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18" i="1"/>
  <c r="K321" i="1"/>
  <c r="K320" i="1"/>
  <c r="K319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4" i="1"/>
  <c r="K253" i="1"/>
  <c r="K252" i="1"/>
  <c r="K250" i="1"/>
  <c r="K248" i="1"/>
  <c r="K244" i="1"/>
  <c r="K242" i="1"/>
  <c r="K238" i="1"/>
  <c r="K237" i="1"/>
  <c r="K236" i="1"/>
  <c r="K235" i="1"/>
  <c r="K232" i="1"/>
  <c r="K230" i="1"/>
  <c r="K227" i="1"/>
  <c r="K226" i="1"/>
  <c r="K225" i="1"/>
  <c r="K224" i="1"/>
  <c r="K220" i="1"/>
  <c r="K218" i="1"/>
  <c r="K217" i="1"/>
  <c r="K215" i="1"/>
  <c r="K214" i="1"/>
  <c r="K213" i="1"/>
  <c r="K212" i="1"/>
  <c r="K208" i="1"/>
  <c r="K206" i="1"/>
  <c r="K205" i="1"/>
  <c r="K203" i="1"/>
  <c r="K202" i="1"/>
  <c r="K201" i="1"/>
  <c r="K200" i="1"/>
  <c r="K196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68" i="1" l="1"/>
  <c r="K74" i="1"/>
  <c r="K80" i="1"/>
  <c r="K86" i="1"/>
  <c r="K92" i="1"/>
  <c r="K98" i="1"/>
  <c r="K104" i="1"/>
  <c r="K110" i="1"/>
  <c r="K122" i="1"/>
  <c r="K128" i="1"/>
  <c r="K116" i="1"/>
  <c r="K255" i="1"/>
  <c r="K239" i="1"/>
  <c r="K198" i="1"/>
  <c r="K204" i="1"/>
  <c r="K210" i="1"/>
  <c r="K216" i="1"/>
  <c r="K222" i="1"/>
  <c r="K228" i="1"/>
  <c r="K234" i="1"/>
  <c r="K240" i="1"/>
  <c r="K246" i="1"/>
  <c r="K249" i="1"/>
  <c r="K195" i="1"/>
  <c r="K207" i="1"/>
  <c r="K219" i="1"/>
  <c r="K231" i="1"/>
  <c r="K243" i="1"/>
  <c r="K123" i="1"/>
  <c r="K129" i="1"/>
  <c r="K197" i="1"/>
  <c r="K209" i="1"/>
  <c r="K221" i="1"/>
  <c r="K233" i="1"/>
  <c r="K245" i="1"/>
  <c r="K251" i="1"/>
  <c r="K229" i="1"/>
  <c r="K241" i="1"/>
  <c r="K199" i="1"/>
  <c r="K211" i="1"/>
  <c r="K223" i="1"/>
  <c r="K247" i="1"/>
  <c r="K70" i="1"/>
  <c r="K76" i="1"/>
  <c r="K82" i="1"/>
  <c r="K94" i="1"/>
  <c r="K100" i="1"/>
  <c r="K106" i="1"/>
  <c r="K112" i="1"/>
  <c r="K118" i="1"/>
  <c r="K124" i="1"/>
  <c r="K69" i="1"/>
  <c r="K75" i="1"/>
  <c r="K81" i="1"/>
  <c r="K87" i="1"/>
  <c r="K93" i="1"/>
  <c r="K99" i="1"/>
  <c r="K105" i="1"/>
  <c r="K117" i="1"/>
  <c r="K111" i="1"/>
  <c r="K88" i="1"/>
  <c r="K66" i="1"/>
  <c r="K72" i="1"/>
  <c r="K78" i="1"/>
  <c r="K84" i="1"/>
  <c r="K90" i="1"/>
  <c r="K96" i="1"/>
  <c r="K102" i="1"/>
  <c r="K108" i="1"/>
  <c r="K114" i="1"/>
  <c r="K120" i="1"/>
  <c r="K126" i="1"/>
  <c r="K67" i="1"/>
  <c r="K73" i="1"/>
  <c r="K79" i="1"/>
  <c r="K85" i="1"/>
  <c r="K91" i="1"/>
  <c r="K97" i="1"/>
  <c r="K103" i="1"/>
  <c r="K109" i="1"/>
  <c r="K115" i="1"/>
  <c r="K121" i="1"/>
  <c r="K127" i="1"/>
  <c r="K71" i="1"/>
  <c r="K77" i="1"/>
  <c r="K83" i="1"/>
  <c r="K89" i="1"/>
  <c r="K95" i="1"/>
  <c r="K101" i="1"/>
  <c r="K107" i="1"/>
  <c r="K113" i="1"/>
  <c r="K119" i="1"/>
  <c r="K125" i="1"/>
</calcChain>
</file>

<file path=xl/sharedStrings.xml><?xml version="1.0" encoding="utf-8"?>
<sst xmlns="http://schemas.openxmlformats.org/spreadsheetml/2006/main" count="9074" uniqueCount="498">
  <si>
    <t>CÓDIGO INBAL</t>
  </si>
  <si>
    <t>CÓDIGO SHCP</t>
  </si>
  <si>
    <t>NIVEL SALARIAL</t>
  </si>
  <si>
    <t>DENOMINACIÓN PUESTOS  INBAL</t>
  </si>
  <si>
    <t>SUELDO BASE</t>
  </si>
  <si>
    <t>Comp.
Garant.</t>
  </si>
  <si>
    <t>Despensa mensual</t>
  </si>
  <si>
    <t>Ayuda para Pasajes</t>
  </si>
  <si>
    <t>Ayuda para activ. Sociocult.</t>
  </si>
  <si>
    <t>PERCEPCIÓN MENSUAL TOTAL</t>
  </si>
  <si>
    <t>S06006</t>
  </si>
  <si>
    <t>S01893</t>
  </si>
  <si>
    <t>T1</t>
  </si>
  <si>
    <t>APOYO A OPERACIÓN DE INTENDENCIA</t>
  </si>
  <si>
    <t>S03002</t>
  </si>
  <si>
    <t>S01891</t>
  </si>
  <si>
    <t>T2</t>
  </si>
  <si>
    <t>APOYO A SERVICIOS DE ELEVADOR</t>
  </si>
  <si>
    <t>S13011</t>
  </si>
  <si>
    <t>S03833</t>
  </si>
  <si>
    <t>APOYO A SERVICIOS DE ESTACIONAMIENTO</t>
  </si>
  <si>
    <t>S12030</t>
  </si>
  <si>
    <t>S12091</t>
  </si>
  <si>
    <t>APOYO A SERVICIOS DE JARDINERÍA</t>
  </si>
  <si>
    <t>A01023</t>
  </si>
  <si>
    <t>T3</t>
  </si>
  <si>
    <t>APOYO ADMINISTRATIVO EN ASISTENCIA</t>
  </si>
  <si>
    <t>A01026</t>
  </si>
  <si>
    <t>A01040</t>
  </si>
  <si>
    <t>APOYO ADMINISTRATIVO</t>
  </si>
  <si>
    <t>A07004</t>
  </si>
  <si>
    <t>A02813</t>
  </si>
  <si>
    <t>APOYO ADMINISTRATIVO EN RECEPCIÓN</t>
  </si>
  <si>
    <t>S13009</t>
  </si>
  <si>
    <t>A03832</t>
  </si>
  <si>
    <t>ASISTENTE DE APOYO A OPERACIÓN Y SERVICIOS DE MOTOCICLISTA</t>
  </si>
  <si>
    <t>A05010</t>
  </si>
  <si>
    <t>A05012</t>
  </si>
  <si>
    <t>AUXILIAR ADMINISTRATIVO EN CORRESPONDENCIA Y ARCHIVO</t>
  </si>
  <si>
    <t>A03004</t>
  </si>
  <si>
    <t>S01890</t>
  </si>
  <si>
    <t>AUXILIAR ADMINISTRATIVO DE ALMACEN</t>
  </si>
  <si>
    <t>S07008</t>
  </si>
  <si>
    <t>S01894</t>
  </si>
  <si>
    <t>ASISTENTE DE TECNICOS A OPERACIÓN Y SERVICIOS DE MANTENIMIENTO GENERAL</t>
  </si>
  <si>
    <t>S06002</t>
  </si>
  <si>
    <t>A03841</t>
  </si>
  <si>
    <t>T4</t>
  </si>
  <si>
    <t>TECNICOS DE OPERACIÓN Y SERVICIOS DE MANTENIMIENTO GENERAL</t>
  </si>
  <si>
    <t>C06003</t>
  </si>
  <si>
    <t>C02810</t>
  </si>
  <si>
    <t>ASISTENTE ADMINISTRATIVO EN COMUNICACIÓN</t>
  </si>
  <si>
    <t>A03003</t>
  </si>
  <si>
    <t>S01889</t>
  </si>
  <si>
    <t>ALMACENISTA ESPECIALIZADO</t>
  </si>
  <si>
    <t>S12037</t>
  </si>
  <si>
    <t>S01895</t>
  </si>
  <si>
    <t>APOYO A OPERACIÓN Y SERVICIOS DE PULIDO</t>
  </si>
  <si>
    <t>S13015</t>
  </si>
  <si>
    <t>S03834</t>
  </si>
  <si>
    <t>APOYO A OPERACIÓN Y SERVICIOS DE AUTOMOVILISTA</t>
  </si>
  <si>
    <t>S12008</t>
  </si>
  <si>
    <t>S12020</t>
  </si>
  <si>
    <t>APOYO A OPERACIÓN Y SERVICIOS DE CARPINTERIA</t>
  </si>
  <si>
    <t>A08020</t>
  </si>
  <si>
    <t>S12092</t>
  </si>
  <si>
    <t>AUXILIAR DE SECRETARIA</t>
  </si>
  <si>
    <t>S12051</t>
  </si>
  <si>
    <t>S12093</t>
  </si>
  <si>
    <t>APOYO A OPERACIÓN Y SERVICIO DE PLOMERIA</t>
  </si>
  <si>
    <t>S12054</t>
  </si>
  <si>
    <t>S12096</t>
  </si>
  <si>
    <t>APOYO A OPERACIÓN Y SERVICIOS DE ALBAÑILERIA</t>
  </si>
  <si>
    <t>S12055</t>
  </si>
  <si>
    <t>S12097</t>
  </si>
  <si>
    <t>APOYO A OPERACIÓN Y SERVICIO DE HERRERIA</t>
  </si>
  <si>
    <t>S12056</t>
  </si>
  <si>
    <t>S12098</t>
  </si>
  <si>
    <t>APOYO A OPERACIÓN Y SERVICIOS DE CERRAJERIA</t>
  </si>
  <si>
    <t>T06027</t>
  </si>
  <si>
    <t>T06824</t>
  </si>
  <si>
    <t>ASISTENTE ADMINISTRATIVO EN COMPUTACIÓN</t>
  </si>
  <si>
    <t>A01015</t>
  </si>
  <si>
    <t>A01038</t>
  </si>
  <si>
    <t>T5</t>
  </si>
  <si>
    <t>TECNICO ADMINISTRATIVO EN GESTORIA</t>
  </si>
  <si>
    <t>A08004</t>
  </si>
  <si>
    <t>A03840</t>
  </si>
  <si>
    <t>SECRETARIA</t>
  </si>
  <si>
    <t>A05007</t>
  </si>
  <si>
    <t>A05011</t>
  </si>
  <si>
    <t>TECNICO ADMINISTRATIVO EN CORRESPONDENCIA</t>
  </si>
  <si>
    <t>S14001</t>
  </si>
  <si>
    <t>S01892</t>
  </si>
  <si>
    <t>CUSTODIO ESPECIALIZADO DE MUSEOS</t>
  </si>
  <si>
    <t>S14006</t>
  </si>
  <si>
    <t>S01896</t>
  </si>
  <si>
    <t>CUSTODIO DE MUSEOS</t>
  </si>
  <si>
    <t>S12053</t>
  </si>
  <si>
    <t>S12011</t>
  </si>
  <si>
    <t>TECNICO EN ELEMENTOS MUSEOGRAFICOS EN PRODUCCIÓN DE PLASTICO</t>
  </si>
  <si>
    <t>S12052</t>
  </si>
  <si>
    <t>S12094</t>
  </si>
  <si>
    <t>TECNICO EN OPERACIÓN Y SERVICIOS DE TAPICERIA</t>
  </si>
  <si>
    <t>T03004</t>
  </si>
  <si>
    <t>T03853</t>
  </si>
  <si>
    <t>TECNICO ADMINISTRATIVO</t>
  </si>
  <si>
    <t>T13011</t>
  </si>
  <si>
    <t>T13818</t>
  </si>
  <si>
    <t>APOYO A ELEMENTOS MUSEOGRAFICOS</t>
  </si>
  <si>
    <t>T04034</t>
  </si>
  <si>
    <t>T14034</t>
  </si>
  <si>
    <t>TECNICO EN MANTENIMIENTO MUSEOGRAFICOS EN PINTURA</t>
  </si>
  <si>
    <t>A08003</t>
  </si>
  <si>
    <t>A03839</t>
  </si>
  <si>
    <t>T6</t>
  </si>
  <si>
    <t>ASISTENTE ESPECIALIZADO SECRETARIAL</t>
  </si>
  <si>
    <t>P05010</t>
  </si>
  <si>
    <t>P07027</t>
  </si>
  <si>
    <t>ASISTENTE TECNICO ADMINISTRATIVO ESPECIALIZADO EN CONTABILIDAD</t>
  </si>
  <si>
    <t>S13004</t>
  </si>
  <si>
    <t>S03830</t>
  </si>
  <si>
    <t>OPERADOR ESPECIALIZADO EN TRANSPORTE DE PASAJEROS</t>
  </si>
  <si>
    <t>S13006</t>
  </si>
  <si>
    <t>S03831</t>
  </si>
  <si>
    <t>OPERADOR ESPECIALIZADO DE TRANSPORTES DE BIENES CULTURALES</t>
  </si>
  <si>
    <t>S09001</t>
  </si>
  <si>
    <t>S09807</t>
  </si>
  <si>
    <t>TECNICO EN ILUMINACIÓN</t>
  </si>
  <si>
    <t>T06023</t>
  </si>
  <si>
    <t>T06823</t>
  </si>
  <si>
    <t>TECNICO ESPECIALIZADO EN PROCESOS DE INFORMATICA</t>
  </si>
  <si>
    <t>T08003</t>
  </si>
  <si>
    <t>T08813</t>
  </si>
  <si>
    <t>ASISTENTE DE DISEÑADOR GRAFICO</t>
  </si>
  <si>
    <t>A01003</t>
  </si>
  <si>
    <t>A01037</t>
  </si>
  <si>
    <t>T7</t>
  </si>
  <si>
    <t>TECNICO ADMINISTRATIVO ESPECIALIZADO</t>
  </si>
  <si>
    <t>A07007</t>
  </si>
  <si>
    <t>A02815</t>
  </si>
  <si>
    <t>DIVULGADOR DEL PATRIMONIO CULTURAL</t>
  </si>
  <si>
    <t>C02001</t>
  </si>
  <si>
    <t>C01817</t>
  </si>
  <si>
    <t>DIVULGADOR DEL PATRIMONIO CULTURAL PERIODISTA REPORTERO</t>
  </si>
  <si>
    <t>P05007</t>
  </si>
  <si>
    <t>P07026</t>
  </si>
  <si>
    <t>TECNICO ADMINISTRATIVO ESPECIALIZADO EN CONTABILIDAD</t>
  </si>
  <si>
    <t>T05006</t>
  </si>
  <si>
    <t>T05822</t>
  </si>
  <si>
    <t>TECNICO ESPECIALIZADO EN BIBLIOTECA</t>
  </si>
  <si>
    <t>T09004</t>
  </si>
  <si>
    <t>T09001</t>
  </si>
  <si>
    <t>TECNICO ESPECIALIZADO EN ENFERMERIA</t>
  </si>
  <si>
    <t>T13007</t>
  </si>
  <si>
    <t>T13817</t>
  </si>
  <si>
    <t>FOTOGRAFO</t>
  </si>
  <si>
    <t>T04019</t>
  </si>
  <si>
    <t>T14019</t>
  </si>
  <si>
    <t>TECNICO EN MONTAJE MUSEOGRAFICO</t>
  </si>
  <si>
    <t>T16005</t>
  </si>
  <si>
    <t>T16817</t>
  </si>
  <si>
    <t>TECNICO LABORATORISTA ESPECIALIZADO</t>
  </si>
  <si>
    <t>A01001</t>
  </si>
  <si>
    <t>A01036</t>
  </si>
  <si>
    <t>T8</t>
  </si>
  <si>
    <t>COORDINADOR DE SECCION ADMINISTRATIVA Y RECURSOS MATERIALES</t>
  </si>
  <si>
    <t>A06004</t>
  </si>
  <si>
    <t>A06009</t>
  </si>
  <si>
    <t>ASISTENTE DE TECNICO ESPECIALIZADO EN PROMOCION CULTURAL</t>
  </si>
  <si>
    <t>C02003</t>
  </si>
  <si>
    <t>C01818</t>
  </si>
  <si>
    <t>REDACTOR EDITOR ESPECIALIZADO</t>
  </si>
  <si>
    <t>T15002</t>
  </si>
  <si>
    <t>T03854</t>
  </si>
  <si>
    <t>ASISTENTE DOCUMENTADOR MUSEOGRAFICO</t>
  </si>
  <si>
    <t>T04013</t>
  </si>
  <si>
    <t>T04875</t>
  </si>
  <si>
    <t>ASISTENTE DE MAESTRO</t>
  </si>
  <si>
    <t>T08002</t>
  </si>
  <si>
    <t>T08812</t>
  </si>
  <si>
    <t>DISEÑADOR GRAFICO ESPECIALIZADO</t>
  </si>
  <si>
    <t>P13006</t>
  </si>
  <si>
    <t>P02809</t>
  </si>
  <si>
    <t>T9</t>
  </si>
  <si>
    <t>MEDICO GENERAL</t>
  </si>
  <si>
    <t>P16004</t>
  </si>
  <si>
    <t>P04806</t>
  </si>
  <si>
    <t>PSICOLOGO</t>
  </si>
  <si>
    <t>P03006</t>
  </si>
  <si>
    <t>P05808</t>
  </si>
  <si>
    <t>ARQUITECTO</t>
  </si>
  <si>
    <t>P01002</t>
  </si>
  <si>
    <t>T03850</t>
  </si>
  <si>
    <t>ASISTENTE DE JEFE DE AREA ADMINISTRATIVA DEL PATRIMONIO CULTURAL</t>
  </si>
  <si>
    <t>P06001</t>
  </si>
  <si>
    <t>T03851</t>
  </si>
  <si>
    <t>NUTRICIONISTA</t>
  </si>
  <si>
    <t>T15006</t>
  </si>
  <si>
    <t>T03855</t>
  </si>
  <si>
    <t>ASISTENTE DE MUSEOGRAFO PROYECTISTA</t>
  </si>
  <si>
    <t>T04010</t>
  </si>
  <si>
    <t>T04873</t>
  </si>
  <si>
    <t>MAESTRO ESPECIALIZADO EN TALLER</t>
  </si>
  <si>
    <t>T04007</t>
  </si>
  <si>
    <t>T14007</t>
  </si>
  <si>
    <t>MUSEOGRAFO ESPECIALIZADO</t>
  </si>
  <si>
    <t>T26005</t>
  </si>
  <si>
    <t>T26806</t>
  </si>
  <si>
    <t>TRABAJADORA SOCIAL</t>
  </si>
  <si>
    <t>CF96006</t>
  </si>
  <si>
    <t>CF18059</t>
  </si>
  <si>
    <t>C1</t>
  </si>
  <si>
    <t>JEFE DE SERVICIOS Y MANTENIMIENTO P</t>
  </si>
  <si>
    <t>CF53457</t>
  </si>
  <si>
    <t>CF04839</t>
  </si>
  <si>
    <t>C2</t>
  </si>
  <si>
    <t>SECRETARIA DE DIRECTOR DE AREA</t>
  </si>
  <si>
    <t>CF91026</t>
  </si>
  <si>
    <t>CF07016</t>
  </si>
  <si>
    <t>CF18860</t>
  </si>
  <si>
    <t>C3</t>
  </si>
  <si>
    <t>CF06025</t>
  </si>
  <si>
    <t>CF11011</t>
  </si>
  <si>
    <t>CF06004</t>
  </si>
  <si>
    <t>C5</t>
  </si>
  <si>
    <t>ASISTENTE DE OFICINA</t>
  </si>
  <si>
    <t>CF18001</t>
  </si>
  <si>
    <t>CF53456</t>
  </si>
  <si>
    <t>CF06006</t>
  </si>
  <si>
    <t>CF06002</t>
  </si>
  <si>
    <t>C4</t>
  </si>
  <si>
    <t>CF07007</t>
  </si>
  <si>
    <t>CF53453</t>
  </si>
  <si>
    <t>CF18861</t>
  </si>
  <si>
    <t>C6</t>
  </si>
  <si>
    <t>CF53455</t>
  </si>
  <si>
    <t>CF11059</t>
  </si>
  <si>
    <t>CF53668</t>
  </si>
  <si>
    <t>CF18861A</t>
  </si>
  <si>
    <t>CF07008</t>
  </si>
  <si>
    <t>CF21010</t>
  </si>
  <si>
    <t>CF08016</t>
  </si>
  <si>
    <t>CF33006</t>
  </si>
  <si>
    <t>C7</t>
  </si>
  <si>
    <t>CF21036</t>
  </si>
  <si>
    <t>CF33005</t>
  </si>
  <si>
    <t>CF34015</t>
  </si>
  <si>
    <t>CF34061</t>
  </si>
  <si>
    <t>CF21007</t>
  </si>
  <si>
    <t>CF21034</t>
  </si>
  <si>
    <t>C8</t>
  </si>
  <si>
    <t>ASISTENTE DE ENLACE</t>
  </si>
  <si>
    <t>CF34049</t>
  </si>
  <si>
    <t>CF33E21</t>
  </si>
  <si>
    <t>27Z</t>
  </si>
  <si>
    <t>ESPECIALISTA TECNICO</t>
  </si>
  <si>
    <t>PAGADOR</t>
  </si>
  <si>
    <t>APOYO DE INTENDENCIA</t>
  </si>
  <si>
    <t>SECRETARIA DE DIRECTOR GENERAL</t>
  </si>
  <si>
    <t>BOLETERO</t>
  </si>
  <si>
    <t>AUXILIAR DE CORRESPONDENCIA</t>
  </si>
  <si>
    <t>JEFE DE CUSTODIOS</t>
  </si>
  <si>
    <t>TECNICO EN INSPECCION</t>
  </si>
  <si>
    <t>VIGILANTE ESPECIALIZADO DE MUSEOS</t>
  </si>
  <si>
    <t>SECRETARIA AUXILIAR</t>
  </si>
  <si>
    <t>CHOFER DE CENTRO DE TRABAJO</t>
  </si>
  <si>
    <t>SECRETARIA DE DIRECTOR</t>
  </si>
  <si>
    <t>INSPECTOR DE SEGURIDAD</t>
  </si>
  <si>
    <t xml:space="preserve">AYUDANTE DE SERVICIOS DE LA OFICINA DEL DIR. GRAL. </t>
  </si>
  <si>
    <t>CAJERO</t>
  </si>
  <si>
    <t>COORDINADOR DE SECCION ADMINISTRATIVA Y SUPERVISION</t>
  </si>
  <si>
    <t>SUBAUDITOR</t>
  </si>
  <si>
    <t>ANALISTA DE SISTEMAS ADMINISTRATIVOS</t>
  </si>
  <si>
    <t>COORDINADOR DE OFICINA</t>
  </si>
  <si>
    <t>COORDINADOR ADMINISTRATIVO</t>
  </si>
  <si>
    <t>ABOGADO</t>
  </si>
  <si>
    <t>AUDITOR</t>
  </si>
  <si>
    <t>ASISTENTE DE JEFE DE DEPARTAMENTO</t>
  </si>
  <si>
    <t>PASANTE DE ABOGADO</t>
  </si>
  <si>
    <t>ANALISTA ESPECIALIZADO "A"</t>
  </si>
  <si>
    <t>ANALISTA ESPECIALIZADO "B"</t>
  </si>
  <si>
    <t xml:space="preserve">RESPONSABLE DE SERVICIOS </t>
  </si>
  <si>
    <t>RESPONSABLE DE SERVICIOS "A"</t>
  </si>
  <si>
    <t>APOYO EJECUTIVO</t>
  </si>
  <si>
    <t>ASISTENTE DE APOYO A OPERACIONES Y SERVICIOS DE MOTOCICLISTA</t>
  </si>
  <si>
    <t>DENOMINACIÓN PUESTO SHCP</t>
  </si>
  <si>
    <t>SUELDO BASE
INBAL $
(5)</t>
  </si>
  <si>
    <t>AR01201</t>
  </si>
  <si>
    <t>T20801</t>
  </si>
  <si>
    <t>M1</t>
  </si>
  <si>
    <t>CONCERTISTA 1/2 TIEMPO</t>
  </si>
  <si>
    <t>CANTANTE</t>
  </si>
  <si>
    <t>AR01202</t>
  </si>
  <si>
    <t>CONCERTISTA TIEMPO COMPLETO</t>
  </si>
  <si>
    <t>AR02011</t>
  </si>
  <si>
    <t>CANTANTE BAJO</t>
  </si>
  <si>
    <t>AR02012</t>
  </si>
  <si>
    <t>CANTANTE TENOR</t>
  </si>
  <si>
    <t>AR02014</t>
  </si>
  <si>
    <t>CANTANTE SOPRANO</t>
  </si>
  <si>
    <t>AR02016</t>
  </si>
  <si>
    <t>CANTANTE CONTRALTO</t>
  </si>
  <si>
    <t>AR01051</t>
  </si>
  <si>
    <t>T20802</t>
  </si>
  <si>
    <t>M4</t>
  </si>
  <si>
    <t>PRINCIPAL ADJUNTO VIOLIN</t>
  </si>
  <si>
    <t>MUSICO COPRINCIPAL</t>
  </si>
  <si>
    <t>AR01052</t>
  </si>
  <si>
    <t>PRINCIPAL ADJUNTO VIOLA</t>
  </si>
  <si>
    <t>AR01053</t>
  </si>
  <si>
    <t>PRINCIPAL ADJUNTO VILONCELLO</t>
  </si>
  <si>
    <t>AR01054</t>
  </si>
  <si>
    <t>PRINCIPAL ADJUNTO CONTRABAJO</t>
  </si>
  <si>
    <t>AR01060</t>
  </si>
  <si>
    <t>PRINCIPAL ADJUNTO PERCUSIONISTA</t>
  </si>
  <si>
    <t>AR01061</t>
  </si>
  <si>
    <t>PRINCIPAL ADJUNTO TROMBON</t>
  </si>
  <si>
    <t>AR01062</t>
  </si>
  <si>
    <t>PRINCIPAL ADJUNTO CLARINETE</t>
  </si>
  <si>
    <t>AR01065</t>
  </si>
  <si>
    <t>PRINCIPAL ADJUNTO TROMPETA</t>
  </si>
  <si>
    <t>AR01066</t>
  </si>
  <si>
    <t>PRINCIPAL ADJUNTO FAGOT</t>
  </si>
  <si>
    <t>AR01067</t>
  </si>
  <si>
    <t>PRINCIPAL ADJUNTO FLAUTA</t>
  </si>
  <si>
    <t>AR01068</t>
  </si>
  <si>
    <t>PRINCIPAL ADJUNTO CORNO</t>
  </si>
  <si>
    <t>AR01069</t>
  </si>
  <si>
    <t>PRINCIPAL ADJUNTO OBOE</t>
  </si>
  <si>
    <t>AR01110</t>
  </si>
  <si>
    <t>T20803</t>
  </si>
  <si>
    <t>M3</t>
  </si>
  <si>
    <t>REPETIDOR PERCUSION</t>
  </si>
  <si>
    <t>MUSICO PRIMERO</t>
  </si>
  <si>
    <t>AR01111</t>
  </si>
  <si>
    <t>REPETIDOR TROMBON</t>
  </si>
  <si>
    <t>AR01112</t>
  </si>
  <si>
    <t>REPETIDOR CLARINETE</t>
  </si>
  <si>
    <t>AR01115</t>
  </si>
  <si>
    <t>REPETIDOR TROMPETA</t>
  </si>
  <si>
    <t>AR01116</t>
  </si>
  <si>
    <t>REPETIDOR FAGOT</t>
  </si>
  <si>
    <t>AR01117</t>
  </si>
  <si>
    <t>REPETIDOR FLAUTA</t>
  </si>
  <si>
    <t>AR01118</t>
  </si>
  <si>
    <t>REPETIDOR CORNO</t>
  </si>
  <si>
    <t>AR01119</t>
  </si>
  <si>
    <t>REPETIDOR OBOE</t>
  </si>
  <si>
    <t>AR01031</t>
  </si>
  <si>
    <t>T20804</t>
  </si>
  <si>
    <t>M5</t>
  </si>
  <si>
    <t>PRINCIPAL JEFE SECCION VIOLINES</t>
  </si>
  <si>
    <t>MUSICO PRINCIPAL</t>
  </si>
  <si>
    <t>AR01032</t>
  </si>
  <si>
    <t>PRINCIPAL JEFE SECCION VIOLA</t>
  </si>
  <si>
    <t>AR01033</t>
  </si>
  <si>
    <t>PRINCIPAL JEFE SECCION VILONCELLO</t>
  </si>
  <si>
    <t>AR01034</t>
  </si>
  <si>
    <t>PRINCIPAL JEFE SECCION CONTRABAJO</t>
  </si>
  <si>
    <t>AR01037</t>
  </si>
  <si>
    <t>PRINCIPAL JEFE SECCION ARPA</t>
  </si>
  <si>
    <t>AR01039</t>
  </si>
  <si>
    <t>PRINCIPAL JEFE SECCION DE PIANO</t>
  </si>
  <si>
    <t>AR01040</t>
  </si>
  <si>
    <t>PRINCIPAL JEFE SECCION PERCUSIONES</t>
  </si>
  <si>
    <t>AR01041</t>
  </si>
  <si>
    <t>PRINCIPAL JEFE SECCION TROMBON</t>
  </si>
  <si>
    <t>AR01042</t>
  </si>
  <si>
    <t>PRINCIPAL JEFE SECCION CLARINETE</t>
  </si>
  <si>
    <t>AR01043</t>
  </si>
  <si>
    <t>PRINCIPAL JEFE SECCION TUBA</t>
  </si>
  <si>
    <t>AR01045</t>
  </si>
  <si>
    <t>PRINCIPAL JEFE SECCION TROMPETA</t>
  </si>
  <si>
    <t>AR01046</t>
  </si>
  <si>
    <t>PRINCIPAL JEFE SECCION FAGOT</t>
  </si>
  <si>
    <t>AR01047</t>
  </si>
  <si>
    <t>PRINCIPAL JEFE DE SECCION FLAUTA</t>
  </si>
  <si>
    <t>AR01048</t>
  </si>
  <si>
    <t>PRINCIPAL JEFE DE SECCION CORNO</t>
  </si>
  <si>
    <t>AR01049</t>
  </si>
  <si>
    <t>PRINCIPAL JEFE DE SECCION OBOE</t>
  </si>
  <si>
    <t>AR01121</t>
  </si>
  <si>
    <t>T20805</t>
  </si>
  <si>
    <t>M2</t>
  </si>
  <si>
    <t>MUSICO DE FILA VIOLIN</t>
  </si>
  <si>
    <t>MUSICO SEGUNDO</t>
  </si>
  <si>
    <t>AR01122</t>
  </si>
  <si>
    <t>MUSICO DE FILA VIOLA</t>
  </si>
  <si>
    <t>AR01123</t>
  </si>
  <si>
    <t>MUSICO DE FILA VIOLONCELLO</t>
  </si>
  <si>
    <t>AR01124</t>
  </si>
  <si>
    <t>MUSICO DE FILA CONTRABAJO</t>
  </si>
  <si>
    <t>AR01129</t>
  </si>
  <si>
    <t>MUSICO DE FILA PIANO</t>
  </si>
  <si>
    <t>AR01005</t>
  </si>
  <si>
    <t>T20806</t>
  </si>
  <si>
    <t>M7</t>
  </si>
  <si>
    <t>PRIMER CONCERTINO</t>
  </si>
  <si>
    <t>AR01006</t>
  </si>
  <si>
    <t>T20807</t>
  </si>
  <si>
    <t>M6</t>
  </si>
  <si>
    <t>SEGUNDO CONCERTINO</t>
  </si>
  <si>
    <t>AR01113</t>
  </si>
  <si>
    <t>REPETIDOR TUBA</t>
  </si>
  <si>
    <t>AR01127</t>
  </si>
  <si>
    <t>MUSICO DE FILA ARPA</t>
  </si>
  <si>
    <t>AR01130</t>
  </si>
  <si>
    <t>MUSICO DE FILA DE PERCUSIONES</t>
  </si>
  <si>
    <t>AR01131</t>
  </si>
  <si>
    <t>MUSICO DE FILA TROMBON</t>
  </si>
  <si>
    <t>AR01132</t>
  </si>
  <si>
    <t>MUSICO DE FILA CLARINETE</t>
  </si>
  <si>
    <t>AR01133</t>
  </si>
  <si>
    <t>MUSICO DE FILA TUBA</t>
  </si>
  <si>
    <t>AR01135</t>
  </si>
  <si>
    <t>MUSICO DE FILA TROMPETA</t>
  </si>
  <si>
    <t>AR01136</t>
  </si>
  <si>
    <t>MUSICO DE FILA FABOT</t>
  </si>
  <si>
    <t>AR01137</t>
  </si>
  <si>
    <t>MUSICO DE FILA FLAUTA</t>
  </si>
  <si>
    <t>AR01138</t>
  </si>
  <si>
    <t>MUSICO DE FILA CORNO</t>
  </si>
  <si>
    <t>AR01139</t>
  </si>
  <si>
    <t>MUSICO DE FILA OBOE</t>
  </si>
  <si>
    <t>AR02013</t>
  </si>
  <si>
    <t>CANTANTE BARITONO</t>
  </si>
  <si>
    <t>AR03005</t>
  </si>
  <si>
    <t>PRIMERISMA BAILARINA</t>
  </si>
  <si>
    <t>AR03006</t>
  </si>
  <si>
    <t>PRIMER BAILARIN</t>
  </si>
  <si>
    <t>AR03010</t>
  </si>
  <si>
    <t>SOLISTA A</t>
  </si>
  <si>
    <t>AR03011</t>
  </si>
  <si>
    <t>SOLISTA B</t>
  </si>
  <si>
    <t>AR03020</t>
  </si>
  <si>
    <t>CORIFEO</t>
  </si>
  <si>
    <t>AR03021</t>
  </si>
  <si>
    <t>BAILARIN A</t>
  </si>
  <si>
    <t>AR03022</t>
  </si>
  <si>
    <t>BAILARIN B</t>
  </si>
  <si>
    <t>AR01057</t>
  </si>
  <si>
    <t>PRINCIPAL ADJUNTO ARPA</t>
  </si>
  <si>
    <t>AR01059</t>
  </si>
  <si>
    <t>PRINCIPAL ADJUNTO PIANO</t>
  </si>
  <si>
    <t>AR01063</t>
  </si>
  <si>
    <t>PRINCIPAL ADJUNTO TUBA</t>
  </si>
  <si>
    <t>AR01101</t>
  </si>
  <si>
    <t>REPETIDOR VIOLIN</t>
  </si>
  <si>
    <t>AR01102</t>
  </si>
  <si>
    <t>REPETIDOR VIOLA</t>
  </si>
  <si>
    <t>AR01103</t>
  </si>
  <si>
    <t>REPETIDOR VIOLONCELLO</t>
  </si>
  <si>
    <t>AR01104</t>
  </si>
  <si>
    <t>REPETIDOR CONTRABAJO</t>
  </si>
  <si>
    <t>AR01107</t>
  </si>
  <si>
    <t>REPETIDOR ARPA</t>
  </si>
  <si>
    <t>AR01109</t>
  </si>
  <si>
    <t>REPETIDOR PIANO</t>
  </si>
  <si>
    <t>CA01001H</t>
  </si>
  <si>
    <t>DIRECTOR DE LA ORQUESTA SINFONICA</t>
  </si>
  <si>
    <t>CA03030</t>
  </si>
  <si>
    <t>INSTRUCTOR DE BALLET A</t>
  </si>
  <si>
    <t>CA03031</t>
  </si>
  <si>
    <t>INSTRUCTOR DE BALLET B</t>
  </si>
  <si>
    <t>CA03032</t>
  </si>
  <si>
    <t>INSTRUCTOR DE BALLET C</t>
  </si>
  <si>
    <t>CA04001</t>
  </si>
  <si>
    <t>GERENTE ARTISTICO</t>
  </si>
  <si>
    <t>CA04003</t>
  </si>
  <si>
    <t>JEFE DE PERSONAL</t>
  </si>
  <si>
    <t>CA04008</t>
  </si>
  <si>
    <t>REGISEUR</t>
  </si>
  <si>
    <t>CA01001</t>
  </si>
  <si>
    <t>DIRECTOR ARTISTICO</t>
  </si>
  <si>
    <t>AR02015</t>
  </si>
  <si>
    <t>CANTANTE MEZZOSOPRANO</t>
  </si>
  <si>
    <t>AR02010</t>
  </si>
  <si>
    <t>ARO3020</t>
  </si>
  <si>
    <t>DIRETOR DE LA ORQUESTA SINFONICA</t>
  </si>
  <si>
    <t>AR0135</t>
  </si>
  <si>
    <t>t20823</t>
  </si>
  <si>
    <t>T20819</t>
  </si>
  <si>
    <t>PRIMERISIMA BAILARINA</t>
  </si>
  <si>
    <t>T20820</t>
  </si>
  <si>
    <t>T20821</t>
  </si>
  <si>
    <t>PRIMER SOLISTA</t>
  </si>
  <si>
    <t>T20822</t>
  </si>
  <si>
    <t>SEGUNDO SOLISTA</t>
  </si>
  <si>
    <t>T20823</t>
  </si>
  <si>
    <t xml:space="preserve"> CORIFEO</t>
  </si>
  <si>
    <t>T20824</t>
  </si>
  <si>
    <t>CUERPO DE BALLET A</t>
  </si>
  <si>
    <t>T20825</t>
  </si>
  <si>
    <t>CUERPO DE BALLET B</t>
  </si>
  <si>
    <t>.</t>
  </si>
  <si>
    <t>MUSEO COPRINCIPAL</t>
  </si>
  <si>
    <t>AT03005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</si>
</sst>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_-[$$-80A]* #,##0.00_-;\-[$$-80A]* #,##0.00_-;_-[$$-80A]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 Light"/>
      <family val="2"/>
      <scheme val="major"/>
    </font>
    <font>
      <b/>
      <sz val="9"/>
      <color theme="0"/>
      <name val="Calibri Light"/>
      <family val="2"/>
      <scheme val="major"/>
    </font>
    <font>
      <sz val="10"/>
      <name val="Calibri Light"/>
      <family val="2"/>
      <scheme val="major"/>
    </font>
    <font>
      <sz val="9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2" fillId="0" borderId="0" xfId="1" applyFont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2" fontId="2" fillId="4" borderId="1" xfId="1" applyNumberFormat="1" applyFont="1" applyFill="1" applyBorder="1" applyAlignment="1">
      <alignment horizontal="right" vertical="center"/>
    </xf>
    <xf numFmtId="165" fontId="4" fillId="3" borderId="0" xfId="1" applyNumberFormat="1" applyFont="1" applyFill="1"/>
    <xf numFmtId="0" fontId="4" fillId="5" borderId="0" xfId="1" applyFont="1" applyFill="1" applyAlignment="1">
      <alignment horizontal="center" vertical="center"/>
    </xf>
    <xf numFmtId="2" fontId="2" fillId="5" borderId="1" xfId="1" applyNumberFormat="1" applyFont="1" applyFill="1" applyBorder="1" applyAlignment="1">
      <alignment horizontal="center" vertical="center"/>
    </xf>
    <xf numFmtId="2" fontId="2" fillId="5" borderId="1" xfId="1" applyNumberFormat="1" applyFont="1" applyFill="1" applyBorder="1" applyAlignment="1">
      <alignment horizontal="left" vertical="center" shrinkToFit="1"/>
    </xf>
    <xf numFmtId="2" fontId="2" fillId="5" borderId="1" xfId="1" applyNumberFormat="1" applyFont="1" applyFill="1" applyBorder="1" applyAlignment="1">
      <alignment horizontal="right" vertical="center"/>
    </xf>
    <xf numFmtId="2" fontId="2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 applyAlignment="1">
      <alignment horizontal="left" vertical="center" shrinkToFit="1"/>
    </xf>
    <xf numFmtId="0" fontId="3" fillId="6" borderId="1" xfId="1" applyFont="1" applyFill="1" applyBorder="1" applyAlignment="1">
      <alignment horizontal="center" vertical="center" wrapText="1"/>
    </xf>
    <xf numFmtId="164" fontId="3" fillId="6" borderId="1" xfId="1" applyNumberFormat="1" applyFont="1" applyFill="1" applyBorder="1" applyAlignment="1">
      <alignment horizontal="center" vertical="center" wrapText="1"/>
    </xf>
    <xf numFmtId="2" fontId="2" fillId="0" borderId="1" xfId="1" applyNumberFormat="1" applyFont="1" applyBorder="1" applyAlignment="1">
      <alignment horizontal="right" vertical="center"/>
    </xf>
    <xf numFmtId="2" fontId="2" fillId="0" borderId="0" xfId="1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center" shrinkToFit="1"/>
    </xf>
    <xf numFmtId="2" fontId="2" fillId="4" borderId="0" xfId="1" applyNumberFormat="1" applyFont="1" applyFill="1" applyAlignment="1">
      <alignment horizontal="right" vertical="center"/>
    </xf>
    <xf numFmtId="2" fontId="2" fillId="5" borderId="0" xfId="1" applyNumberFormat="1" applyFont="1" applyFill="1" applyAlignment="1">
      <alignment horizontal="center" vertical="center"/>
    </xf>
    <xf numFmtId="2" fontId="2" fillId="5" borderId="0" xfId="1" applyNumberFormat="1" applyFont="1" applyFill="1" applyAlignment="1">
      <alignment horizontal="left" vertical="center" shrinkToFit="1"/>
    </xf>
    <xf numFmtId="2" fontId="2" fillId="5" borderId="0" xfId="1" applyNumberFormat="1" applyFont="1" applyFill="1" applyAlignment="1">
      <alignment horizontal="right" vertical="center"/>
    </xf>
    <xf numFmtId="0" fontId="4" fillId="0" borderId="2" xfId="1" applyFont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164" fontId="3" fillId="2" borderId="3" xfId="1" applyNumberFormat="1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/>
    </xf>
    <xf numFmtId="3" fontId="2" fillId="0" borderId="1" xfId="1" applyNumberFormat="1" applyFont="1" applyBorder="1" applyAlignment="1">
      <alignment vertical="center"/>
    </xf>
    <xf numFmtId="3" fontId="2" fillId="0" borderId="1" xfId="1" applyNumberFormat="1" applyFont="1" applyBorder="1" applyAlignment="1">
      <alignment horizontal="center" vertical="center"/>
    </xf>
    <xf numFmtId="0" fontId="2" fillId="0" borderId="1" xfId="2" applyFont="1" applyBorder="1" applyAlignment="1">
      <alignment vertical="center"/>
    </xf>
    <xf numFmtId="3" fontId="2" fillId="0" borderId="3" xfId="1" applyNumberFormat="1" applyFont="1" applyBorder="1" applyAlignment="1">
      <alignment vertical="center" shrinkToFit="1"/>
    </xf>
    <xf numFmtId="4" fontId="2" fillId="4" borderId="1" xfId="1" applyNumberFormat="1" applyFont="1" applyFill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3" fontId="2" fillId="0" borderId="1" xfId="1" applyNumberFormat="1" applyFont="1" applyBorder="1" applyAlignment="1">
      <alignment horizontal="left" vertical="center" shrinkToFit="1"/>
    </xf>
    <xf numFmtId="2" fontId="2" fillId="7" borderId="1" xfId="1" applyNumberFormat="1" applyFont="1" applyFill="1" applyBorder="1" applyAlignment="1">
      <alignment horizontal="center" vertical="center"/>
    </xf>
    <xf numFmtId="2" fontId="2" fillId="7" borderId="1" xfId="1" applyNumberFormat="1" applyFont="1" applyFill="1" applyBorder="1" applyAlignment="1">
      <alignment horizontal="left" vertical="center" shrinkToFit="1"/>
    </xf>
    <xf numFmtId="0" fontId="4" fillId="7" borderId="0" xfId="1" applyFont="1" applyFill="1" applyAlignment="1">
      <alignment horizontal="center" vertical="center"/>
    </xf>
    <xf numFmtId="2" fontId="2" fillId="7" borderId="1" xfId="1" applyNumberFormat="1" applyFont="1" applyFill="1" applyBorder="1" applyAlignment="1">
      <alignment horizontal="right" vertical="center"/>
    </xf>
  </cellXfs>
  <cellStyles count="3">
    <cellStyle name="Normal" xfId="0" builtinId="0"/>
    <cellStyle name="Normal 2" xfId="1" xr:uid="{B0397D3F-A434-4821-973A-9D4666497FF4}"/>
    <cellStyle name="Normal 3" xfId="2" xr:uid="{A998556D-F7CA-4F0F-AE70-A0ABC857CD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%20INBA\00%20DP\Tabulador%20con%20123_FINAL.xls" TargetMode="External"/><Relationship Id="rId1" Type="http://schemas.openxmlformats.org/officeDocument/2006/relationships/externalLinkPath" Target="file:///D:\01%20INBA\00%20DP\Tabulador%20con%20123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%20INBA\02%20Conciliaci&#243;n\CRUCE%20Tabuladores%202024%20INBAL%20-%20SHCP%20ok%20(Env&#237;o%2007-08).xlsx" TargetMode="External"/><Relationship Id="rId1" Type="http://schemas.openxmlformats.org/officeDocument/2006/relationships/externalLinkPath" Target="file:///D:\01%20INBA\02%20Conciliaci&#243;n\CRUCE%20Tabuladores%202024%20INBAL%20-%20SHCP%20ok%20(Env&#237;o%2007-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M"/>
      <sheetName val=" TABULADOR GRAL"/>
      <sheetName val="Hoja1"/>
    </sheetNames>
    <sheetDataSet>
      <sheetData sheetId="0" refreshError="1">
        <row r="91">
          <cell r="A91" t="str">
            <v>T1</v>
          </cell>
          <cell r="B91" t="str">
            <v>S06006</v>
          </cell>
          <cell r="C91" t="str">
            <v>S01893</v>
          </cell>
          <cell r="D91" t="str">
            <v>APOYO A OPERACIÓN DE INTENDENCIA</v>
          </cell>
          <cell r="E91">
            <v>9249.7999999999993</v>
          </cell>
          <cell r="G91">
            <v>459.35</v>
          </cell>
        </row>
        <row r="92">
          <cell r="A92" t="str">
            <v>T2</v>
          </cell>
          <cell r="B92" t="str">
            <v>S13011</v>
          </cell>
          <cell r="C92" t="str">
            <v>S03833</v>
          </cell>
          <cell r="D92" t="str">
            <v>APOYO A SERVICIOS DE ESTACIONAMIENTO</v>
          </cell>
          <cell r="E92">
            <v>9685.5499999999993</v>
          </cell>
          <cell r="G92">
            <v>463.6</v>
          </cell>
        </row>
        <row r="93">
          <cell r="B93" t="str">
            <v>S12030</v>
          </cell>
          <cell r="C93" t="str">
            <v>S12091</v>
          </cell>
          <cell r="D93" t="str">
            <v>APOYO A SERVICIOS DE JARDINERIA</v>
          </cell>
        </row>
        <row r="94">
          <cell r="B94" t="str">
            <v>S03002</v>
          </cell>
          <cell r="C94" t="str">
            <v>S01891</v>
          </cell>
          <cell r="D94" t="str">
            <v>APOYO A SERVICIOS DE ELEVADOR</v>
          </cell>
        </row>
        <row r="95">
          <cell r="A95" t="str">
            <v>T3</v>
          </cell>
          <cell r="B95" t="str">
            <v>S13009</v>
          </cell>
          <cell r="C95" t="str">
            <v>A03832</v>
          </cell>
          <cell r="D95" t="str">
            <v>ASISTENTE DE APOYO A OPERACIONES Y SERVICIOS</v>
          </cell>
          <cell r="E95">
            <v>10137.299999999999</v>
          </cell>
          <cell r="G95">
            <v>467.95</v>
          </cell>
        </row>
        <row r="96">
          <cell r="D96" t="str">
            <v>DE MOTOCICLISTA</v>
          </cell>
        </row>
        <row r="97">
          <cell r="B97" t="str">
            <v>S01813</v>
          </cell>
          <cell r="C97" t="str">
            <v>S01894</v>
          </cell>
          <cell r="D97" t="str">
            <v>ASISTENTE DE TECNICOS A OPERACIÓN Y SERVICIOS</v>
          </cell>
        </row>
        <row r="98">
          <cell r="B98" t="str">
            <v>S07008</v>
          </cell>
          <cell r="D98" t="str">
            <v>EN MANTENIMIENTO GENERAL</v>
          </cell>
        </row>
        <row r="99">
          <cell r="B99" t="str">
            <v>A01026</v>
          </cell>
          <cell r="C99" t="str">
            <v>A01040</v>
          </cell>
          <cell r="D99" t="str">
            <v>APOYO ADMINISTRATIVO</v>
          </cell>
        </row>
        <row r="100">
          <cell r="B100" t="str">
            <v>A01023</v>
          </cell>
          <cell r="C100" t="str">
            <v>A01023</v>
          </cell>
          <cell r="D100" t="str">
            <v>APOYO ADMINISTRATIVO EN ASISTENCIA</v>
          </cell>
        </row>
        <row r="101">
          <cell r="B101" t="str">
            <v>A03004</v>
          </cell>
          <cell r="C101" t="str">
            <v>S01890</v>
          </cell>
          <cell r="D101" t="str">
            <v>AUXILIAR ADMINISTRATIVO DE ALMACEN</v>
          </cell>
        </row>
        <row r="102">
          <cell r="B102" t="str">
            <v>A05010</v>
          </cell>
          <cell r="C102" t="str">
            <v>A05012</v>
          </cell>
          <cell r="D102" t="str">
            <v>AUXILIAR ADMINISTRATIVO EN CORRESPONDENCIA</v>
          </cell>
        </row>
        <row r="103">
          <cell r="D103" t="str">
            <v>Y ARCHIVO</v>
          </cell>
        </row>
        <row r="104">
          <cell r="B104" t="str">
            <v>A07004</v>
          </cell>
          <cell r="C104" t="str">
            <v>A02813</v>
          </cell>
          <cell r="D104" t="str">
            <v>APOYO ADMINISTRATIVO EN RECEPCION</v>
          </cell>
        </row>
        <row r="105">
          <cell r="A105" t="str">
            <v>T4</v>
          </cell>
          <cell r="B105" t="str">
            <v>S13015</v>
          </cell>
          <cell r="C105" t="str">
            <v>S03834</v>
          </cell>
          <cell r="D105" t="str">
            <v xml:space="preserve">APOYO A OPERACIÓN Y SERVICIOS DE </v>
          </cell>
          <cell r="E105">
            <v>11111.75</v>
          </cell>
          <cell r="G105">
            <v>507.35</v>
          </cell>
        </row>
        <row r="106">
          <cell r="D106" t="str">
            <v>AUTOMOVILISTA</v>
          </cell>
        </row>
        <row r="107">
          <cell r="B107" t="str">
            <v>S06002</v>
          </cell>
          <cell r="C107" t="str">
            <v>A03841</v>
          </cell>
          <cell r="D107" t="str">
            <v xml:space="preserve">TECNICO DE OPERACIÓN Y SERVICIOS EN </v>
          </cell>
        </row>
        <row r="108">
          <cell r="D108" t="str">
            <v>MANTENIMIENTO GENERAL</v>
          </cell>
        </row>
        <row r="109">
          <cell r="B109" t="str">
            <v>S12056</v>
          </cell>
          <cell r="C109" t="str">
            <v>S12098</v>
          </cell>
          <cell r="D109" t="str">
            <v>APOYO A OPERACIÓN Y SERVICIOS DE CERRAJERÍA</v>
          </cell>
        </row>
        <row r="110">
          <cell r="B110" t="str">
            <v>S12037</v>
          </cell>
          <cell r="C110" t="str">
            <v>S12039</v>
          </cell>
          <cell r="D110" t="str">
            <v xml:space="preserve"> APOYO A OPERACIÓN Y SERVICIOS DE </v>
          </cell>
        </row>
        <row r="111">
          <cell r="D111" t="str">
            <v>PULIDO</v>
          </cell>
        </row>
        <row r="112">
          <cell r="B112" t="str">
            <v>S12051</v>
          </cell>
          <cell r="C112" t="str">
            <v>S12093</v>
          </cell>
          <cell r="D112" t="str">
            <v xml:space="preserve">APOYO A OPERACIÓN Y SERVICIOS DE </v>
          </cell>
        </row>
        <row r="113">
          <cell r="D113" t="str">
            <v>PLOMERIA</v>
          </cell>
        </row>
        <row r="114">
          <cell r="B114" t="str">
            <v>S12055</v>
          </cell>
          <cell r="C114" t="str">
            <v>S12097</v>
          </cell>
          <cell r="D114" t="str">
            <v xml:space="preserve">APOYO A OPERACIÓN Y SERVICIOS DE </v>
          </cell>
        </row>
        <row r="115">
          <cell r="D115" t="str">
            <v>HERRERIA</v>
          </cell>
        </row>
        <row r="116">
          <cell r="B116" t="str">
            <v>S12008</v>
          </cell>
          <cell r="C116" t="str">
            <v>S12021</v>
          </cell>
          <cell r="D116" t="str">
            <v xml:space="preserve">APOYO A OPERACIÓN Y SERVICIOS DE </v>
          </cell>
        </row>
        <row r="117">
          <cell r="D117" t="str">
            <v>CARPINTERIA</v>
          </cell>
        </row>
        <row r="118">
          <cell r="B118" t="str">
            <v>S12054</v>
          </cell>
          <cell r="C118" t="str">
            <v>S12096</v>
          </cell>
          <cell r="D118" t="str">
            <v xml:space="preserve">APOYO A OPERACIÓN Y SERVICIOS DE </v>
          </cell>
        </row>
        <row r="119">
          <cell r="D119" t="str">
            <v>ALBAÑILERIA</v>
          </cell>
        </row>
        <row r="120">
          <cell r="B120" t="str">
            <v>C06003</v>
          </cell>
          <cell r="C120" t="str">
            <v>C02810</v>
          </cell>
          <cell r="D120" t="str">
            <v>ASISTENTE ADMVO. EN COMUNICACIÓN</v>
          </cell>
        </row>
        <row r="121">
          <cell r="B121" t="str">
            <v>A03003</v>
          </cell>
          <cell r="C121" t="str">
            <v>S01889</v>
          </cell>
          <cell r="D121" t="str">
            <v>ALMACENISTA ESPECIALIZADO</v>
          </cell>
        </row>
        <row r="122">
          <cell r="B122" t="str">
            <v>A08020</v>
          </cell>
          <cell r="C122" t="str">
            <v>S12092</v>
          </cell>
          <cell r="D122" t="str">
            <v>AUXILIAR DE SECRETARIA</v>
          </cell>
        </row>
        <row r="123">
          <cell r="B123" t="str">
            <v>T06027</v>
          </cell>
          <cell r="C123" t="str">
            <v>T06824</v>
          </cell>
          <cell r="D123" t="str">
            <v>ASISTENTE ADMVO. EN COMPUTACION</v>
          </cell>
        </row>
        <row r="124">
          <cell r="A124" t="str">
            <v>T5</v>
          </cell>
          <cell r="B124" t="str">
            <v>S01896</v>
          </cell>
          <cell r="C124" t="str">
            <v>S01892</v>
          </cell>
          <cell r="D124" t="str">
            <v>CUSTODIO ESPECIALIZADO EN MUSEOS</v>
          </cell>
          <cell r="E124">
            <v>12225.95</v>
          </cell>
          <cell r="G124">
            <v>458.15</v>
          </cell>
        </row>
        <row r="125">
          <cell r="B125" t="str">
            <v>S14001</v>
          </cell>
        </row>
        <row r="126">
          <cell r="B126" t="str">
            <v>S12052</v>
          </cell>
          <cell r="C126" t="str">
            <v>S12094</v>
          </cell>
          <cell r="D126" t="str">
            <v>TECNICO EN OPERACIÓN Y SERVICIOS DE TAPICERÍA</v>
          </cell>
        </row>
        <row r="127">
          <cell r="B127" t="str">
            <v>S12053</v>
          </cell>
          <cell r="C127" t="str">
            <v>S12011</v>
          </cell>
          <cell r="D127" t="str">
            <v>TECNICO EN ELEMENTOS MUSEOGRAFICOS EN</v>
          </cell>
        </row>
        <row r="128">
          <cell r="D128" t="str">
            <v>PRODUCCION DE PLASTICOS</v>
          </cell>
        </row>
        <row r="129">
          <cell r="B129" t="str">
            <v>T04034</v>
          </cell>
          <cell r="C129" t="str">
            <v>T14034</v>
          </cell>
          <cell r="D129" t="str">
            <v>TECNICO EN MANTENIMIENTO MUSEOGRAFICO EN</v>
          </cell>
        </row>
        <row r="130">
          <cell r="D130" t="str">
            <v>PINTURA</v>
          </cell>
        </row>
        <row r="131">
          <cell r="B131" t="str">
            <v>A01015</v>
          </cell>
          <cell r="C131" t="str">
            <v>A01038</v>
          </cell>
          <cell r="D131" t="str">
            <v>TECNICO ADMINISTRATIVO EN GESTORIA</v>
          </cell>
        </row>
        <row r="132">
          <cell r="B132" t="str">
            <v>A05007</v>
          </cell>
          <cell r="C132" t="str">
            <v>A05011</v>
          </cell>
          <cell r="D132" t="str">
            <v>TECNICO ADMINISTRATIVO EN CORRESPONDENCIA</v>
          </cell>
        </row>
        <row r="133">
          <cell r="B133" t="str">
            <v>S14006</v>
          </cell>
          <cell r="C133" t="str">
            <v>S01896</v>
          </cell>
          <cell r="D133" t="str">
            <v>CUSTODIO DE MUSEOS</v>
          </cell>
        </row>
        <row r="134">
          <cell r="B134" t="str">
            <v>T13011</v>
          </cell>
          <cell r="C134" t="str">
            <v>T13818</v>
          </cell>
          <cell r="D134" t="str">
            <v>APOYO A ELEMENTOS MUSEOGRAFICOS</v>
          </cell>
        </row>
        <row r="135">
          <cell r="B135" t="str">
            <v>A08004</v>
          </cell>
          <cell r="C135" t="str">
            <v>A03840</v>
          </cell>
          <cell r="D135" t="str">
            <v>SECRETARIA</v>
          </cell>
        </row>
        <row r="136">
          <cell r="B136" t="str">
            <v>T03004</v>
          </cell>
          <cell r="C136" t="str">
            <v>T03853</v>
          </cell>
          <cell r="D136" t="str">
            <v xml:space="preserve">TECNICO ADMINISTRATIVO </v>
          </cell>
        </row>
        <row r="137">
          <cell r="A137" t="str">
            <v>T6</v>
          </cell>
          <cell r="B137" t="str">
            <v>S13006</v>
          </cell>
          <cell r="C137" t="str">
            <v>S03831</v>
          </cell>
          <cell r="D137" t="str">
            <v>OPERADOR ESPECIALIZADO DE TRANSPORTES DE</v>
          </cell>
          <cell r="E137">
            <v>13596.8</v>
          </cell>
          <cell r="G137">
            <v>471.35</v>
          </cell>
        </row>
        <row r="138">
          <cell r="D138" t="str">
            <v>BIENES CULTURALES</v>
          </cell>
        </row>
        <row r="139">
          <cell r="B139" t="str">
            <v>S13004</v>
          </cell>
          <cell r="C139" t="str">
            <v>S03830</v>
          </cell>
          <cell r="D139" t="str">
            <v>OPERADOR ESPECIALIZADO DE TRANSPORTES DE</v>
          </cell>
        </row>
        <row r="140">
          <cell r="D140" t="str">
            <v>PASAJEROS</v>
          </cell>
        </row>
        <row r="141">
          <cell r="B141" t="str">
            <v>S09001</v>
          </cell>
          <cell r="C141" t="str">
            <v>S09807</v>
          </cell>
          <cell r="D141" t="str">
            <v>TECNICO EN ILUMINACION</v>
          </cell>
        </row>
        <row r="142">
          <cell r="B142" t="str">
            <v>T08003</v>
          </cell>
          <cell r="C142" t="str">
            <v>T08813</v>
          </cell>
          <cell r="D142" t="str">
            <v>ASISTENTE DE DISEÑADOR GRAFICO</v>
          </cell>
        </row>
        <row r="143">
          <cell r="B143" t="str">
            <v>A08003</v>
          </cell>
          <cell r="C143" t="str">
            <v>A03839</v>
          </cell>
          <cell r="D143" t="str">
            <v>ASISTENTE ESPECIALIZADO SECRETARIAL</v>
          </cell>
        </row>
        <row r="144">
          <cell r="B144" t="str">
            <v>P05010</v>
          </cell>
          <cell r="C144" t="str">
            <v>P07027</v>
          </cell>
          <cell r="D144" t="str">
            <v>ASISTENTE DE TECNICO ADMVO. ESPECIALIZADO</v>
          </cell>
        </row>
        <row r="145">
          <cell r="D145" t="str">
            <v>EN CONTABILIDAD</v>
          </cell>
        </row>
        <row r="146">
          <cell r="B146" t="str">
            <v>T06023</v>
          </cell>
          <cell r="C146" t="str">
            <v>T06823</v>
          </cell>
          <cell r="D146" t="str">
            <v xml:space="preserve">TECNICO ESPECIALIZADO EN PROCESOS DE </v>
          </cell>
        </row>
        <row r="147">
          <cell r="D147" t="str">
            <v>INFORMATICA</v>
          </cell>
        </row>
        <row r="148">
          <cell r="A148" t="str">
            <v>T7</v>
          </cell>
          <cell r="B148" t="str">
            <v>C02001</v>
          </cell>
          <cell r="C148" t="str">
            <v>C01817</v>
          </cell>
          <cell r="D148" t="str">
            <v>DIVULGADOR DEL PATRIMONIO CULTURAL</v>
          </cell>
          <cell r="E148">
            <v>14781.35</v>
          </cell>
          <cell r="G148">
            <v>512.79999999999995</v>
          </cell>
        </row>
        <row r="149">
          <cell r="D149" t="str">
            <v>PERIODISTA REPORTERO</v>
          </cell>
        </row>
        <row r="150">
          <cell r="B150" t="str">
            <v>A07007</v>
          </cell>
          <cell r="C150" t="str">
            <v>A02815</v>
          </cell>
          <cell r="D150" t="str">
            <v>DIVULGADOR DEL PATRIMONIO CULTURAL</v>
          </cell>
        </row>
        <row r="151">
          <cell r="B151" t="str">
            <v>T13007</v>
          </cell>
          <cell r="C151" t="str">
            <v>T13817</v>
          </cell>
          <cell r="D151" t="str">
            <v>FOTOGRAFO</v>
          </cell>
        </row>
        <row r="152">
          <cell r="B152" t="str">
            <v>T05006</v>
          </cell>
          <cell r="C152" t="str">
            <v>T05822</v>
          </cell>
          <cell r="D152" t="str">
            <v>TECNICO ESPECIALIZADO EN BIBLIOTECA</v>
          </cell>
        </row>
        <row r="153">
          <cell r="B153" t="str">
            <v>T04019</v>
          </cell>
          <cell r="C153" t="str">
            <v>T14019</v>
          </cell>
          <cell r="D153" t="str">
            <v>TECNICO EN MONTAJE MUSEOGRAFICO</v>
          </cell>
        </row>
        <row r="154">
          <cell r="B154" t="str">
            <v>T16005</v>
          </cell>
          <cell r="C154" t="str">
            <v>T16817</v>
          </cell>
          <cell r="D154" t="str">
            <v>TECNICO LABORATORISTA ESPECIALIZADO</v>
          </cell>
        </row>
        <row r="155">
          <cell r="B155" t="str">
            <v>T09004</v>
          </cell>
          <cell r="C155" t="str">
            <v>T09001</v>
          </cell>
          <cell r="D155" t="str">
            <v>TECNICO ESPECIALIZADO EN ENFERMERIA</v>
          </cell>
        </row>
        <row r="156">
          <cell r="B156" t="str">
            <v>A01003</v>
          </cell>
          <cell r="C156" t="str">
            <v>A01037</v>
          </cell>
          <cell r="D156" t="str">
            <v>TECNICO ADMINISTRATIVO ESPECIALIZADO</v>
          </cell>
        </row>
        <row r="157">
          <cell r="B157" t="str">
            <v>P05007</v>
          </cell>
          <cell r="C157" t="str">
            <v>P07026</v>
          </cell>
          <cell r="D157" t="str">
            <v>TECNICO ADMINISTRATIVO ESPECIALIZADO CONTAB</v>
          </cell>
        </row>
        <row r="158">
          <cell r="A158" t="str">
            <v>T8</v>
          </cell>
          <cell r="B158" t="str">
            <v>T04013</v>
          </cell>
          <cell r="C158" t="str">
            <v>T04875</v>
          </cell>
          <cell r="D158" t="str">
            <v>ASISTENTE DE MAESTRO</v>
          </cell>
          <cell r="E158">
            <v>16332.3</v>
          </cell>
          <cell r="G158">
            <v>527.79999999999995</v>
          </cell>
        </row>
        <row r="159">
          <cell r="B159" t="str">
            <v>C02003</v>
          </cell>
          <cell r="C159" t="str">
            <v>C01818</v>
          </cell>
          <cell r="D159" t="str">
            <v>REDACTOR EDITOR ESPECIALIZADO</v>
          </cell>
        </row>
        <row r="160">
          <cell r="B160" t="str">
            <v>T08002</v>
          </cell>
          <cell r="C160" t="str">
            <v>T08812</v>
          </cell>
          <cell r="D160" t="str">
            <v>DISEÑADOR GRAFICO ESPECIALIZADO</v>
          </cell>
        </row>
        <row r="161">
          <cell r="B161" t="str">
            <v>A06004</v>
          </cell>
          <cell r="C161" t="str">
            <v>A06009</v>
          </cell>
          <cell r="D161" t="str">
            <v>ASISTENTE DE TECNICO ESPECIALIZADO EN</v>
          </cell>
        </row>
        <row r="162">
          <cell r="D162" t="str">
            <v>PROMOCION CULTURAL</v>
          </cell>
        </row>
        <row r="163">
          <cell r="B163" t="str">
            <v>T15002</v>
          </cell>
          <cell r="C163" t="str">
            <v>T03854</v>
          </cell>
          <cell r="D163" t="str">
            <v>ASISTENTE DE DOCUMENTOR MUSEOGRAFICO</v>
          </cell>
        </row>
        <row r="164">
          <cell r="B164" t="str">
            <v>A01001</v>
          </cell>
          <cell r="C164" t="str">
            <v>A01036</v>
          </cell>
          <cell r="D164" t="str">
            <v>COORDINADOR DE SECCION ADMINISTRATIVA Y</v>
          </cell>
        </row>
        <row r="165">
          <cell r="D165" t="str">
            <v>RECURSOS MATERIALES</v>
          </cell>
        </row>
        <row r="166">
          <cell r="A166" t="str">
            <v>T9</v>
          </cell>
          <cell r="B166" t="str">
            <v>T04010</v>
          </cell>
          <cell r="C166" t="str">
            <v>T04873</v>
          </cell>
          <cell r="D166" t="str">
            <v>MAESTRO ESPECIALIZADO EN TALLER</v>
          </cell>
          <cell r="E166">
            <v>18254.3</v>
          </cell>
          <cell r="G166">
            <v>576.35</v>
          </cell>
        </row>
        <row r="167">
          <cell r="B167" t="str">
            <v>T15006</v>
          </cell>
          <cell r="C167" t="str">
            <v>T03855</v>
          </cell>
          <cell r="D167" t="str">
            <v>ASISTENTE DE MUSEOGRAFO PROYECTISTA</v>
          </cell>
        </row>
        <row r="168">
          <cell r="B168" t="str">
            <v>T04007</v>
          </cell>
          <cell r="C168" t="str">
            <v>T14007</v>
          </cell>
          <cell r="D168" t="str">
            <v>MUSEOGRAFO ESPECIALIZADO</v>
          </cell>
        </row>
        <row r="169">
          <cell r="B169" t="str">
            <v>P01002</v>
          </cell>
          <cell r="C169" t="str">
            <v>T03850</v>
          </cell>
          <cell r="D169" t="str">
            <v>ASISTENTE DE JEFE DE AREA ADMINISTRATIVA DE</v>
          </cell>
        </row>
        <row r="170">
          <cell r="D170" t="str">
            <v>PATRIMONIO CULTURAL</v>
          </cell>
        </row>
        <row r="171">
          <cell r="B171" t="str">
            <v>T26005</v>
          </cell>
          <cell r="C171" t="str">
            <v>T26806</v>
          </cell>
          <cell r="D171" t="str">
            <v>TRABAJADORA SOCIAL</v>
          </cell>
        </row>
        <row r="172">
          <cell r="B172" t="str">
            <v>P06001</v>
          </cell>
          <cell r="C172" t="str">
            <v>P03851</v>
          </cell>
          <cell r="D172" t="str">
            <v>NUTRICIONISTA</v>
          </cell>
        </row>
        <row r="173">
          <cell r="B173" t="str">
            <v>P03006</v>
          </cell>
          <cell r="C173" t="str">
            <v>P05808</v>
          </cell>
          <cell r="D173" t="str">
            <v>ARQUITECTO</v>
          </cell>
        </row>
        <row r="174">
          <cell r="B174" t="str">
            <v>P13006</v>
          </cell>
          <cell r="C174" t="str">
            <v>P02809</v>
          </cell>
          <cell r="D174" t="str">
            <v>MEDICO GENERAL</v>
          </cell>
        </row>
        <row r="175">
          <cell r="B175" t="str">
            <v>P16004</v>
          </cell>
          <cell r="C175" t="str">
            <v>P04806</v>
          </cell>
          <cell r="D175" t="str">
            <v>PSICOLOGO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ULADOR ok"/>
      <sheetName val="MANDOS"/>
    </sheetNames>
    <sheetDataSet>
      <sheetData sheetId="0">
        <row r="2">
          <cell r="A2" t="str">
            <v>CODIGO</v>
          </cell>
          <cell r="B2" t="str">
            <v>NIVEL</v>
          </cell>
          <cell r="C2" t="str">
            <v>PUESTO</v>
          </cell>
          <cell r="D2" t="str">
            <v>HORAS</v>
          </cell>
          <cell r="E2" t="str">
            <v>SUELDO MENSUAL 07</v>
          </cell>
          <cell r="F2" t="str">
            <v>CG MENSUAL</v>
          </cell>
          <cell r="G2" t="str">
            <v>NIVEL SHCP</v>
          </cell>
          <cell r="H2" t="str">
            <v>COD.SHCP</v>
          </cell>
          <cell r="I2" t="str">
            <v>RANGO</v>
          </cell>
        </row>
        <row r="3">
          <cell r="A3" t="str">
            <v>A07006</v>
          </cell>
          <cell r="B3" t="str">
            <v>A1</v>
          </cell>
          <cell r="C3" t="str">
            <v>RECEPTOR/ACOMODADOR</v>
          </cell>
          <cell r="D3">
            <v>45</v>
          </cell>
          <cell r="E3">
            <v>13093.9</v>
          </cell>
          <cell r="F3">
            <v>845.6</v>
          </cell>
          <cell r="G3" t="str">
            <v>A1</v>
          </cell>
          <cell r="H3" t="str">
            <v>A07006</v>
          </cell>
          <cell r="I3">
            <v>15</v>
          </cell>
        </row>
        <row r="4">
          <cell r="A4" t="str">
            <v>T04008</v>
          </cell>
          <cell r="B4" t="str">
            <v>A2</v>
          </cell>
          <cell r="C4" t="str">
            <v>ASISTENTE TEATRAL</v>
          </cell>
          <cell r="D4">
            <v>45</v>
          </cell>
          <cell r="E4">
            <v>15137.45</v>
          </cell>
          <cell r="F4">
            <v>908.65</v>
          </cell>
          <cell r="G4" t="str">
            <v>A2</v>
          </cell>
          <cell r="H4" t="str">
            <v>T04008</v>
          </cell>
          <cell r="I4">
            <v>15</v>
          </cell>
        </row>
        <row r="5">
          <cell r="A5" t="str">
            <v>T04009</v>
          </cell>
          <cell r="B5" t="str">
            <v>A3</v>
          </cell>
          <cell r="C5" t="str">
            <v>TECNICO EN SONIDO ESPECIALIZADO</v>
          </cell>
          <cell r="D5">
            <v>45</v>
          </cell>
          <cell r="E5">
            <v>16159.2</v>
          </cell>
          <cell r="F5">
            <v>956.65</v>
          </cell>
          <cell r="G5" t="str">
            <v>A3</v>
          </cell>
          <cell r="H5" t="str">
            <v>T04009</v>
          </cell>
          <cell r="I5">
            <v>35</v>
          </cell>
        </row>
        <row r="6">
          <cell r="A6" t="str">
            <v>T04005D</v>
          </cell>
          <cell r="B6" t="str">
            <v>A4</v>
          </cell>
          <cell r="C6" t="str">
            <v>TECNICO  DE  FOROS  B EN TRAMOYA</v>
          </cell>
          <cell r="D6">
            <v>45</v>
          </cell>
          <cell r="E6">
            <v>18161.05</v>
          </cell>
          <cell r="F6">
            <v>1019.2</v>
          </cell>
          <cell r="G6" t="str">
            <v>A4</v>
          </cell>
          <cell r="H6" t="str">
            <v>T04005</v>
          </cell>
          <cell r="I6">
            <v>15</v>
          </cell>
        </row>
        <row r="7">
          <cell r="A7" t="str">
            <v>T04005C</v>
          </cell>
          <cell r="B7" t="str">
            <v>A4</v>
          </cell>
          <cell r="C7" t="str">
            <v>TECNICO  DE  FOROS  A EN TRAMOYA</v>
          </cell>
          <cell r="D7">
            <v>45</v>
          </cell>
          <cell r="E7">
            <v>18937.45</v>
          </cell>
          <cell r="F7">
            <v>1031.9000000000001</v>
          </cell>
          <cell r="G7" t="str">
            <v>A4</v>
          </cell>
          <cell r="H7" t="str">
            <v>T04005</v>
          </cell>
          <cell r="I7">
            <v>35</v>
          </cell>
        </row>
        <row r="8">
          <cell r="A8" t="str">
            <v>T04009D</v>
          </cell>
          <cell r="B8" t="str">
            <v>A4</v>
          </cell>
          <cell r="C8" t="str">
            <v>TECNICO DE FOROS B EN AUDIO</v>
          </cell>
          <cell r="D8">
            <v>45</v>
          </cell>
          <cell r="E8">
            <v>18161.05</v>
          </cell>
          <cell r="F8">
            <v>1019.2</v>
          </cell>
          <cell r="G8" t="str">
            <v>A4</v>
          </cell>
          <cell r="H8" t="str">
            <v>T04012</v>
          </cell>
          <cell r="I8">
            <v>15</v>
          </cell>
        </row>
        <row r="9">
          <cell r="A9" t="str">
            <v>T04012D</v>
          </cell>
          <cell r="B9" t="str">
            <v>A4</v>
          </cell>
          <cell r="C9" t="str">
            <v>TECNICO DE FOROS B ILUMINACION</v>
          </cell>
          <cell r="D9">
            <v>45</v>
          </cell>
          <cell r="E9">
            <v>18161.05</v>
          </cell>
          <cell r="F9">
            <v>1019.2</v>
          </cell>
          <cell r="G9" t="str">
            <v>A4</v>
          </cell>
          <cell r="H9" t="str">
            <v>T04012</v>
          </cell>
          <cell r="I9">
            <v>15</v>
          </cell>
        </row>
        <row r="10">
          <cell r="A10" t="str">
            <v>T04009C</v>
          </cell>
          <cell r="B10" t="str">
            <v>A4</v>
          </cell>
          <cell r="C10" t="str">
            <v>TECNICO DE FOROS A EN AUDIO</v>
          </cell>
          <cell r="D10">
            <v>45</v>
          </cell>
          <cell r="E10">
            <v>18937.45</v>
          </cell>
          <cell r="F10">
            <v>1031.9000000000001</v>
          </cell>
          <cell r="G10" t="str">
            <v>A4</v>
          </cell>
          <cell r="H10" t="str">
            <v>T04012</v>
          </cell>
          <cell r="I10">
            <v>35</v>
          </cell>
        </row>
        <row r="11">
          <cell r="A11" t="str">
            <v>T04012C</v>
          </cell>
          <cell r="B11" t="str">
            <v>A4</v>
          </cell>
          <cell r="C11" t="str">
            <v>TECNICO DE FOROS A ILUMINACION</v>
          </cell>
          <cell r="D11">
            <v>45</v>
          </cell>
          <cell r="E11">
            <v>18937.45</v>
          </cell>
          <cell r="F11">
            <v>1031.9000000000001</v>
          </cell>
          <cell r="G11" t="str">
            <v>A4</v>
          </cell>
          <cell r="H11" t="str">
            <v>T04012</v>
          </cell>
          <cell r="I11">
            <v>35</v>
          </cell>
        </row>
        <row r="12">
          <cell r="A12" t="str">
            <v>T04014D</v>
          </cell>
          <cell r="B12" t="str">
            <v>A4</v>
          </cell>
          <cell r="C12" t="str">
            <v>TECNICO DE FOROS B EN MECANICA TEATRAL</v>
          </cell>
          <cell r="D12">
            <v>45</v>
          </cell>
          <cell r="E12">
            <v>18161.05</v>
          </cell>
          <cell r="F12">
            <v>1019.2</v>
          </cell>
          <cell r="G12" t="str">
            <v>A4</v>
          </cell>
          <cell r="H12" t="str">
            <v>T04014</v>
          </cell>
          <cell r="I12">
            <v>15</v>
          </cell>
        </row>
        <row r="13">
          <cell r="A13" t="str">
            <v>T04014C</v>
          </cell>
          <cell r="B13" t="str">
            <v>A4</v>
          </cell>
          <cell r="C13" t="str">
            <v>TECNICO DE FOROS A EN MECANICA TEATRAL</v>
          </cell>
          <cell r="D13">
            <v>45</v>
          </cell>
          <cell r="E13">
            <v>18937.45</v>
          </cell>
          <cell r="F13">
            <v>1031.9000000000001</v>
          </cell>
          <cell r="G13" t="str">
            <v>A4</v>
          </cell>
          <cell r="H13" t="str">
            <v>T04014</v>
          </cell>
          <cell r="I13">
            <v>35</v>
          </cell>
        </row>
        <row r="14">
          <cell r="A14" t="str">
            <v>T04016D</v>
          </cell>
          <cell r="B14" t="str">
            <v>A4</v>
          </cell>
          <cell r="C14" t="str">
            <v>TECNICO DE FOROS B EN MAQUILLAJE</v>
          </cell>
          <cell r="D14">
            <v>45</v>
          </cell>
          <cell r="E14">
            <v>18161.05</v>
          </cell>
          <cell r="F14">
            <v>1019.2</v>
          </cell>
          <cell r="G14" t="str">
            <v>A4</v>
          </cell>
          <cell r="H14" t="str">
            <v>T04016</v>
          </cell>
          <cell r="I14">
            <v>15</v>
          </cell>
        </row>
        <row r="15">
          <cell r="A15" t="str">
            <v>T04016C</v>
          </cell>
          <cell r="B15" t="str">
            <v>A4</v>
          </cell>
          <cell r="C15" t="str">
            <v>TECNICO DE FOROS A EN MAQUILLAJE</v>
          </cell>
          <cell r="D15">
            <v>45</v>
          </cell>
          <cell r="E15">
            <v>18937.45</v>
          </cell>
          <cell r="F15">
            <v>1031.9000000000001</v>
          </cell>
          <cell r="G15" t="str">
            <v>A4</v>
          </cell>
          <cell r="H15" t="str">
            <v>T04016</v>
          </cell>
          <cell r="I15">
            <v>35</v>
          </cell>
        </row>
        <row r="16">
          <cell r="A16" t="str">
            <v>T04017D</v>
          </cell>
          <cell r="B16" t="str">
            <v>A4</v>
          </cell>
          <cell r="C16" t="str">
            <v>TECNICO DE FOROS B EN UTILERIA</v>
          </cell>
          <cell r="D16">
            <v>45</v>
          </cell>
          <cell r="E16">
            <v>18161.05</v>
          </cell>
          <cell r="F16">
            <v>1019.2</v>
          </cell>
          <cell r="G16" t="str">
            <v>A4</v>
          </cell>
          <cell r="H16" t="str">
            <v>T04017</v>
          </cell>
          <cell r="I16">
            <v>15</v>
          </cell>
        </row>
        <row r="17">
          <cell r="A17" t="str">
            <v>T04017C</v>
          </cell>
          <cell r="B17" t="str">
            <v>A4</v>
          </cell>
          <cell r="C17" t="str">
            <v>TECNICO DE FOROS A EN UTILERIA</v>
          </cell>
          <cell r="D17">
            <v>45</v>
          </cell>
          <cell r="E17">
            <v>18937.45</v>
          </cell>
          <cell r="F17">
            <v>1031.9000000000001</v>
          </cell>
          <cell r="G17" t="str">
            <v>A4</v>
          </cell>
          <cell r="H17" t="str">
            <v>T04017</v>
          </cell>
          <cell r="I17">
            <v>35</v>
          </cell>
        </row>
        <row r="18">
          <cell r="A18" t="str">
            <v>T04024D</v>
          </cell>
          <cell r="B18" t="str">
            <v>A4</v>
          </cell>
          <cell r="C18" t="str">
            <v>TECNICO DE FOROS B EN VESTUARIO</v>
          </cell>
          <cell r="D18">
            <v>45</v>
          </cell>
          <cell r="E18">
            <v>18161.05</v>
          </cell>
          <cell r="F18">
            <v>1019.2</v>
          </cell>
          <cell r="G18" t="str">
            <v>A4</v>
          </cell>
          <cell r="H18" t="str">
            <v>T04024</v>
          </cell>
          <cell r="I18">
            <v>15</v>
          </cell>
        </row>
        <row r="19">
          <cell r="A19" t="str">
            <v>T04024C</v>
          </cell>
          <cell r="B19" t="str">
            <v>A4</v>
          </cell>
          <cell r="C19" t="str">
            <v>TECNICO DE FOROS A EN VESTUARIO</v>
          </cell>
          <cell r="D19">
            <v>45</v>
          </cell>
          <cell r="E19">
            <v>18937.45</v>
          </cell>
          <cell r="F19">
            <v>1031.9000000000001</v>
          </cell>
          <cell r="G19" t="str">
            <v>A4</v>
          </cell>
          <cell r="H19" t="str">
            <v>T04024</v>
          </cell>
          <cell r="I19">
            <v>35</v>
          </cell>
        </row>
        <row r="20">
          <cell r="A20" t="str">
            <v>T04005B</v>
          </cell>
          <cell r="B20" t="str">
            <v>A5</v>
          </cell>
          <cell r="C20" t="str">
            <v>SUPERVISOR DE FOROS EN TRAMOYA</v>
          </cell>
          <cell r="D20">
            <v>45</v>
          </cell>
          <cell r="E20">
            <v>20053.400000000001</v>
          </cell>
          <cell r="F20">
            <v>1047.6500000000001</v>
          </cell>
          <cell r="G20" t="str">
            <v>A5</v>
          </cell>
          <cell r="H20" t="str">
            <v>T04013</v>
          </cell>
          <cell r="I20">
            <v>35</v>
          </cell>
        </row>
        <row r="21">
          <cell r="A21" t="str">
            <v>T04009B</v>
          </cell>
          <cell r="B21" t="str">
            <v>A5</v>
          </cell>
          <cell r="C21" t="str">
            <v>SUPERVISOR DE FOROS EN AUDIO</v>
          </cell>
          <cell r="D21">
            <v>45</v>
          </cell>
          <cell r="E21">
            <v>20053.400000000001</v>
          </cell>
          <cell r="F21">
            <v>1047.6500000000001</v>
          </cell>
          <cell r="G21" t="str">
            <v>A5</v>
          </cell>
          <cell r="H21" t="str">
            <v>T04013</v>
          </cell>
          <cell r="I21">
            <v>35</v>
          </cell>
        </row>
        <row r="22">
          <cell r="A22" t="str">
            <v>T04012B</v>
          </cell>
          <cell r="B22" t="str">
            <v>A5</v>
          </cell>
          <cell r="C22" t="str">
            <v>SUPERVISOR DE FOROS  ILUMINACION</v>
          </cell>
          <cell r="D22">
            <v>45</v>
          </cell>
          <cell r="E22">
            <v>20053.400000000001</v>
          </cell>
          <cell r="F22">
            <v>1047.6500000000001</v>
          </cell>
          <cell r="G22" t="str">
            <v>A5</v>
          </cell>
          <cell r="H22" t="str">
            <v>T04013</v>
          </cell>
          <cell r="I22">
            <v>35</v>
          </cell>
        </row>
        <row r="23">
          <cell r="A23" t="str">
            <v>T04014B</v>
          </cell>
          <cell r="B23" t="str">
            <v>A5</v>
          </cell>
          <cell r="C23" t="str">
            <v>SUPERVISOR DE FOROS EN MECANICA TEATRAL</v>
          </cell>
          <cell r="D23">
            <v>45</v>
          </cell>
          <cell r="E23">
            <v>20053.400000000001</v>
          </cell>
          <cell r="F23">
            <v>1047.6500000000001</v>
          </cell>
          <cell r="G23" t="str">
            <v>A5</v>
          </cell>
          <cell r="H23" t="str">
            <v>T04013</v>
          </cell>
          <cell r="I23">
            <v>35</v>
          </cell>
        </row>
        <row r="24">
          <cell r="A24" t="str">
            <v>T04016B</v>
          </cell>
          <cell r="B24" t="str">
            <v>A5</v>
          </cell>
          <cell r="C24" t="str">
            <v>SUPERVISOR DE FOROS EN MAQUILLAJE</v>
          </cell>
          <cell r="D24">
            <v>45</v>
          </cell>
          <cell r="E24">
            <v>20053.400000000001</v>
          </cell>
          <cell r="F24">
            <v>1047.6500000000001</v>
          </cell>
          <cell r="G24" t="str">
            <v>A5</v>
          </cell>
          <cell r="H24" t="str">
            <v>T04013</v>
          </cell>
          <cell r="I24">
            <v>35</v>
          </cell>
        </row>
        <row r="25">
          <cell r="A25" t="str">
            <v>T04017B</v>
          </cell>
          <cell r="B25" t="str">
            <v>A5</v>
          </cell>
          <cell r="C25" t="str">
            <v>SUPERVISOR DE FOROS  UTILERIA</v>
          </cell>
          <cell r="D25">
            <v>45</v>
          </cell>
          <cell r="E25">
            <v>20053.400000000001</v>
          </cell>
          <cell r="F25">
            <v>1047.6500000000001</v>
          </cell>
          <cell r="G25" t="str">
            <v>A5</v>
          </cell>
          <cell r="H25" t="str">
            <v>T04013</v>
          </cell>
          <cell r="I25">
            <v>35</v>
          </cell>
        </row>
        <row r="26">
          <cell r="A26" t="str">
            <v>T04024B</v>
          </cell>
          <cell r="B26" t="str">
            <v>A5</v>
          </cell>
          <cell r="C26" t="str">
            <v>SUPERVISOR DE FOROS EN VESTUARIO</v>
          </cell>
          <cell r="D26">
            <v>45</v>
          </cell>
          <cell r="E26">
            <v>20053.400000000001</v>
          </cell>
          <cell r="F26">
            <v>1047.6500000000001</v>
          </cell>
          <cell r="G26" t="str">
            <v>A5</v>
          </cell>
          <cell r="H26" t="str">
            <v>T04013</v>
          </cell>
          <cell r="I26">
            <v>35</v>
          </cell>
        </row>
        <row r="27">
          <cell r="A27" t="str">
            <v>T04015B</v>
          </cell>
          <cell r="B27" t="str">
            <v>A5</v>
          </cell>
          <cell r="C27" t="str">
            <v>SUPERVISOR DE FOROS EN TRANSPUNTE</v>
          </cell>
          <cell r="D27">
            <v>45</v>
          </cell>
          <cell r="E27">
            <v>20053.400000000001</v>
          </cell>
          <cell r="F27">
            <v>1047.6500000000001</v>
          </cell>
          <cell r="G27" t="str">
            <v>A5</v>
          </cell>
          <cell r="H27" t="str">
            <v>T04015</v>
          </cell>
          <cell r="I27">
            <v>35</v>
          </cell>
        </row>
        <row r="28">
          <cell r="A28" t="str">
            <v>T04005A</v>
          </cell>
          <cell r="B28" t="str">
            <v>A6</v>
          </cell>
          <cell r="C28" t="str">
            <v>JEFE DE AREA DE TRAMOYA EN FOROS</v>
          </cell>
          <cell r="D28">
            <v>45</v>
          </cell>
          <cell r="E28">
            <v>21169.8</v>
          </cell>
          <cell r="F28">
            <v>876.25</v>
          </cell>
          <cell r="G28" t="str">
            <v>A6</v>
          </cell>
          <cell r="H28" t="str">
            <v>T04010</v>
          </cell>
          <cell r="I28">
            <v>35</v>
          </cell>
        </row>
        <row r="29">
          <cell r="A29" t="str">
            <v>T04009A</v>
          </cell>
          <cell r="B29" t="str">
            <v>A6</v>
          </cell>
          <cell r="C29" t="str">
            <v>JEFE DE AREA EN AUDIO EN FOROS</v>
          </cell>
          <cell r="D29">
            <v>45</v>
          </cell>
          <cell r="E29">
            <v>21169.8</v>
          </cell>
          <cell r="F29">
            <v>876.25</v>
          </cell>
          <cell r="G29" t="str">
            <v>A6</v>
          </cell>
          <cell r="H29" t="str">
            <v>T04010</v>
          </cell>
          <cell r="I29">
            <v>35</v>
          </cell>
        </row>
        <row r="30">
          <cell r="A30" t="str">
            <v>T04012A</v>
          </cell>
          <cell r="B30" t="str">
            <v>A6</v>
          </cell>
          <cell r="C30" t="str">
            <v>JEFE DE AREA DE ILUMINACION EN FOROS</v>
          </cell>
          <cell r="D30">
            <v>45</v>
          </cell>
          <cell r="E30">
            <v>21169.8</v>
          </cell>
          <cell r="F30">
            <v>876.25</v>
          </cell>
          <cell r="G30" t="str">
            <v>A6</v>
          </cell>
          <cell r="H30" t="str">
            <v>T04010</v>
          </cell>
          <cell r="I30">
            <v>35</v>
          </cell>
        </row>
        <row r="31">
          <cell r="A31" t="str">
            <v>T04014A</v>
          </cell>
          <cell r="B31" t="str">
            <v>A6</v>
          </cell>
          <cell r="C31" t="str">
            <v>JEFE DE AREA EN MECANICA TEATRAL EN FOROS</v>
          </cell>
          <cell r="D31">
            <v>45</v>
          </cell>
          <cell r="E31">
            <v>21169.8</v>
          </cell>
          <cell r="F31">
            <v>876.25</v>
          </cell>
          <cell r="G31" t="str">
            <v>A6</v>
          </cell>
          <cell r="H31" t="str">
            <v>T04010</v>
          </cell>
          <cell r="I31">
            <v>35</v>
          </cell>
        </row>
        <row r="32">
          <cell r="A32" t="str">
            <v>T04015A</v>
          </cell>
          <cell r="B32" t="str">
            <v>A6</v>
          </cell>
          <cell r="C32" t="str">
            <v>JEFE DE AREA DE TRANSPUNTE EN FOROS</v>
          </cell>
          <cell r="D32">
            <v>45</v>
          </cell>
          <cell r="E32">
            <v>21169.8</v>
          </cell>
          <cell r="F32">
            <v>876.25</v>
          </cell>
          <cell r="G32" t="str">
            <v>A6</v>
          </cell>
          <cell r="H32" t="str">
            <v>T04010</v>
          </cell>
          <cell r="I32">
            <v>35</v>
          </cell>
        </row>
        <row r="33">
          <cell r="A33" t="str">
            <v>T04016A</v>
          </cell>
          <cell r="B33" t="str">
            <v>A6</v>
          </cell>
          <cell r="C33" t="str">
            <v>JEFE DE AREA MAQUILLAJE EN FOROS</v>
          </cell>
          <cell r="D33">
            <v>45</v>
          </cell>
          <cell r="E33">
            <v>21169.8</v>
          </cell>
          <cell r="F33">
            <v>876.25</v>
          </cell>
          <cell r="G33" t="str">
            <v>A6</v>
          </cell>
          <cell r="H33" t="str">
            <v>T04010</v>
          </cell>
          <cell r="I33">
            <v>35</v>
          </cell>
        </row>
        <row r="34">
          <cell r="A34" t="str">
            <v>T04017A</v>
          </cell>
          <cell r="B34" t="str">
            <v>A6</v>
          </cell>
          <cell r="C34" t="str">
            <v>JEFE DE AREA EN UTILERIA EN FOROS</v>
          </cell>
          <cell r="D34">
            <v>45</v>
          </cell>
          <cell r="E34">
            <v>21169.8</v>
          </cell>
          <cell r="F34">
            <v>876.25</v>
          </cell>
          <cell r="G34" t="str">
            <v>A6</v>
          </cell>
          <cell r="H34" t="str">
            <v>T04010</v>
          </cell>
          <cell r="I34">
            <v>35</v>
          </cell>
        </row>
        <row r="35">
          <cell r="A35" t="str">
            <v>T04024A</v>
          </cell>
          <cell r="B35" t="str">
            <v>A6</v>
          </cell>
          <cell r="C35" t="str">
            <v>JEFE DE AREA EN VESTUARIO EN FOROS</v>
          </cell>
          <cell r="D35">
            <v>45</v>
          </cell>
          <cell r="E35">
            <v>21169.8</v>
          </cell>
          <cell r="F35">
            <v>876.25</v>
          </cell>
          <cell r="G35" t="str">
            <v>A6</v>
          </cell>
          <cell r="H35" t="str">
            <v>T04010</v>
          </cell>
          <cell r="I35">
            <v>35</v>
          </cell>
        </row>
        <row r="36">
          <cell r="C36" t="str">
            <v>NO SE OCUPAN</v>
          </cell>
          <cell r="G36" t="str">
            <v>A1</v>
          </cell>
          <cell r="H36" t="str">
            <v>A07006</v>
          </cell>
          <cell r="I36">
            <v>35</v>
          </cell>
        </row>
        <row r="37">
          <cell r="C37" t="str">
            <v>NO SE OCUPAN</v>
          </cell>
          <cell r="G37" t="str">
            <v>A6</v>
          </cell>
          <cell r="H37" t="str">
            <v>T04010</v>
          </cell>
          <cell r="I37">
            <v>31</v>
          </cell>
        </row>
        <row r="38">
          <cell r="C38" t="str">
            <v>NO SE OCUPAN</v>
          </cell>
          <cell r="G38" t="str">
            <v>A5</v>
          </cell>
          <cell r="H38" t="str">
            <v>T04013</v>
          </cell>
          <cell r="I38">
            <v>31</v>
          </cell>
        </row>
        <row r="39">
          <cell r="C39" t="str">
            <v>NO SE OCUPAN</v>
          </cell>
          <cell r="G39" t="str">
            <v>A3</v>
          </cell>
          <cell r="H39" t="str">
            <v>T04046</v>
          </cell>
          <cell r="I39">
            <v>31</v>
          </cell>
        </row>
        <row r="40">
          <cell r="A40" t="str">
            <v>P03007</v>
          </cell>
          <cell r="B40" t="str">
            <v>R1</v>
          </cell>
          <cell r="C40" t="str">
            <v>AUXILIAR DE RESTAURADOR</v>
          </cell>
          <cell r="D40">
            <v>45</v>
          </cell>
          <cell r="E40">
            <v>10471.35</v>
          </cell>
          <cell r="F40">
            <v>869.35</v>
          </cell>
          <cell r="G40" t="str">
            <v>R1</v>
          </cell>
          <cell r="H40" t="str">
            <v>T21808</v>
          </cell>
          <cell r="I40">
            <v>31</v>
          </cell>
        </row>
        <row r="41">
          <cell r="A41" t="str">
            <v>P03016</v>
          </cell>
          <cell r="B41" t="str">
            <v>R2</v>
          </cell>
          <cell r="C41" t="str">
            <v>RESTAURADOR CONSERVADOR</v>
          </cell>
          <cell r="D41">
            <v>45</v>
          </cell>
          <cell r="E41">
            <v>12259.3</v>
          </cell>
          <cell r="F41">
            <v>929.1</v>
          </cell>
          <cell r="G41" t="str">
            <v>R2</v>
          </cell>
          <cell r="H41" t="str">
            <v>T21809</v>
          </cell>
          <cell r="I41">
            <v>31</v>
          </cell>
        </row>
        <row r="42">
          <cell r="A42" t="str">
            <v>P03005</v>
          </cell>
          <cell r="B42" t="str">
            <v>R3</v>
          </cell>
          <cell r="C42" t="str">
            <v>RESTAURADOR ESPECIALIZADO</v>
          </cell>
          <cell r="D42">
            <v>45</v>
          </cell>
          <cell r="E42">
            <v>18534.7</v>
          </cell>
          <cell r="F42">
            <v>984.2</v>
          </cell>
          <cell r="G42" t="str">
            <v>R3</v>
          </cell>
          <cell r="H42" t="str">
            <v>T21812</v>
          </cell>
          <cell r="I42">
            <v>31</v>
          </cell>
        </row>
        <row r="43">
          <cell r="A43" t="str">
            <v>P03005</v>
          </cell>
          <cell r="B43" t="str">
            <v>R3</v>
          </cell>
          <cell r="C43" t="str">
            <v>RESTAURADOR ESPECIALIZADO</v>
          </cell>
          <cell r="D43">
            <v>45</v>
          </cell>
          <cell r="E43">
            <v>18534.7</v>
          </cell>
          <cell r="F43">
            <v>984.2</v>
          </cell>
          <cell r="G43" t="str">
            <v>R3</v>
          </cell>
          <cell r="H43" t="str">
            <v>T21812</v>
          </cell>
          <cell r="I43">
            <v>31</v>
          </cell>
        </row>
        <row r="44">
          <cell r="A44" t="str">
            <v>P03005</v>
          </cell>
          <cell r="B44" t="str">
            <v>R3</v>
          </cell>
          <cell r="C44" t="str">
            <v>RESTAURADOR ESPECIALIZADO</v>
          </cell>
          <cell r="D44">
            <v>45</v>
          </cell>
          <cell r="E44">
            <v>18534.7</v>
          </cell>
          <cell r="F44">
            <v>984.2</v>
          </cell>
          <cell r="G44" t="str">
            <v>R3</v>
          </cell>
          <cell r="H44" t="str">
            <v>T21812</v>
          </cell>
          <cell r="I44">
            <v>31</v>
          </cell>
        </row>
        <row r="45">
          <cell r="A45" t="str">
            <v>P03014</v>
          </cell>
          <cell r="B45" t="str">
            <v>R4</v>
          </cell>
          <cell r="C45" t="str">
            <v>RESTAURADOR DISEÑADOR</v>
          </cell>
          <cell r="D45">
            <v>45</v>
          </cell>
          <cell r="E45">
            <v>20849.75</v>
          </cell>
          <cell r="F45">
            <v>1048.5999999999999</v>
          </cell>
          <cell r="G45" t="str">
            <v>R4</v>
          </cell>
          <cell r="H45" t="str">
            <v>T21811</v>
          </cell>
          <cell r="I45">
            <v>31</v>
          </cell>
        </row>
        <row r="46">
          <cell r="A46" t="str">
            <v>P03014</v>
          </cell>
          <cell r="B46" t="str">
            <v>R4</v>
          </cell>
          <cell r="C46" t="str">
            <v>RESTAURADOR DISEÑADOR</v>
          </cell>
          <cell r="D46">
            <v>45</v>
          </cell>
          <cell r="E46">
            <v>20849.75</v>
          </cell>
          <cell r="F46">
            <v>1048.5999999999999</v>
          </cell>
          <cell r="G46" t="str">
            <v>R4</v>
          </cell>
          <cell r="H46" t="str">
            <v>T21811</v>
          </cell>
          <cell r="I46">
            <v>31</v>
          </cell>
        </row>
        <row r="47">
          <cell r="A47" t="str">
            <v>P03014</v>
          </cell>
          <cell r="B47" t="str">
            <v>R4</v>
          </cell>
          <cell r="C47" t="str">
            <v>RESTAURADOR DISEÑADOR</v>
          </cell>
          <cell r="D47">
            <v>45</v>
          </cell>
          <cell r="E47">
            <v>20849.75</v>
          </cell>
          <cell r="F47">
            <v>1048.5999999999999</v>
          </cell>
          <cell r="G47" t="str">
            <v>R4</v>
          </cell>
          <cell r="H47" t="str">
            <v>T21811</v>
          </cell>
          <cell r="I47">
            <v>31</v>
          </cell>
        </row>
        <row r="48">
          <cell r="A48" t="str">
            <v>P03003</v>
          </cell>
          <cell r="B48" t="str">
            <v>R5</v>
          </cell>
          <cell r="C48" t="str">
            <v>RESTAURADOR DICTAMINADOR</v>
          </cell>
          <cell r="D48">
            <v>45</v>
          </cell>
          <cell r="E48">
            <v>26765.25</v>
          </cell>
          <cell r="F48">
            <v>601.20000000000005</v>
          </cell>
          <cell r="G48" t="str">
            <v>R5</v>
          </cell>
          <cell r="H48" t="str">
            <v>T21810</v>
          </cell>
          <cell r="I48">
            <v>31</v>
          </cell>
        </row>
        <row r="49">
          <cell r="A49" t="str">
            <v>P03003</v>
          </cell>
          <cell r="B49" t="str">
            <v>R5</v>
          </cell>
          <cell r="C49" t="str">
            <v>RESTAURADOR DICTAMINADOR</v>
          </cell>
          <cell r="D49">
            <v>45</v>
          </cell>
          <cell r="E49">
            <v>26765.25</v>
          </cell>
          <cell r="F49">
            <v>601.20000000000005</v>
          </cell>
          <cell r="G49" t="str">
            <v>R5</v>
          </cell>
          <cell r="H49" t="str">
            <v>T21810</v>
          </cell>
          <cell r="I49">
            <v>31</v>
          </cell>
        </row>
        <row r="50">
          <cell r="A50" t="str">
            <v>P03003</v>
          </cell>
          <cell r="B50" t="str">
            <v>R5</v>
          </cell>
          <cell r="C50" t="str">
            <v>RESTAURADOR DICTAMINADOR</v>
          </cell>
          <cell r="D50">
            <v>45</v>
          </cell>
          <cell r="E50">
            <v>26765.25</v>
          </cell>
          <cell r="F50">
            <v>601.20000000000005</v>
          </cell>
          <cell r="G50" t="str">
            <v>R5</v>
          </cell>
          <cell r="H50" t="str">
            <v>T21810</v>
          </cell>
          <cell r="I50">
            <v>31</v>
          </cell>
        </row>
        <row r="51">
          <cell r="A51" t="str">
            <v>P03002</v>
          </cell>
          <cell r="B51" t="str">
            <v>R6</v>
          </cell>
          <cell r="C51" t="str">
            <v>RESTAURADOR PROGRAMADOR</v>
          </cell>
          <cell r="D51">
            <v>45</v>
          </cell>
          <cell r="E51">
            <v>31304.6</v>
          </cell>
          <cell r="F51">
            <v>667.4</v>
          </cell>
          <cell r="G51" t="str">
            <v>R6</v>
          </cell>
          <cell r="H51" t="str">
            <v>T21814</v>
          </cell>
          <cell r="I51">
            <v>31</v>
          </cell>
        </row>
        <row r="52">
          <cell r="A52" t="str">
            <v>P03002</v>
          </cell>
          <cell r="B52" t="str">
            <v>R6</v>
          </cell>
          <cell r="C52" t="str">
            <v>RESTAURADOR PROGRAMADOR</v>
          </cell>
          <cell r="D52">
            <v>45</v>
          </cell>
          <cell r="E52">
            <v>31304.6</v>
          </cell>
          <cell r="F52">
            <v>667.4</v>
          </cell>
          <cell r="G52" t="str">
            <v>R6</v>
          </cell>
          <cell r="H52" t="str">
            <v>T21814</v>
          </cell>
          <cell r="I52">
            <v>31</v>
          </cell>
        </row>
        <row r="53">
          <cell r="A53" t="str">
            <v>P03002</v>
          </cell>
          <cell r="B53" t="str">
            <v>R6</v>
          </cell>
          <cell r="C53" t="str">
            <v>RESTAURADOR PROGRAMADOR</v>
          </cell>
          <cell r="D53">
            <v>45</v>
          </cell>
          <cell r="E53">
            <v>31304.6</v>
          </cell>
          <cell r="F53">
            <v>667.4</v>
          </cell>
          <cell r="G53" t="str">
            <v>R6</v>
          </cell>
          <cell r="H53" t="str">
            <v>T21814</v>
          </cell>
          <cell r="I53">
            <v>31</v>
          </cell>
        </row>
        <row r="54">
          <cell r="A54" t="str">
            <v>P03001</v>
          </cell>
          <cell r="B54" t="str">
            <v>R7</v>
          </cell>
          <cell r="C54" t="str">
            <v>RESTAURADOR PERITO</v>
          </cell>
          <cell r="D54">
            <v>45</v>
          </cell>
          <cell r="E54">
            <v>37005.550000000003</v>
          </cell>
          <cell r="F54">
            <v>342.45</v>
          </cell>
          <cell r="G54" t="str">
            <v>R7</v>
          </cell>
          <cell r="H54" t="str">
            <v>T21813</v>
          </cell>
          <cell r="I54">
            <v>31</v>
          </cell>
        </row>
        <row r="55">
          <cell r="A55" t="str">
            <v>P03001</v>
          </cell>
          <cell r="B55" t="str">
            <v>R7</v>
          </cell>
          <cell r="C55" t="str">
            <v>RESTAURADOR PERITO</v>
          </cell>
          <cell r="D55">
            <v>45</v>
          </cell>
          <cell r="E55">
            <v>37005.550000000003</v>
          </cell>
          <cell r="F55">
            <v>342.45</v>
          </cell>
          <cell r="G55" t="str">
            <v>R7</v>
          </cell>
          <cell r="H55" t="str">
            <v>T21813</v>
          </cell>
          <cell r="I55">
            <v>31</v>
          </cell>
        </row>
        <row r="56">
          <cell r="A56" t="str">
            <v>P03001</v>
          </cell>
          <cell r="B56" t="str">
            <v>R7</v>
          </cell>
          <cell r="C56" t="str">
            <v>RESTAURADOR PERITO</v>
          </cell>
          <cell r="D56">
            <v>45</v>
          </cell>
          <cell r="E56">
            <v>37005.550000000003</v>
          </cell>
          <cell r="F56">
            <v>342.45</v>
          </cell>
          <cell r="G56" t="str">
            <v>R7</v>
          </cell>
          <cell r="H56" t="str">
            <v>T21813</v>
          </cell>
          <cell r="I56">
            <v>31</v>
          </cell>
        </row>
        <row r="57">
          <cell r="A57" t="str">
            <v>CF33E21</v>
          </cell>
          <cell r="B57" t="str">
            <v>27Z</v>
          </cell>
          <cell r="C57" t="str">
            <v>ESPECIALISTA TECNICO</v>
          </cell>
          <cell r="D57">
            <v>45</v>
          </cell>
          <cell r="E57">
            <v>8715.5499999999993</v>
          </cell>
          <cell r="F57">
            <v>1411.3</v>
          </cell>
          <cell r="G57" t="str">
            <v>27Z</v>
          </cell>
          <cell r="H57" t="str">
            <v>CF33E21</v>
          </cell>
          <cell r="I57">
            <v>31</v>
          </cell>
        </row>
        <row r="58">
          <cell r="A58" t="str">
            <v>CF96006</v>
          </cell>
          <cell r="B58" t="str">
            <v>C1</v>
          </cell>
          <cell r="C58" t="str">
            <v>APOYO DE INTENDENCIA</v>
          </cell>
          <cell r="D58">
            <v>45</v>
          </cell>
          <cell r="E58">
            <v>10526.7</v>
          </cell>
          <cell r="F58">
            <v>871.55</v>
          </cell>
          <cell r="G58" t="str">
            <v>C1</v>
          </cell>
          <cell r="H58" t="str">
            <v>CF18059</v>
          </cell>
          <cell r="I58">
            <v>91</v>
          </cell>
        </row>
        <row r="59">
          <cell r="A59" t="str">
            <v>CF91026</v>
          </cell>
          <cell r="B59" t="str">
            <v>C2</v>
          </cell>
          <cell r="C59" t="str">
            <v>AUXILIAR DE CORRESPONDENCIA</v>
          </cell>
          <cell r="D59">
            <v>45</v>
          </cell>
          <cell r="E59">
            <v>11273.5</v>
          </cell>
          <cell r="F59">
            <v>884</v>
          </cell>
          <cell r="G59" t="str">
            <v>C2</v>
          </cell>
          <cell r="H59" t="str">
            <v>CF04839</v>
          </cell>
          <cell r="I59">
            <v>91</v>
          </cell>
        </row>
        <row r="60">
          <cell r="A60" t="str">
            <v>CF07016</v>
          </cell>
          <cell r="B60" t="str">
            <v>C3</v>
          </cell>
          <cell r="C60" t="str">
            <v>BOLETERO</v>
          </cell>
          <cell r="D60">
            <v>45</v>
          </cell>
          <cell r="E60">
            <v>12765.4</v>
          </cell>
          <cell r="F60">
            <v>941.7</v>
          </cell>
          <cell r="G60" t="str">
            <v>C3</v>
          </cell>
          <cell r="H60" t="str">
            <v>CF18860</v>
          </cell>
          <cell r="I60">
            <v>91</v>
          </cell>
        </row>
        <row r="61">
          <cell r="A61" t="str">
            <v>CF06002</v>
          </cell>
          <cell r="B61" t="str">
            <v>C4</v>
          </cell>
          <cell r="C61" t="str">
            <v>ANALIZTA ESPECIALIZADO "B"</v>
          </cell>
          <cell r="D61">
            <v>45</v>
          </cell>
          <cell r="E61">
            <v>14282.25</v>
          </cell>
          <cell r="F61">
            <v>895.2</v>
          </cell>
          <cell r="G61" t="str">
            <v>C4</v>
          </cell>
          <cell r="H61" t="str">
            <v>CF06002</v>
          </cell>
          <cell r="I61">
            <v>91</v>
          </cell>
        </row>
        <row r="62">
          <cell r="A62" t="str">
            <v>CF07007</v>
          </cell>
          <cell r="B62" t="str">
            <v>C5</v>
          </cell>
          <cell r="C62" t="str">
            <v>PAGADOR</v>
          </cell>
          <cell r="D62">
            <v>45</v>
          </cell>
          <cell r="E62">
            <v>14993.05</v>
          </cell>
          <cell r="F62">
            <v>907.25</v>
          </cell>
          <cell r="G62" t="str">
            <v>C5</v>
          </cell>
          <cell r="H62" t="str">
            <v>CF06004</v>
          </cell>
          <cell r="I62">
            <v>91</v>
          </cell>
        </row>
        <row r="63">
          <cell r="A63" t="str">
            <v>CF11011</v>
          </cell>
          <cell r="B63" t="str">
            <v>C5</v>
          </cell>
          <cell r="C63" t="str">
            <v>TECNICO EN INSPECCION</v>
          </cell>
          <cell r="D63">
            <v>45</v>
          </cell>
          <cell r="E63">
            <v>14993.05</v>
          </cell>
          <cell r="F63">
            <v>907.25</v>
          </cell>
          <cell r="G63" t="str">
            <v>C5</v>
          </cell>
          <cell r="H63" t="str">
            <v>CF06004</v>
          </cell>
          <cell r="I63">
            <v>91</v>
          </cell>
        </row>
        <row r="64">
          <cell r="A64" t="str">
            <v>CF18001</v>
          </cell>
          <cell r="B64" t="str">
            <v>C5</v>
          </cell>
          <cell r="C64" t="str">
            <v>VIGILANTE ESPECIALIZADO DE MUSEOS</v>
          </cell>
          <cell r="D64">
            <v>45</v>
          </cell>
          <cell r="E64">
            <v>14993.05</v>
          </cell>
          <cell r="F64">
            <v>907.25</v>
          </cell>
          <cell r="G64" t="str">
            <v>C5</v>
          </cell>
          <cell r="H64" t="str">
            <v>CF06004</v>
          </cell>
          <cell r="I64">
            <v>91</v>
          </cell>
        </row>
        <row r="65">
          <cell r="A65" t="str">
            <v>CF53456</v>
          </cell>
          <cell r="B65" t="str">
            <v>C5</v>
          </cell>
          <cell r="C65" t="str">
            <v>SECRETARIA AUXILIAR</v>
          </cell>
          <cell r="D65">
            <v>45</v>
          </cell>
          <cell r="E65">
            <v>14993.05</v>
          </cell>
          <cell r="F65">
            <v>907.25</v>
          </cell>
          <cell r="G65" t="str">
            <v>C5</v>
          </cell>
          <cell r="H65" t="str">
            <v>CF06004</v>
          </cell>
          <cell r="I65">
            <v>91</v>
          </cell>
        </row>
        <row r="66">
          <cell r="A66" t="str">
            <v>CF07008</v>
          </cell>
          <cell r="B66" t="str">
            <v>C6</v>
          </cell>
          <cell r="C66" t="str">
            <v>CAJERO</v>
          </cell>
          <cell r="D66">
            <v>45</v>
          </cell>
          <cell r="E66">
            <v>16334.3</v>
          </cell>
          <cell r="F66">
            <v>958.25</v>
          </cell>
          <cell r="G66" t="str">
            <v>C6</v>
          </cell>
          <cell r="H66" t="str">
            <v>CF18861</v>
          </cell>
          <cell r="I66">
            <v>91</v>
          </cell>
        </row>
        <row r="67">
          <cell r="A67" t="str">
            <v>CF53453</v>
          </cell>
          <cell r="B67" t="str">
            <v>C6</v>
          </cell>
          <cell r="C67" t="str">
            <v>CHOFER DE CENTRO DE TRABAJO</v>
          </cell>
          <cell r="D67">
            <v>45</v>
          </cell>
          <cell r="E67">
            <v>16334.3</v>
          </cell>
          <cell r="F67">
            <v>958.25</v>
          </cell>
          <cell r="G67" t="str">
            <v>C6</v>
          </cell>
          <cell r="H67" t="str">
            <v>CF18861</v>
          </cell>
          <cell r="I67">
            <v>91</v>
          </cell>
        </row>
        <row r="68">
          <cell r="A68" t="str">
            <v>CF53455</v>
          </cell>
          <cell r="B68" t="str">
            <v>C6</v>
          </cell>
          <cell r="C68" t="str">
            <v>SECRETARIA DE DIRECTOR</v>
          </cell>
          <cell r="D68">
            <v>45</v>
          </cell>
          <cell r="E68">
            <v>16334.3</v>
          </cell>
          <cell r="F68">
            <v>958.25</v>
          </cell>
          <cell r="G68" t="str">
            <v>C6</v>
          </cell>
          <cell r="H68" t="str">
            <v>CF18861</v>
          </cell>
          <cell r="I68">
            <v>91</v>
          </cell>
        </row>
        <row r="69">
          <cell r="A69" t="str">
            <v>CF08016</v>
          </cell>
          <cell r="B69" t="str">
            <v>C7</v>
          </cell>
          <cell r="C69" t="str">
            <v>COORD. DE SECCION ADMINISTRATIVA Y SUPERVISION</v>
          </cell>
          <cell r="D69">
            <v>45</v>
          </cell>
          <cell r="E69">
            <v>19504</v>
          </cell>
          <cell r="F69">
            <v>1037.4000000000001</v>
          </cell>
          <cell r="G69" t="str">
            <v>C7</v>
          </cell>
          <cell r="H69" t="str">
            <v>CF33006</v>
          </cell>
          <cell r="I69">
            <v>91</v>
          </cell>
        </row>
        <row r="70">
          <cell r="A70" t="str">
            <v>CF21036</v>
          </cell>
          <cell r="B70" t="str">
            <v>C7</v>
          </cell>
          <cell r="C70" t="str">
            <v>SUBAUDITOR</v>
          </cell>
          <cell r="D70">
            <v>45</v>
          </cell>
          <cell r="E70">
            <v>19504</v>
          </cell>
          <cell r="F70">
            <v>1037.4000000000001</v>
          </cell>
          <cell r="G70" t="str">
            <v>C7</v>
          </cell>
          <cell r="H70" t="str">
            <v>CF33006</v>
          </cell>
          <cell r="I70">
            <v>91</v>
          </cell>
        </row>
        <row r="71">
          <cell r="A71" t="str">
            <v>CF33005</v>
          </cell>
          <cell r="B71" t="str">
            <v>C7</v>
          </cell>
          <cell r="C71" t="str">
            <v>ANALISTA DE SIST. ADMVOS.</v>
          </cell>
          <cell r="D71">
            <v>45</v>
          </cell>
          <cell r="E71">
            <v>19504</v>
          </cell>
          <cell r="F71">
            <v>1037.4000000000001</v>
          </cell>
          <cell r="G71" t="str">
            <v>C7</v>
          </cell>
          <cell r="H71" t="str">
            <v>CF33006</v>
          </cell>
          <cell r="I71">
            <v>91</v>
          </cell>
        </row>
        <row r="72">
          <cell r="A72" t="str">
            <v>CF34015</v>
          </cell>
          <cell r="B72" t="str">
            <v>C7</v>
          </cell>
          <cell r="C72" t="str">
            <v>COORDINADOR DE OFICINA</v>
          </cell>
          <cell r="D72">
            <v>45</v>
          </cell>
          <cell r="E72">
            <v>19504</v>
          </cell>
          <cell r="F72">
            <v>1037.4000000000001</v>
          </cell>
          <cell r="G72" t="str">
            <v>C7</v>
          </cell>
          <cell r="H72" t="str">
            <v>CF33006</v>
          </cell>
          <cell r="I72">
            <v>91</v>
          </cell>
        </row>
        <row r="73">
          <cell r="A73" t="str">
            <v>CF34061</v>
          </cell>
          <cell r="B73" t="str">
            <v>C7</v>
          </cell>
          <cell r="C73" t="str">
            <v>COORDINADOR ADMINISTRATIVO</v>
          </cell>
          <cell r="D73">
            <v>45</v>
          </cell>
          <cell r="E73">
            <v>19504</v>
          </cell>
          <cell r="F73">
            <v>1037.4000000000001</v>
          </cell>
          <cell r="G73" t="str">
            <v>C7</v>
          </cell>
          <cell r="H73" t="str">
            <v>CF33006</v>
          </cell>
          <cell r="I73">
            <v>91</v>
          </cell>
        </row>
        <row r="74">
          <cell r="A74" t="str">
            <v>CF21007</v>
          </cell>
          <cell r="B74" t="str">
            <v>C8</v>
          </cell>
          <cell r="C74" t="str">
            <v>ABOGADO</v>
          </cell>
          <cell r="D74">
            <v>45</v>
          </cell>
          <cell r="E74">
            <v>22456.799999999999</v>
          </cell>
          <cell r="F74">
            <v>926.75</v>
          </cell>
          <cell r="G74" t="str">
            <v>C8</v>
          </cell>
          <cell r="H74" t="str">
            <v>CF21034</v>
          </cell>
          <cell r="I74">
            <v>91</v>
          </cell>
        </row>
        <row r="75">
          <cell r="A75" t="str">
            <v>CF21034</v>
          </cell>
          <cell r="B75" t="str">
            <v>C8</v>
          </cell>
          <cell r="C75" t="str">
            <v>AUDITOR</v>
          </cell>
          <cell r="D75">
            <v>45</v>
          </cell>
          <cell r="E75">
            <v>22456.799999999999</v>
          </cell>
          <cell r="F75">
            <v>926.75</v>
          </cell>
          <cell r="G75" t="str">
            <v>C8</v>
          </cell>
          <cell r="H75" t="str">
            <v>CF21034</v>
          </cell>
          <cell r="I75">
            <v>91</v>
          </cell>
        </row>
        <row r="76">
          <cell r="A76" t="str">
            <v>CF34049</v>
          </cell>
          <cell r="B76" t="str">
            <v>C8</v>
          </cell>
          <cell r="C76" t="str">
            <v>ASISTENTE DE JEFE DE DEPARTAMENTO</v>
          </cell>
          <cell r="D76">
            <v>45</v>
          </cell>
          <cell r="E76">
            <v>22456.799999999999</v>
          </cell>
          <cell r="F76">
            <v>926.75</v>
          </cell>
          <cell r="G76" t="str">
            <v>C8</v>
          </cell>
          <cell r="H76" t="str">
            <v>CF21034</v>
          </cell>
          <cell r="I76">
            <v>91</v>
          </cell>
        </row>
        <row r="77">
          <cell r="A77" t="str">
            <v>S06006</v>
          </cell>
          <cell r="B77" t="str">
            <v>T1</v>
          </cell>
          <cell r="C77" t="str">
            <v>APOYO A OPERACION DE  INTENDENCIA</v>
          </cell>
          <cell r="D77">
            <v>45</v>
          </cell>
          <cell r="E77">
            <v>10197</v>
          </cell>
          <cell r="F77">
            <v>868.4</v>
          </cell>
          <cell r="G77" t="str">
            <v>T1</v>
          </cell>
          <cell r="H77" t="str">
            <v>S01893</v>
          </cell>
          <cell r="I77">
            <v>95</v>
          </cell>
        </row>
        <row r="78">
          <cell r="A78" t="str">
            <v>S03002</v>
          </cell>
          <cell r="B78" t="str">
            <v>T2</v>
          </cell>
          <cell r="C78" t="str">
            <v>APOYO A SERVICIOS DE ELEVADOR</v>
          </cell>
          <cell r="D78">
            <v>45</v>
          </cell>
          <cell r="E78">
            <v>10677.35</v>
          </cell>
          <cell r="F78">
            <v>878.25</v>
          </cell>
          <cell r="G78" t="str">
            <v>T2</v>
          </cell>
          <cell r="H78" t="str">
            <v>S01891</v>
          </cell>
          <cell r="I78">
            <v>95</v>
          </cell>
        </row>
        <row r="79">
          <cell r="A79" t="str">
            <v>S13011</v>
          </cell>
          <cell r="B79" t="str">
            <v>T2</v>
          </cell>
          <cell r="C79" t="str">
            <v>APOYO A SERVICIOS DE ESTACIONAMIENTO</v>
          </cell>
          <cell r="D79">
            <v>45</v>
          </cell>
          <cell r="E79">
            <v>10677.35</v>
          </cell>
          <cell r="F79">
            <v>878.25</v>
          </cell>
          <cell r="G79" t="str">
            <v>T2</v>
          </cell>
          <cell r="H79" t="str">
            <v>S03833</v>
          </cell>
          <cell r="I79">
            <v>95</v>
          </cell>
        </row>
        <row r="80">
          <cell r="A80" t="str">
            <v>S12030</v>
          </cell>
          <cell r="B80" t="str">
            <v>T2</v>
          </cell>
          <cell r="C80" t="str">
            <v>APOYO A SERVICIOS DE JARDINERIA</v>
          </cell>
          <cell r="D80">
            <v>45</v>
          </cell>
          <cell r="E80">
            <v>10677.35</v>
          </cell>
          <cell r="F80">
            <v>878.25</v>
          </cell>
          <cell r="G80" t="str">
            <v>T2</v>
          </cell>
          <cell r="H80" t="str">
            <v>S12091</v>
          </cell>
          <cell r="I80">
            <v>95</v>
          </cell>
        </row>
        <row r="81">
          <cell r="A81" t="str">
            <v>A01023</v>
          </cell>
          <cell r="B81" t="str">
            <v>T3</v>
          </cell>
          <cell r="C81" t="str">
            <v>APOYO ADMINISTRATIVO EN ASISTENCIA</v>
          </cell>
          <cell r="D81">
            <v>45</v>
          </cell>
          <cell r="E81">
            <v>11175.35</v>
          </cell>
          <cell r="F81">
            <v>883.05</v>
          </cell>
          <cell r="G81" t="str">
            <v>T3</v>
          </cell>
          <cell r="H81" t="str">
            <v>A01023</v>
          </cell>
          <cell r="I81">
            <v>95</v>
          </cell>
        </row>
        <row r="82">
          <cell r="A82" t="str">
            <v>A01026</v>
          </cell>
          <cell r="B82" t="str">
            <v>T3</v>
          </cell>
          <cell r="C82" t="str">
            <v>APOYO ADMINISTRATIVO</v>
          </cell>
          <cell r="D82">
            <v>45</v>
          </cell>
          <cell r="E82">
            <v>11175.35</v>
          </cell>
          <cell r="F82">
            <v>883.05</v>
          </cell>
          <cell r="G82" t="str">
            <v>T3</v>
          </cell>
          <cell r="H82" t="str">
            <v>A01040</v>
          </cell>
          <cell r="I82">
            <v>95</v>
          </cell>
        </row>
        <row r="83">
          <cell r="A83" t="str">
            <v>A07004</v>
          </cell>
          <cell r="B83" t="str">
            <v>T3</v>
          </cell>
          <cell r="C83" t="str">
            <v>APOYO ADMINISTRATIVO EN  RECEPCION</v>
          </cell>
          <cell r="D83">
            <v>45</v>
          </cell>
          <cell r="E83">
            <v>11175.35</v>
          </cell>
          <cell r="F83">
            <v>883.05</v>
          </cell>
          <cell r="G83" t="str">
            <v>T3</v>
          </cell>
          <cell r="H83" t="str">
            <v>A02813</v>
          </cell>
          <cell r="I83">
            <v>95</v>
          </cell>
        </row>
        <row r="84">
          <cell r="A84" t="str">
            <v>S13009</v>
          </cell>
          <cell r="B84" t="str">
            <v>T3</v>
          </cell>
          <cell r="C84" t="str">
            <v>ASISTENTE DE APOYO A OPERACION Y SERVICIOS DE MOTOCICLISTA</v>
          </cell>
          <cell r="D84">
            <v>45</v>
          </cell>
          <cell r="E84">
            <v>11175.35</v>
          </cell>
          <cell r="F84">
            <v>883.05</v>
          </cell>
          <cell r="G84" t="str">
            <v>T3</v>
          </cell>
          <cell r="H84" t="str">
            <v>A03832</v>
          </cell>
          <cell r="I84">
            <v>95</v>
          </cell>
        </row>
        <row r="85">
          <cell r="A85" t="str">
            <v>A05010</v>
          </cell>
          <cell r="B85" t="str">
            <v>T3</v>
          </cell>
          <cell r="C85" t="str">
            <v>AUXILIAR ADMINISTRATIVO EN CORRESPONDENCIA Y ARCHIVO</v>
          </cell>
          <cell r="D85">
            <v>45</v>
          </cell>
          <cell r="E85">
            <v>11175.35</v>
          </cell>
          <cell r="F85">
            <v>883.05</v>
          </cell>
          <cell r="G85" t="str">
            <v>T3</v>
          </cell>
          <cell r="H85" t="str">
            <v>A05012</v>
          </cell>
          <cell r="I85">
            <v>95</v>
          </cell>
        </row>
        <row r="86">
          <cell r="A86" t="str">
            <v>A03004</v>
          </cell>
          <cell r="B86" t="str">
            <v>T3</v>
          </cell>
          <cell r="C86" t="str">
            <v>AUXILIAR ADMINISTRATIVO DE ALMACEN</v>
          </cell>
          <cell r="D86">
            <v>45</v>
          </cell>
          <cell r="E86">
            <v>11175.35</v>
          </cell>
          <cell r="F86">
            <v>883.05</v>
          </cell>
          <cell r="G86" t="str">
            <v>T3</v>
          </cell>
          <cell r="H86" t="str">
            <v>S01890</v>
          </cell>
          <cell r="I86">
            <v>95</v>
          </cell>
        </row>
        <row r="87">
          <cell r="A87" t="str">
            <v>S07008</v>
          </cell>
          <cell r="B87" t="str">
            <v>T3</v>
          </cell>
          <cell r="C87" t="str">
            <v>ASISTENTE DE TECNICOS A OPERACION Y SERVICIOS DE MANTENIMIENTO G</v>
          </cell>
          <cell r="D87">
            <v>45</v>
          </cell>
          <cell r="E87">
            <v>11175.35</v>
          </cell>
          <cell r="F87">
            <v>883.05</v>
          </cell>
          <cell r="G87" t="str">
            <v>T3</v>
          </cell>
          <cell r="H87" t="str">
            <v>S01894</v>
          </cell>
          <cell r="I87">
            <v>95</v>
          </cell>
        </row>
        <row r="88">
          <cell r="A88" t="str">
            <v>S06002</v>
          </cell>
          <cell r="B88" t="str">
            <v>T4</v>
          </cell>
          <cell r="C88" t="str">
            <v>TECNICOS DE OPERACION Y SERVICIOS DE MANTENIMIENTO GENERAL</v>
          </cell>
          <cell r="D88">
            <v>45</v>
          </cell>
          <cell r="E88">
            <v>12249.6</v>
          </cell>
          <cell r="F88">
            <v>936.65</v>
          </cell>
          <cell r="G88" t="str">
            <v>T4</v>
          </cell>
          <cell r="H88" t="str">
            <v>A03841</v>
          </cell>
          <cell r="I88">
            <v>95</v>
          </cell>
        </row>
        <row r="89">
          <cell r="A89" t="str">
            <v>C06003</v>
          </cell>
          <cell r="B89" t="str">
            <v>T4</v>
          </cell>
          <cell r="C89" t="str">
            <v>ASISTENTE ADMINISTRATIVO EN COMUNICACION</v>
          </cell>
          <cell r="D89">
            <v>45</v>
          </cell>
          <cell r="E89">
            <v>12249.6</v>
          </cell>
          <cell r="F89">
            <v>936.65</v>
          </cell>
          <cell r="G89" t="str">
            <v>T4</v>
          </cell>
          <cell r="H89" t="str">
            <v>C02810</v>
          </cell>
          <cell r="I89">
            <v>95</v>
          </cell>
        </row>
        <row r="90">
          <cell r="A90" t="str">
            <v>A03003</v>
          </cell>
          <cell r="B90" t="str">
            <v>T4</v>
          </cell>
          <cell r="C90" t="str">
            <v>ALMACENISTA ESPECIALIZADO</v>
          </cell>
          <cell r="D90">
            <v>45</v>
          </cell>
          <cell r="E90">
            <v>12249.6</v>
          </cell>
          <cell r="F90">
            <v>936.65</v>
          </cell>
          <cell r="G90" t="str">
            <v>T4</v>
          </cell>
          <cell r="H90" t="str">
            <v>S01889</v>
          </cell>
          <cell r="I90">
            <v>95</v>
          </cell>
        </row>
        <row r="91">
          <cell r="A91" t="str">
            <v>S12037</v>
          </cell>
          <cell r="B91" t="str">
            <v>T4</v>
          </cell>
          <cell r="C91" t="str">
            <v>ASISTENTE DE APOYO A OPERACION Y SERVICIOS  DE PULIDO</v>
          </cell>
          <cell r="D91">
            <v>45</v>
          </cell>
          <cell r="E91">
            <v>12249.6</v>
          </cell>
          <cell r="F91">
            <v>936.65</v>
          </cell>
          <cell r="G91" t="str">
            <v>T4</v>
          </cell>
          <cell r="H91" t="str">
            <v>S01895</v>
          </cell>
          <cell r="I91">
            <v>95</v>
          </cell>
        </row>
        <row r="92">
          <cell r="A92" t="str">
            <v>S13015</v>
          </cell>
          <cell r="B92" t="str">
            <v>T4</v>
          </cell>
          <cell r="C92" t="str">
            <v>APOYO A OPERACION Y SERVICIOS DE AUTOMOVILISTA</v>
          </cell>
          <cell r="D92">
            <v>45</v>
          </cell>
          <cell r="E92">
            <v>12249.6</v>
          </cell>
          <cell r="F92">
            <v>936.65</v>
          </cell>
          <cell r="G92" t="str">
            <v>T4</v>
          </cell>
          <cell r="H92" t="str">
            <v>S03834</v>
          </cell>
          <cell r="I92">
            <v>95</v>
          </cell>
        </row>
        <row r="93">
          <cell r="A93" t="str">
            <v>S12008</v>
          </cell>
          <cell r="B93" t="str">
            <v>T4</v>
          </cell>
          <cell r="C93" t="str">
            <v>APOYO A OPERACION Y SERVICIOS DE CARPINTERIA</v>
          </cell>
          <cell r="D93">
            <v>45</v>
          </cell>
          <cell r="E93">
            <v>12249.6</v>
          </cell>
          <cell r="F93">
            <v>936.65</v>
          </cell>
          <cell r="G93" t="str">
            <v>T4</v>
          </cell>
          <cell r="H93" t="str">
            <v>S12020</v>
          </cell>
          <cell r="I93">
            <v>95</v>
          </cell>
        </row>
        <row r="94">
          <cell r="A94" t="str">
            <v>A08020</v>
          </cell>
          <cell r="B94" t="str">
            <v>T4</v>
          </cell>
          <cell r="C94" t="str">
            <v>AUXILIAR DE SECRETARIA</v>
          </cell>
          <cell r="D94">
            <v>45</v>
          </cell>
          <cell r="E94">
            <v>12249.6</v>
          </cell>
          <cell r="F94">
            <v>936.65</v>
          </cell>
          <cell r="G94" t="str">
            <v>T4</v>
          </cell>
          <cell r="H94" t="str">
            <v>S12092</v>
          </cell>
          <cell r="I94">
            <v>95</v>
          </cell>
        </row>
        <row r="95">
          <cell r="A95" t="str">
            <v>S12051</v>
          </cell>
          <cell r="B95" t="str">
            <v>T4</v>
          </cell>
          <cell r="C95" t="str">
            <v>APOYO A OPERACION Y SERVICIOS DE PLOMERIA</v>
          </cell>
          <cell r="D95">
            <v>45</v>
          </cell>
          <cell r="E95">
            <v>12249.6</v>
          </cell>
          <cell r="F95">
            <v>936.65</v>
          </cell>
          <cell r="G95" t="str">
            <v>T4</v>
          </cell>
          <cell r="H95" t="str">
            <v>S12093</v>
          </cell>
          <cell r="I95">
            <v>95</v>
          </cell>
        </row>
        <row r="96">
          <cell r="A96" t="str">
            <v>S12054</v>
          </cell>
          <cell r="B96" t="str">
            <v>T4</v>
          </cell>
          <cell r="C96" t="str">
            <v>APOYO A OPERACION Y SERVICIOS DE ALBAÑILERIA</v>
          </cell>
          <cell r="D96">
            <v>45</v>
          </cell>
          <cell r="E96">
            <v>12249.6</v>
          </cell>
          <cell r="F96">
            <v>936.65</v>
          </cell>
          <cell r="G96" t="str">
            <v>T4</v>
          </cell>
          <cell r="H96" t="str">
            <v>S12096</v>
          </cell>
          <cell r="I96">
            <v>95</v>
          </cell>
        </row>
        <row r="97">
          <cell r="A97" t="str">
            <v>S12055</v>
          </cell>
          <cell r="B97" t="str">
            <v>T4</v>
          </cell>
          <cell r="C97" t="str">
            <v>APOYO A OPERACION Y SERVICIOS DE HERRERIA</v>
          </cell>
          <cell r="D97">
            <v>45</v>
          </cell>
          <cell r="E97">
            <v>12249.6</v>
          </cell>
          <cell r="F97">
            <v>936.65</v>
          </cell>
          <cell r="G97" t="str">
            <v>T4</v>
          </cell>
          <cell r="H97" t="str">
            <v>S12097</v>
          </cell>
          <cell r="I97">
            <v>95</v>
          </cell>
        </row>
        <row r="98">
          <cell r="A98" t="str">
            <v>S12056</v>
          </cell>
          <cell r="B98" t="str">
            <v>T4</v>
          </cell>
          <cell r="C98" t="str">
            <v>APOYO A OPERACION Y SERVICIOS  DE CERRAJERIA</v>
          </cell>
          <cell r="D98">
            <v>45</v>
          </cell>
          <cell r="E98">
            <v>12249.6</v>
          </cell>
          <cell r="F98">
            <v>936.65</v>
          </cell>
          <cell r="G98" t="str">
            <v>T4</v>
          </cell>
          <cell r="H98" t="str">
            <v>S12098</v>
          </cell>
          <cell r="I98">
            <v>95</v>
          </cell>
        </row>
        <row r="99">
          <cell r="A99" t="str">
            <v>T06027</v>
          </cell>
          <cell r="B99" t="str">
            <v>T4</v>
          </cell>
          <cell r="C99" t="str">
            <v>ASISTENTE ADMINISTRATIVO EN COMPUTACION</v>
          </cell>
          <cell r="D99">
            <v>45</v>
          </cell>
          <cell r="E99">
            <v>12249.6</v>
          </cell>
          <cell r="F99">
            <v>936.65</v>
          </cell>
          <cell r="G99" t="str">
            <v>T4</v>
          </cell>
          <cell r="H99" t="str">
            <v>T06824</v>
          </cell>
          <cell r="I99">
            <v>95</v>
          </cell>
        </row>
        <row r="100">
          <cell r="A100" t="str">
            <v>A01015</v>
          </cell>
          <cell r="B100" t="str">
            <v>T5</v>
          </cell>
          <cell r="C100" t="str">
            <v>TECNICO ADMINISTRATIVO EN GESTORIA</v>
          </cell>
          <cell r="D100">
            <v>45</v>
          </cell>
          <cell r="E100">
            <v>13477.9</v>
          </cell>
          <cell r="F100">
            <v>882.4</v>
          </cell>
          <cell r="G100" t="str">
            <v>T5</v>
          </cell>
          <cell r="H100" t="str">
            <v>A01038</v>
          </cell>
          <cell r="I100">
            <v>95</v>
          </cell>
        </row>
        <row r="101">
          <cell r="A101" t="str">
            <v>A08004</v>
          </cell>
          <cell r="B101" t="str">
            <v>T5</v>
          </cell>
          <cell r="C101" t="str">
            <v>SECRETARIA</v>
          </cell>
          <cell r="D101">
            <v>45</v>
          </cell>
          <cell r="E101">
            <v>13477.9</v>
          </cell>
          <cell r="F101">
            <v>882.4</v>
          </cell>
          <cell r="G101" t="str">
            <v>T5</v>
          </cell>
          <cell r="H101" t="str">
            <v>A03840</v>
          </cell>
          <cell r="I101">
            <v>95</v>
          </cell>
        </row>
        <row r="102">
          <cell r="A102" t="str">
            <v>A05007</v>
          </cell>
          <cell r="B102" t="str">
            <v>T5</v>
          </cell>
          <cell r="C102" t="str">
            <v>TECNICO ADMINISTRATIVO EN CORRESPONDENCIA</v>
          </cell>
          <cell r="D102">
            <v>45</v>
          </cell>
          <cell r="E102">
            <v>13477.9</v>
          </cell>
          <cell r="F102">
            <v>882.4</v>
          </cell>
          <cell r="G102" t="str">
            <v>T5</v>
          </cell>
          <cell r="H102" t="str">
            <v>A05011</v>
          </cell>
          <cell r="I102">
            <v>95</v>
          </cell>
        </row>
        <row r="103">
          <cell r="A103" t="str">
            <v>S14001</v>
          </cell>
          <cell r="B103" t="str">
            <v>T5</v>
          </cell>
          <cell r="C103" t="str">
            <v>CUSTODIO ESPECIALIZADO DE MUSEOS</v>
          </cell>
          <cell r="D103">
            <v>45</v>
          </cell>
          <cell r="E103">
            <v>13477.9</v>
          </cell>
          <cell r="F103">
            <v>882.4</v>
          </cell>
          <cell r="G103" t="str">
            <v>T5</v>
          </cell>
          <cell r="H103" t="str">
            <v>S01892</v>
          </cell>
          <cell r="I103">
            <v>95</v>
          </cell>
        </row>
        <row r="104">
          <cell r="A104" t="str">
            <v>S14006</v>
          </cell>
          <cell r="B104" t="str">
            <v>T5</v>
          </cell>
          <cell r="C104" t="str">
            <v>CUSTODIO DE MUSEOS</v>
          </cell>
          <cell r="D104">
            <v>45</v>
          </cell>
          <cell r="E104">
            <v>13477.9</v>
          </cell>
          <cell r="F104">
            <v>882.4</v>
          </cell>
          <cell r="G104" t="str">
            <v>T5</v>
          </cell>
          <cell r="H104" t="str">
            <v>S01896</v>
          </cell>
          <cell r="I104">
            <v>95</v>
          </cell>
        </row>
        <row r="105">
          <cell r="A105" t="str">
            <v>S12053</v>
          </cell>
          <cell r="B105" t="str">
            <v>T5</v>
          </cell>
          <cell r="C105" t="str">
            <v>TECNICO EN ELEMENTOS MUSEOGRAFICOS EN PRODUCCION  DE PLASTICO</v>
          </cell>
          <cell r="D105">
            <v>45</v>
          </cell>
          <cell r="E105">
            <v>13477.9</v>
          </cell>
          <cell r="F105">
            <v>882.4</v>
          </cell>
          <cell r="G105" t="str">
            <v>T5</v>
          </cell>
          <cell r="H105" t="str">
            <v>S12011</v>
          </cell>
          <cell r="I105">
            <v>95</v>
          </cell>
        </row>
        <row r="106">
          <cell r="A106" t="str">
            <v>S12052</v>
          </cell>
          <cell r="B106" t="str">
            <v>T5</v>
          </cell>
          <cell r="C106" t="str">
            <v>TECNICO EN OPERACION Y SERVICIOS  DE TAPICERIA</v>
          </cell>
          <cell r="D106">
            <v>45</v>
          </cell>
          <cell r="E106">
            <v>13477.9</v>
          </cell>
          <cell r="F106">
            <v>882.4</v>
          </cell>
          <cell r="G106" t="str">
            <v>T5</v>
          </cell>
          <cell r="H106" t="str">
            <v>S12094</v>
          </cell>
          <cell r="I106">
            <v>95</v>
          </cell>
        </row>
        <row r="107">
          <cell r="A107" t="str">
            <v>T03004</v>
          </cell>
          <cell r="B107" t="str">
            <v>T5</v>
          </cell>
          <cell r="C107" t="str">
            <v>TECNICO ADMINISTRATIVO</v>
          </cell>
          <cell r="D107">
            <v>45</v>
          </cell>
          <cell r="E107">
            <v>13477.9</v>
          </cell>
          <cell r="F107">
            <v>882.4</v>
          </cell>
          <cell r="G107" t="str">
            <v>T5</v>
          </cell>
          <cell r="H107" t="str">
            <v>T03853</v>
          </cell>
          <cell r="I107">
            <v>95</v>
          </cell>
        </row>
        <row r="108">
          <cell r="A108" t="str">
            <v>T13011</v>
          </cell>
          <cell r="B108" t="str">
            <v>T5</v>
          </cell>
          <cell r="C108" t="str">
            <v>APOYO A ELEMENTOS MUSEOGRAFICOS</v>
          </cell>
          <cell r="D108">
            <v>45</v>
          </cell>
          <cell r="E108">
            <v>13477.9</v>
          </cell>
          <cell r="F108">
            <v>882.4</v>
          </cell>
          <cell r="G108" t="str">
            <v>T5</v>
          </cell>
          <cell r="H108" t="str">
            <v>T13818</v>
          </cell>
          <cell r="I108">
            <v>95</v>
          </cell>
        </row>
        <row r="109">
          <cell r="A109" t="str">
            <v>T04034</v>
          </cell>
          <cell r="B109" t="str">
            <v>T5</v>
          </cell>
          <cell r="C109" t="str">
            <v>TECNICO EN MANTENIMIENTO MUSEOGRAFICOS EN PINTURA</v>
          </cell>
          <cell r="D109">
            <v>45</v>
          </cell>
          <cell r="E109">
            <v>13477.9</v>
          </cell>
          <cell r="F109">
            <v>882.4</v>
          </cell>
          <cell r="G109" t="str">
            <v>T5</v>
          </cell>
          <cell r="H109" t="str">
            <v>T14034</v>
          </cell>
          <cell r="I109">
            <v>95</v>
          </cell>
        </row>
        <row r="110">
          <cell r="A110" t="str">
            <v>A08003</v>
          </cell>
          <cell r="B110" t="str">
            <v>T6</v>
          </cell>
          <cell r="C110" t="str">
            <v>ASISTENTE ESPECIALIZADO SECRETARIAL</v>
          </cell>
          <cell r="D110">
            <v>45</v>
          </cell>
          <cell r="E110">
            <v>14989.1</v>
          </cell>
          <cell r="F110">
            <v>907.2</v>
          </cell>
          <cell r="G110" t="str">
            <v>T6</v>
          </cell>
          <cell r="H110" t="str">
            <v>A03839</v>
          </cell>
          <cell r="I110">
            <v>95</v>
          </cell>
        </row>
        <row r="111">
          <cell r="A111" t="str">
            <v>P05010</v>
          </cell>
          <cell r="B111" t="str">
            <v>T6</v>
          </cell>
          <cell r="C111" t="str">
            <v>ASISTENTE DE TECNICO ADMINISTRATIVO  ESPECIALIZADO EN CONTABILID</v>
          </cell>
          <cell r="D111">
            <v>45</v>
          </cell>
          <cell r="E111">
            <v>14989.1</v>
          </cell>
          <cell r="F111">
            <v>907.2</v>
          </cell>
          <cell r="G111" t="str">
            <v>T6</v>
          </cell>
          <cell r="H111" t="str">
            <v>P07027</v>
          </cell>
          <cell r="I111">
            <v>95</v>
          </cell>
        </row>
        <row r="112">
          <cell r="A112" t="str">
            <v>S13004</v>
          </cell>
          <cell r="B112" t="str">
            <v>T6</v>
          </cell>
          <cell r="C112" t="str">
            <v>OPERADOR ESPECIALIZADO EN TRANSPORTE DE PASAJEROS</v>
          </cell>
          <cell r="D112">
            <v>45</v>
          </cell>
          <cell r="E112">
            <v>14989.1</v>
          </cell>
          <cell r="F112">
            <v>907.2</v>
          </cell>
          <cell r="G112" t="str">
            <v>T6</v>
          </cell>
          <cell r="H112" t="str">
            <v>S03830</v>
          </cell>
          <cell r="I112">
            <v>95</v>
          </cell>
        </row>
        <row r="113">
          <cell r="A113" t="str">
            <v>S13006</v>
          </cell>
          <cell r="B113" t="str">
            <v>T6</v>
          </cell>
          <cell r="C113" t="str">
            <v>OPERADOR ESPECIALIZADO DE  TRANSPORTES  DE BIENES CULTURALES</v>
          </cell>
          <cell r="D113">
            <v>45</v>
          </cell>
          <cell r="E113">
            <v>14989.1</v>
          </cell>
          <cell r="F113">
            <v>907.2</v>
          </cell>
          <cell r="G113" t="str">
            <v>T6</v>
          </cell>
          <cell r="H113" t="str">
            <v>S03831</v>
          </cell>
          <cell r="I113">
            <v>95</v>
          </cell>
        </row>
        <row r="114">
          <cell r="A114" t="str">
            <v>S09001</v>
          </cell>
          <cell r="B114" t="str">
            <v>T6</v>
          </cell>
          <cell r="C114" t="str">
            <v>TECNICO EN ILUMINACION</v>
          </cell>
          <cell r="D114">
            <v>45</v>
          </cell>
          <cell r="E114">
            <v>14989.1</v>
          </cell>
          <cell r="F114">
            <v>907.2</v>
          </cell>
          <cell r="G114" t="str">
            <v>T6</v>
          </cell>
          <cell r="H114" t="str">
            <v>S09807</v>
          </cell>
          <cell r="I114">
            <v>95</v>
          </cell>
        </row>
        <row r="115">
          <cell r="A115" t="str">
            <v>T06023</v>
          </cell>
          <cell r="B115" t="str">
            <v>T6</v>
          </cell>
          <cell r="C115" t="str">
            <v>TECNICO ESPECIALIZADO EN PROCESOS DE INFORMATICA</v>
          </cell>
          <cell r="D115">
            <v>45</v>
          </cell>
          <cell r="E115">
            <v>14989.1</v>
          </cell>
          <cell r="F115">
            <v>907.2</v>
          </cell>
          <cell r="G115" t="str">
            <v>T6</v>
          </cell>
          <cell r="H115" t="str">
            <v>T06823</v>
          </cell>
          <cell r="I115">
            <v>95</v>
          </cell>
        </row>
        <row r="116">
          <cell r="A116" t="str">
            <v>T08003</v>
          </cell>
          <cell r="B116" t="str">
            <v>T6</v>
          </cell>
          <cell r="C116" t="str">
            <v>ASISTENTE DE DISEÑADOR GRAFICO</v>
          </cell>
          <cell r="D116">
            <v>45</v>
          </cell>
          <cell r="E116">
            <v>14989.1</v>
          </cell>
          <cell r="F116">
            <v>907.2</v>
          </cell>
          <cell r="G116" t="str">
            <v>T6</v>
          </cell>
          <cell r="H116" t="str">
            <v>T08813</v>
          </cell>
          <cell r="I116">
            <v>95</v>
          </cell>
        </row>
        <row r="117">
          <cell r="A117" t="str">
            <v>A01003</v>
          </cell>
          <cell r="B117" t="str">
            <v>T7</v>
          </cell>
          <cell r="C117" t="str">
            <v>TECNICO ADMINISTRATIVO ESPECIALIZADO</v>
          </cell>
          <cell r="D117">
            <v>45</v>
          </cell>
          <cell r="E117">
            <v>16295</v>
          </cell>
          <cell r="F117">
            <v>957.9</v>
          </cell>
          <cell r="G117" t="str">
            <v>T7</v>
          </cell>
          <cell r="H117" t="str">
            <v>A01037</v>
          </cell>
          <cell r="I117">
            <v>95</v>
          </cell>
        </row>
        <row r="118">
          <cell r="A118" t="str">
            <v>A07007</v>
          </cell>
          <cell r="B118" t="str">
            <v>T7</v>
          </cell>
          <cell r="C118" t="str">
            <v>DIVULGADOR DEL PATRIMONIO CULTURAL</v>
          </cell>
          <cell r="D118">
            <v>45</v>
          </cell>
          <cell r="E118">
            <v>16295</v>
          </cell>
          <cell r="F118">
            <v>957.9</v>
          </cell>
          <cell r="G118" t="str">
            <v>T7</v>
          </cell>
          <cell r="H118" t="str">
            <v>A02815</v>
          </cell>
          <cell r="I118">
            <v>95</v>
          </cell>
        </row>
        <row r="119">
          <cell r="A119" t="str">
            <v>C02001</v>
          </cell>
          <cell r="B119" t="str">
            <v>T7</v>
          </cell>
          <cell r="C119" t="str">
            <v>DIVULGADOR DEL PATRIMONIO CULTURAL PERIODISTA REPORTERO</v>
          </cell>
          <cell r="D119">
            <v>45</v>
          </cell>
          <cell r="E119">
            <v>16295</v>
          </cell>
          <cell r="F119">
            <v>957.9</v>
          </cell>
          <cell r="G119" t="str">
            <v>T7</v>
          </cell>
          <cell r="H119" t="str">
            <v>C01817</v>
          </cell>
          <cell r="I119">
            <v>95</v>
          </cell>
        </row>
        <row r="120">
          <cell r="A120" t="str">
            <v>P05007</v>
          </cell>
          <cell r="B120" t="str">
            <v>T7</v>
          </cell>
          <cell r="C120" t="str">
            <v>TECNICO ADMINISTRATIVO ESPECIALIZADO EN  CONTABILIDAD</v>
          </cell>
          <cell r="D120">
            <v>45</v>
          </cell>
          <cell r="E120">
            <v>16295</v>
          </cell>
          <cell r="F120">
            <v>957.9</v>
          </cell>
          <cell r="G120" t="str">
            <v>T7</v>
          </cell>
          <cell r="H120" t="str">
            <v>P07026</v>
          </cell>
          <cell r="I120">
            <v>95</v>
          </cell>
        </row>
        <row r="121">
          <cell r="A121" t="str">
            <v>T05006</v>
          </cell>
          <cell r="B121" t="str">
            <v>T7</v>
          </cell>
          <cell r="C121" t="str">
            <v>TECNICO ESPECIALIZADO EN BIBLIOTECA</v>
          </cell>
          <cell r="D121">
            <v>45</v>
          </cell>
          <cell r="E121">
            <v>16295</v>
          </cell>
          <cell r="F121">
            <v>957.9</v>
          </cell>
          <cell r="G121" t="str">
            <v>T7</v>
          </cell>
          <cell r="H121" t="str">
            <v>T05822</v>
          </cell>
          <cell r="I121">
            <v>95</v>
          </cell>
        </row>
        <row r="122">
          <cell r="A122" t="str">
            <v>T09004</v>
          </cell>
          <cell r="B122" t="str">
            <v>T7</v>
          </cell>
          <cell r="C122" t="str">
            <v>TECNICO ESPECIALIZADO EN ENFERMERIA</v>
          </cell>
          <cell r="D122">
            <v>45</v>
          </cell>
          <cell r="E122">
            <v>16295</v>
          </cell>
          <cell r="F122">
            <v>957.9</v>
          </cell>
          <cell r="G122" t="str">
            <v>T7</v>
          </cell>
          <cell r="H122" t="str">
            <v>T09001</v>
          </cell>
          <cell r="I122">
            <v>95</v>
          </cell>
        </row>
        <row r="123">
          <cell r="A123" t="str">
            <v>T13007</v>
          </cell>
          <cell r="B123" t="str">
            <v>T7</v>
          </cell>
          <cell r="C123" t="str">
            <v>FOTOGRAFO</v>
          </cell>
          <cell r="D123">
            <v>45</v>
          </cell>
          <cell r="E123">
            <v>16295</v>
          </cell>
          <cell r="F123">
            <v>957.9</v>
          </cell>
          <cell r="G123" t="str">
            <v>T7</v>
          </cell>
          <cell r="H123" t="str">
            <v>T13817</v>
          </cell>
          <cell r="I123">
            <v>95</v>
          </cell>
        </row>
        <row r="124">
          <cell r="A124" t="str">
            <v>T04019</v>
          </cell>
          <cell r="B124" t="str">
            <v>T7</v>
          </cell>
          <cell r="C124" t="str">
            <v>TECNICO EN MONTAJE MUSEOGRAFICO</v>
          </cell>
          <cell r="D124">
            <v>45</v>
          </cell>
          <cell r="E124">
            <v>16295</v>
          </cell>
          <cell r="F124">
            <v>957.9</v>
          </cell>
          <cell r="G124" t="str">
            <v>T7</v>
          </cell>
          <cell r="H124" t="str">
            <v>T14019</v>
          </cell>
          <cell r="I124">
            <v>95</v>
          </cell>
        </row>
        <row r="125">
          <cell r="A125" t="str">
            <v>T16005</v>
          </cell>
          <cell r="B125" t="str">
            <v>T7</v>
          </cell>
          <cell r="C125" t="str">
            <v>TECNICO LABORATORISTA ESPECIALIZADO</v>
          </cell>
          <cell r="D125">
            <v>45</v>
          </cell>
          <cell r="E125">
            <v>16295</v>
          </cell>
          <cell r="F125">
            <v>957.9</v>
          </cell>
          <cell r="G125" t="str">
            <v>T7</v>
          </cell>
          <cell r="H125" t="str">
            <v>T16817</v>
          </cell>
          <cell r="I125">
            <v>95</v>
          </cell>
        </row>
        <row r="126">
          <cell r="A126" t="str">
            <v>A01001</v>
          </cell>
          <cell r="B126" t="str">
            <v>T8</v>
          </cell>
          <cell r="C126" t="str">
            <v>COORDINADOR DE SECCION ADMINISTRATIVA Y  RECURSOS MATERIALES</v>
          </cell>
          <cell r="D126">
            <v>45</v>
          </cell>
          <cell r="E126">
            <v>18004.75</v>
          </cell>
          <cell r="F126">
            <v>984.65</v>
          </cell>
          <cell r="G126" t="str">
            <v>T8</v>
          </cell>
          <cell r="H126" t="str">
            <v>A01036</v>
          </cell>
          <cell r="I126">
            <v>95</v>
          </cell>
        </row>
        <row r="127">
          <cell r="A127" t="str">
            <v>A06004</v>
          </cell>
          <cell r="B127" t="str">
            <v>T8</v>
          </cell>
          <cell r="C127" t="str">
            <v>ASISTENTE DE TECNICO ESPECIALIZADO EN PROMOCION CULTURAL</v>
          </cell>
          <cell r="D127">
            <v>45</v>
          </cell>
          <cell r="E127">
            <v>18004.75</v>
          </cell>
          <cell r="F127">
            <v>984.65</v>
          </cell>
          <cell r="G127" t="str">
            <v>T8</v>
          </cell>
          <cell r="H127" t="str">
            <v>A06009</v>
          </cell>
          <cell r="I127">
            <v>95</v>
          </cell>
        </row>
        <row r="128">
          <cell r="A128" t="str">
            <v>C02003</v>
          </cell>
          <cell r="B128" t="str">
            <v>T8</v>
          </cell>
          <cell r="C128" t="str">
            <v>REDACTOR EDITOR ESPECIALIZADO</v>
          </cell>
          <cell r="D128">
            <v>45</v>
          </cell>
          <cell r="E128">
            <v>18004.75</v>
          </cell>
          <cell r="F128">
            <v>984.65</v>
          </cell>
          <cell r="G128" t="str">
            <v>T8</v>
          </cell>
          <cell r="H128" t="str">
            <v>C01818</v>
          </cell>
          <cell r="I128">
            <v>95</v>
          </cell>
        </row>
        <row r="129">
          <cell r="A129" t="str">
            <v>T15002</v>
          </cell>
          <cell r="B129" t="str">
            <v>T8</v>
          </cell>
          <cell r="C129" t="str">
            <v>ASISTENTE DOCUMENTADOR MUSEOGRAFICO</v>
          </cell>
          <cell r="D129">
            <v>45</v>
          </cell>
          <cell r="E129">
            <v>18004.75</v>
          </cell>
          <cell r="F129">
            <v>984.65</v>
          </cell>
          <cell r="G129" t="str">
            <v>T8</v>
          </cell>
          <cell r="H129" t="str">
            <v>T03854</v>
          </cell>
          <cell r="I129">
            <v>95</v>
          </cell>
        </row>
        <row r="130">
          <cell r="A130" t="str">
            <v>T04013</v>
          </cell>
          <cell r="B130" t="str">
            <v>T8</v>
          </cell>
          <cell r="C130" t="str">
            <v>ASISTENTE DE MAESTRO</v>
          </cell>
          <cell r="D130">
            <v>45</v>
          </cell>
          <cell r="E130">
            <v>18004.75</v>
          </cell>
          <cell r="F130">
            <v>984.65</v>
          </cell>
          <cell r="G130" t="str">
            <v>T8</v>
          </cell>
          <cell r="H130" t="str">
            <v>T04875</v>
          </cell>
          <cell r="I130">
            <v>95</v>
          </cell>
        </row>
        <row r="131">
          <cell r="A131" t="str">
            <v>T08002</v>
          </cell>
          <cell r="B131" t="str">
            <v>T8</v>
          </cell>
          <cell r="C131" t="str">
            <v>DISEÑADOR GRAFICO ESPECIALIZADO</v>
          </cell>
          <cell r="D131">
            <v>45</v>
          </cell>
          <cell r="E131">
            <v>18004.75</v>
          </cell>
          <cell r="F131">
            <v>984.65</v>
          </cell>
          <cell r="G131" t="str">
            <v>T8</v>
          </cell>
          <cell r="H131" t="str">
            <v>T08812</v>
          </cell>
          <cell r="I131">
            <v>95</v>
          </cell>
        </row>
        <row r="132">
          <cell r="A132" t="str">
            <v>P13006</v>
          </cell>
          <cell r="B132" t="str">
            <v>T9</v>
          </cell>
          <cell r="C132" t="str">
            <v>MEDICO GENERAL</v>
          </cell>
          <cell r="D132">
            <v>45</v>
          </cell>
          <cell r="E132">
            <v>20123.55</v>
          </cell>
          <cell r="F132">
            <v>1048.3499999999999</v>
          </cell>
          <cell r="G132" t="str">
            <v>T9</v>
          </cell>
          <cell r="H132" t="str">
            <v>P02809</v>
          </cell>
          <cell r="I132">
            <v>95</v>
          </cell>
        </row>
        <row r="133">
          <cell r="A133" t="str">
            <v>P16004</v>
          </cell>
          <cell r="B133" t="str">
            <v>T9</v>
          </cell>
          <cell r="C133" t="str">
            <v>PSICOLOGO</v>
          </cell>
          <cell r="D133">
            <v>45</v>
          </cell>
          <cell r="E133">
            <v>20123.55</v>
          </cell>
          <cell r="F133">
            <v>1048.3499999999999</v>
          </cell>
          <cell r="G133" t="str">
            <v>T9</v>
          </cell>
          <cell r="H133" t="str">
            <v>P04806</v>
          </cell>
          <cell r="I133">
            <v>95</v>
          </cell>
        </row>
        <row r="134">
          <cell r="A134" t="str">
            <v>P03006</v>
          </cell>
          <cell r="B134" t="str">
            <v>T9</v>
          </cell>
          <cell r="C134" t="str">
            <v>ARQUITECTO</v>
          </cell>
          <cell r="D134">
            <v>45</v>
          </cell>
          <cell r="E134">
            <v>20123.55</v>
          </cell>
          <cell r="F134">
            <v>1048.3499999999999</v>
          </cell>
          <cell r="G134" t="str">
            <v>T9</v>
          </cell>
          <cell r="H134" t="str">
            <v>P05808</v>
          </cell>
          <cell r="I134">
            <v>95</v>
          </cell>
        </row>
        <row r="135">
          <cell r="A135" t="str">
            <v>P01002</v>
          </cell>
          <cell r="B135" t="str">
            <v>T9</v>
          </cell>
          <cell r="C135" t="str">
            <v>ASISTENTE DE JEFE DE AREA ADMINISTRATIVA DEL PATRIMONIO CULTURAL</v>
          </cell>
          <cell r="D135">
            <v>45</v>
          </cell>
          <cell r="E135">
            <v>20123.55</v>
          </cell>
          <cell r="F135">
            <v>1048.3499999999999</v>
          </cell>
          <cell r="G135" t="str">
            <v>T9</v>
          </cell>
          <cell r="H135" t="str">
            <v>T03850</v>
          </cell>
          <cell r="I135">
            <v>95</v>
          </cell>
        </row>
        <row r="136">
          <cell r="A136" t="str">
            <v>P06001</v>
          </cell>
          <cell r="B136" t="str">
            <v>T9</v>
          </cell>
          <cell r="C136" t="str">
            <v>NUTRICIONISTA</v>
          </cell>
          <cell r="D136">
            <v>45</v>
          </cell>
          <cell r="E136">
            <v>20123.55</v>
          </cell>
          <cell r="F136">
            <v>1048.3499999999999</v>
          </cell>
          <cell r="G136" t="str">
            <v>T9</v>
          </cell>
          <cell r="H136" t="str">
            <v>T03851</v>
          </cell>
          <cell r="I136">
            <v>95</v>
          </cell>
        </row>
        <row r="137">
          <cell r="A137" t="str">
            <v>T15006</v>
          </cell>
          <cell r="B137" t="str">
            <v>T9</v>
          </cell>
          <cell r="C137" t="str">
            <v>ASISTENTE DE MUSEOGRAFO PROYECTISTA</v>
          </cell>
          <cell r="D137">
            <v>45</v>
          </cell>
          <cell r="E137">
            <v>20123.55</v>
          </cell>
          <cell r="F137">
            <v>1048.3499999999999</v>
          </cell>
          <cell r="G137" t="str">
            <v>T9</v>
          </cell>
          <cell r="H137" t="str">
            <v>T03855</v>
          </cell>
          <cell r="I137">
            <v>95</v>
          </cell>
        </row>
        <row r="138">
          <cell r="A138" t="str">
            <v>T04010</v>
          </cell>
          <cell r="B138" t="str">
            <v>T9</v>
          </cell>
          <cell r="C138" t="str">
            <v>MAESTRO ESPECIALIZADO EN TALLER</v>
          </cell>
          <cell r="D138">
            <v>45</v>
          </cell>
          <cell r="E138">
            <v>20123.55</v>
          </cell>
          <cell r="F138">
            <v>1048.3499999999999</v>
          </cell>
          <cell r="G138" t="str">
            <v>T9</v>
          </cell>
          <cell r="H138" t="str">
            <v>T04873</v>
          </cell>
          <cell r="I138">
            <v>95</v>
          </cell>
        </row>
        <row r="139">
          <cell r="A139" t="str">
            <v>T04007</v>
          </cell>
          <cell r="B139" t="str">
            <v>T9</v>
          </cell>
          <cell r="C139" t="str">
            <v>MUSEOGRAFO ESPECIALIZADO</v>
          </cell>
          <cell r="D139">
            <v>45</v>
          </cell>
          <cell r="E139">
            <v>20123.55</v>
          </cell>
          <cell r="F139">
            <v>1048.3499999999999</v>
          </cell>
          <cell r="G139" t="str">
            <v>T9</v>
          </cell>
          <cell r="H139" t="str">
            <v>T14007</v>
          </cell>
          <cell r="I139">
            <v>95</v>
          </cell>
        </row>
        <row r="140">
          <cell r="A140" t="str">
            <v>T26005</v>
          </cell>
          <cell r="B140" t="str">
            <v>T9</v>
          </cell>
          <cell r="C140" t="str">
            <v>TRABAJADORA SOCIAL</v>
          </cell>
          <cell r="D140">
            <v>45</v>
          </cell>
          <cell r="E140">
            <v>20123.55</v>
          </cell>
          <cell r="F140">
            <v>1048.3499999999999</v>
          </cell>
          <cell r="G140" t="str">
            <v>T9</v>
          </cell>
          <cell r="H140" t="str">
            <v>T26806</v>
          </cell>
          <cell r="I140">
            <v>95</v>
          </cell>
        </row>
        <row r="141">
          <cell r="C141" t="str">
            <v>NO SE OCUPAN</v>
          </cell>
          <cell r="G141" t="str">
            <v>T1</v>
          </cell>
          <cell r="H141" t="str">
            <v>S01810</v>
          </cell>
          <cell r="I141">
            <v>91</v>
          </cell>
        </row>
        <row r="142">
          <cell r="C142" t="str">
            <v>NO SE OCUPAN</v>
          </cell>
          <cell r="G142" t="str">
            <v>T3</v>
          </cell>
          <cell r="H142" t="str">
            <v>A01024</v>
          </cell>
          <cell r="I142">
            <v>91</v>
          </cell>
        </row>
        <row r="143">
          <cell r="C143" t="str">
            <v>NO SE OCUPAN</v>
          </cell>
          <cell r="G143" t="str">
            <v>T3</v>
          </cell>
          <cell r="H143" t="str">
            <v>A01039</v>
          </cell>
          <cell r="I143">
            <v>91</v>
          </cell>
        </row>
        <row r="144">
          <cell r="C144" t="str">
            <v>NO SE OCUPAN</v>
          </cell>
          <cell r="G144" t="str">
            <v>T3</v>
          </cell>
          <cell r="H144" t="str">
            <v>A05010</v>
          </cell>
          <cell r="I144">
            <v>91</v>
          </cell>
        </row>
        <row r="145">
          <cell r="C145" t="str">
            <v>NO SE OCUPAN</v>
          </cell>
          <cell r="G145" t="str">
            <v>T3</v>
          </cell>
          <cell r="H145" t="str">
            <v>S01813</v>
          </cell>
          <cell r="I145">
            <v>91</v>
          </cell>
        </row>
        <row r="146">
          <cell r="C146" t="str">
            <v>NO SE OCUPAN</v>
          </cell>
          <cell r="G146" t="str">
            <v>T3</v>
          </cell>
          <cell r="H146" t="str">
            <v>S03815</v>
          </cell>
          <cell r="I146">
            <v>91</v>
          </cell>
        </row>
        <row r="147">
          <cell r="C147" t="str">
            <v>NO SE OCUPAN</v>
          </cell>
          <cell r="G147" t="str">
            <v>T3</v>
          </cell>
          <cell r="H147" t="str">
            <v>S12037</v>
          </cell>
          <cell r="I147">
            <v>91</v>
          </cell>
        </row>
        <row r="148">
          <cell r="C148" t="str">
            <v>NO SE OCUPAN</v>
          </cell>
          <cell r="G148" t="str">
            <v>T4</v>
          </cell>
          <cell r="H148" t="str">
            <v>A01009</v>
          </cell>
          <cell r="I148">
            <v>91</v>
          </cell>
        </row>
        <row r="149">
          <cell r="C149" t="str">
            <v>NO SE OCUPAN</v>
          </cell>
          <cell r="G149" t="str">
            <v>T4</v>
          </cell>
          <cell r="H149" t="str">
            <v>A03020</v>
          </cell>
          <cell r="I149">
            <v>91</v>
          </cell>
        </row>
        <row r="150">
          <cell r="C150" t="str">
            <v>NO SE OCUPAN</v>
          </cell>
          <cell r="G150" t="str">
            <v>T4</v>
          </cell>
          <cell r="H150" t="str">
            <v>S01110</v>
          </cell>
          <cell r="I150">
            <v>91</v>
          </cell>
        </row>
        <row r="151">
          <cell r="C151" t="str">
            <v>NO SE OCUPAN</v>
          </cell>
          <cell r="G151" t="str">
            <v>T4</v>
          </cell>
          <cell r="H151" t="str">
            <v>S02809</v>
          </cell>
          <cell r="I151">
            <v>91</v>
          </cell>
        </row>
        <row r="152">
          <cell r="C152" t="str">
            <v>NO SE OCUPAN</v>
          </cell>
          <cell r="G152" t="str">
            <v>T4</v>
          </cell>
          <cell r="H152" t="str">
            <v>S12008</v>
          </cell>
          <cell r="I152">
            <v>91</v>
          </cell>
        </row>
        <row r="153">
          <cell r="C153" t="str">
            <v>NO SE OCUPAN</v>
          </cell>
          <cell r="G153" t="str">
            <v>T4</v>
          </cell>
          <cell r="H153" t="str">
            <v>S12051</v>
          </cell>
          <cell r="I153">
            <v>91</v>
          </cell>
        </row>
        <row r="154">
          <cell r="C154" t="str">
            <v>NO SE OCUPAN</v>
          </cell>
          <cell r="G154" t="str">
            <v>T4</v>
          </cell>
          <cell r="H154" t="str">
            <v>S12054</v>
          </cell>
          <cell r="I154">
            <v>91</v>
          </cell>
        </row>
        <row r="155">
          <cell r="C155" t="str">
            <v>NO SE OCUPAN</v>
          </cell>
          <cell r="G155" t="str">
            <v>T5</v>
          </cell>
          <cell r="H155" t="str">
            <v>A03004</v>
          </cell>
          <cell r="I155">
            <v>91</v>
          </cell>
        </row>
        <row r="156">
          <cell r="C156" t="str">
            <v>NO SE OCUPAN</v>
          </cell>
          <cell r="G156" t="str">
            <v>T5</v>
          </cell>
          <cell r="H156" t="str">
            <v>A05007</v>
          </cell>
          <cell r="I156">
            <v>91</v>
          </cell>
        </row>
        <row r="157">
          <cell r="C157" t="str">
            <v>NO SE OCUPAN</v>
          </cell>
          <cell r="G157" t="str">
            <v>T5</v>
          </cell>
          <cell r="H157" t="str">
            <v>S01802</v>
          </cell>
          <cell r="I157">
            <v>91</v>
          </cell>
        </row>
        <row r="158">
          <cell r="C158" t="str">
            <v>NO SE OCUPAN</v>
          </cell>
          <cell r="G158" t="str">
            <v>T5</v>
          </cell>
          <cell r="H158" t="str">
            <v>S01817</v>
          </cell>
          <cell r="I158">
            <v>91</v>
          </cell>
        </row>
        <row r="159">
          <cell r="C159" t="str">
            <v>NO SE OCUPAN</v>
          </cell>
          <cell r="G159" t="str">
            <v>T5</v>
          </cell>
          <cell r="H159" t="str">
            <v>T04034</v>
          </cell>
          <cell r="I159">
            <v>91</v>
          </cell>
        </row>
        <row r="160">
          <cell r="C160" t="str">
            <v>NO SE OCUPAN</v>
          </cell>
          <cell r="G160" t="str">
            <v>T6</v>
          </cell>
          <cell r="H160" t="str">
            <v>A08003</v>
          </cell>
          <cell r="I160">
            <v>91</v>
          </cell>
        </row>
        <row r="161">
          <cell r="C161" t="str">
            <v>NO SE OCUPAN</v>
          </cell>
          <cell r="G161" t="str">
            <v>T6</v>
          </cell>
          <cell r="H161" t="str">
            <v>P07017</v>
          </cell>
          <cell r="I161">
            <v>91</v>
          </cell>
        </row>
        <row r="162">
          <cell r="C162" t="str">
            <v>NO SE OCUPAN</v>
          </cell>
          <cell r="G162" t="str">
            <v>T6</v>
          </cell>
          <cell r="H162" t="str">
            <v>S09013</v>
          </cell>
          <cell r="I162">
            <v>91</v>
          </cell>
        </row>
        <row r="163">
          <cell r="C163" t="str">
            <v>NO SE OCUPAN</v>
          </cell>
          <cell r="G163" t="str">
            <v>T6</v>
          </cell>
          <cell r="H163" t="str">
            <v>T08003</v>
          </cell>
          <cell r="I163">
            <v>91</v>
          </cell>
        </row>
        <row r="164">
          <cell r="C164" t="str">
            <v>NO SE OCUPAN</v>
          </cell>
          <cell r="G164" t="str">
            <v>T7</v>
          </cell>
          <cell r="H164" t="str">
            <v>A01002</v>
          </cell>
          <cell r="I164">
            <v>91</v>
          </cell>
        </row>
        <row r="165">
          <cell r="C165" t="str">
            <v>NO SE OCUPAN</v>
          </cell>
          <cell r="G165" t="str">
            <v>T7</v>
          </cell>
          <cell r="H165" t="str">
            <v>A02812</v>
          </cell>
          <cell r="I165">
            <v>91</v>
          </cell>
        </row>
        <row r="166">
          <cell r="C166" t="str">
            <v>NO SE OCUPAN</v>
          </cell>
          <cell r="G166" t="str">
            <v>T7</v>
          </cell>
          <cell r="H166" t="str">
            <v>C01810</v>
          </cell>
          <cell r="I166">
            <v>91</v>
          </cell>
        </row>
        <row r="167">
          <cell r="C167" t="str">
            <v>NO SE OCUPAN</v>
          </cell>
          <cell r="G167" t="str">
            <v>T7</v>
          </cell>
          <cell r="H167" t="str">
            <v>T04019</v>
          </cell>
          <cell r="I167">
            <v>91</v>
          </cell>
        </row>
        <row r="168">
          <cell r="C168" t="str">
            <v>NO SE OCUPAN</v>
          </cell>
          <cell r="G168" t="str">
            <v>T7</v>
          </cell>
          <cell r="H168" t="str">
            <v>T05006</v>
          </cell>
          <cell r="I168">
            <v>91</v>
          </cell>
        </row>
        <row r="169">
          <cell r="C169" t="str">
            <v>NO SE OCUPAN</v>
          </cell>
          <cell r="G169" t="str">
            <v>T7</v>
          </cell>
          <cell r="H169" t="str">
            <v>T09004</v>
          </cell>
          <cell r="I169">
            <v>91</v>
          </cell>
        </row>
        <row r="170">
          <cell r="C170" t="str">
            <v>NO SE OCUPAN</v>
          </cell>
          <cell r="G170" t="str">
            <v>T8</v>
          </cell>
          <cell r="H170" t="str">
            <v>A01001</v>
          </cell>
          <cell r="I170">
            <v>91</v>
          </cell>
        </row>
        <row r="171">
          <cell r="C171" t="str">
            <v>NO SE OCUPAN</v>
          </cell>
          <cell r="G171" t="str">
            <v>T8</v>
          </cell>
          <cell r="H171" t="str">
            <v>A06004</v>
          </cell>
          <cell r="I171">
            <v>91</v>
          </cell>
        </row>
        <row r="172">
          <cell r="C172" t="str">
            <v>NO SE OCUPAN</v>
          </cell>
          <cell r="G172" t="str">
            <v>T8</v>
          </cell>
          <cell r="H172" t="str">
            <v>C01811</v>
          </cell>
          <cell r="I172">
            <v>91</v>
          </cell>
        </row>
        <row r="173">
          <cell r="C173" t="str">
            <v>NO SE OCUPAN</v>
          </cell>
          <cell r="G173" t="str">
            <v>T8</v>
          </cell>
          <cell r="H173" t="str">
            <v>T03856</v>
          </cell>
          <cell r="I173">
            <v>91</v>
          </cell>
        </row>
        <row r="174">
          <cell r="C174" t="str">
            <v>NO SE OCUPAN</v>
          </cell>
          <cell r="G174" t="str">
            <v>T9</v>
          </cell>
          <cell r="H174" t="str">
            <v>P02806</v>
          </cell>
          <cell r="I174">
            <v>91</v>
          </cell>
        </row>
        <row r="175">
          <cell r="C175" t="str">
            <v>NO SE OCUPAN</v>
          </cell>
          <cell r="G175" t="str">
            <v>T9</v>
          </cell>
          <cell r="H175" t="str">
            <v>P04805</v>
          </cell>
          <cell r="I175">
            <v>91</v>
          </cell>
        </row>
        <row r="176">
          <cell r="C176" t="str">
            <v>NO SE OCUPAN</v>
          </cell>
          <cell r="G176" t="str">
            <v>T9</v>
          </cell>
          <cell r="H176" t="str">
            <v>P05807</v>
          </cell>
          <cell r="I176">
            <v>91</v>
          </cell>
        </row>
        <row r="177">
          <cell r="C177" t="str">
            <v>NO SE OCUPAN</v>
          </cell>
          <cell r="G177" t="str">
            <v>T9</v>
          </cell>
          <cell r="H177" t="str">
            <v>T03802</v>
          </cell>
          <cell r="I177">
            <v>91</v>
          </cell>
        </row>
        <row r="178">
          <cell r="C178" t="str">
            <v>NO SE OCUPAN</v>
          </cell>
          <cell r="G178" t="str">
            <v>T9</v>
          </cell>
          <cell r="H178" t="str">
            <v>T03825</v>
          </cell>
          <cell r="I178">
            <v>91</v>
          </cell>
        </row>
        <row r="179">
          <cell r="C179" t="str">
            <v>NO SE OCUPAN</v>
          </cell>
          <cell r="G179" t="str">
            <v>T9</v>
          </cell>
          <cell r="H179" t="str">
            <v>T04007</v>
          </cell>
          <cell r="I179">
            <v>91</v>
          </cell>
        </row>
        <row r="180">
          <cell r="C180" t="str">
            <v>NO SE OCUPAN</v>
          </cell>
          <cell r="G180" t="str">
            <v>T9</v>
          </cell>
          <cell r="H180" t="str">
            <v>T26005</v>
          </cell>
          <cell r="I180">
            <v>91</v>
          </cell>
        </row>
        <row r="181">
          <cell r="A181" t="str">
            <v>CF52455</v>
          </cell>
          <cell r="B181" t="str">
            <v>K22</v>
          </cell>
          <cell r="C181" t="str">
            <v>DIRECTOR GENERAL</v>
          </cell>
          <cell r="D181">
            <v>40</v>
          </cell>
          <cell r="E181">
            <v>25602.5</v>
          </cell>
          <cell r="F181">
            <v>137285.5</v>
          </cell>
          <cell r="G181" t="str">
            <v>K22</v>
          </cell>
          <cell r="H181" t="str">
            <v>CFK2252455</v>
          </cell>
          <cell r="I181">
            <v>0</v>
          </cell>
        </row>
        <row r="182">
          <cell r="A182" t="str">
            <v>CF53050</v>
          </cell>
          <cell r="B182" t="str">
            <v>M11</v>
          </cell>
          <cell r="C182" t="str">
            <v>COORD. DE ASESORES DEL DIRECTOR GENERAL</v>
          </cell>
          <cell r="D182">
            <v>40</v>
          </cell>
          <cell r="E182">
            <v>15208.3</v>
          </cell>
          <cell r="F182">
            <v>51153.7</v>
          </cell>
          <cell r="G182" t="str">
            <v>M11</v>
          </cell>
          <cell r="H182" t="str">
            <v>CFM1153050</v>
          </cell>
          <cell r="I182">
            <v>0</v>
          </cell>
        </row>
        <row r="183">
          <cell r="A183" t="str">
            <v>CF52457</v>
          </cell>
          <cell r="B183" t="str">
            <v>M21</v>
          </cell>
          <cell r="C183" t="str">
            <v>DIRECTOR DE AREA</v>
          </cell>
          <cell r="D183">
            <v>40</v>
          </cell>
          <cell r="E183">
            <v>15208.55</v>
          </cell>
          <cell r="F183">
            <v>58692.45</v>
          </cell>
          <cell r="G183" t="str">
            <v>M21</v>
          </cell>
          <cell r="H183" t="str">
            <v>CFM2152457</v>
          </cell>
          <cell r="I183">
            <v>0</v>
          </cell>
        </row>
        <row r="184">
          <cell r="A184" t="str">
            <v>CF52456</v>
          </cell>
          <cell r="B184" t="str">
            <v>M33</v>
          </cell>
          <cell r="C184" t="str">
            <v>SUBDIRECTOR GENERAL</v>
          </cell>
          <cell r="D184">
            <v>40</v>
          </cell>
          <cell r="E184">
            <v>20373.55</v>
          </cell>
          <cell r="F184">
            <v>76152.45</v>
          </cell>
          <cell r="G184" t="str">
            <v>M33</v>
          </cell>
          <cell r="H184" t="str">
            <v>CFM3352456</v>
          </cell>
          <cell r="I184">
            <v>0</v>
          </cell>
        </row>
        <row r="185">
          <cell r="A185" t="str">
            <v>CF52001</v>
          </cell>
          <cell r="B185" t="str">
            <v>N22</v>
          </cell>
          <cell r="C185" t="str">
            <v>DIRECTOR DE ESCUELA ARTISTICA PROFESIONAL</v>
          </cell>
          <cell r="D185">
            <v>40</v>
          </cell>
          <cell r="E185">
            <v>15221.9</v>
          </cell>
          <cell r="F185">
            <v>30817.1</v>
          </cell>
          <cell r="G185" t="str">
            <v>N22</v>
          </cell>
          <cell r="H185" t="str">
            <v>CFN2252001</v>
          </cell>
          <cell r="I185">
            <v>0</v>
          </cell>
        </row>
        <row r="186">
          <cell r="A186" t="str">
            <v>CF52004</v>
          </cell>
          <cell r="B186" t="str">
            <v>N22</v>
          </cell>
          <cell r="C186" t="str">
            <v>DIRECTOR DE CENTRO DE INVESTIGACION ARTISTICA</v>
          </cell>
          <cell r="D186">
            <v>40</v>
          </cell>
          <cell r="E186">
            <v>15221.9</v>
          </cell>
          <cell r="F186">
            <v>30817.1</v>
          </cell>
          <cell r="G186" t="str">
            <v>N22</v>
          </cell>
          <cell r="H186" t="str">
            <v>CFN2252004</v>
          </cell>
          <cell r="I186">
            <v>0</v>
          </cell>
        </row>
        <row r="187">
          <cell r="A187" t="str">
            <v>CF52006</v>
          </cell>
          <cell r="B187" t="str">
            <v>O11</v>
          </cell>
          <cell r="C187" t="str">
            <v>COORDINADOR DE CENTRO DE INVESTIGACION ARTISTICA</v>
          </cell>
          <cell r="D187">
            <v>40</v>
          </cell>
          <cell r="E187">
            <v>8907.6</v>
          </cell>
          <cell r="F187">
            <v>17097.400000000001</v>
          </cell>
          <cell r="G187" t="str">
            <v>O11</v>
          </cell>
          <cell r="H187" t="str">
            <v>CFO1152006</v>
          </cell>
          <cell r="I187">
            <v>0</v>
          </cell>
        </row>
        <row r="188">
          <cell r="A188" t="str">
            <v>CF52008</v>
          </cell>
          <cell r="B188" t="str">
            <v>O11</v>
          </cell>
          <cell r="C188" t="str">
            <v>SUBDIRECTOR DE CENTRO DE EDUCACION ARTISTICA</v>
          </cell>
          <cell r="D188">
            <v>40</v>
          </cell>
          <cell r="E188">
            <v>8907.6</v>
          </cell>
          <cell r="F188">
            <v>17097.400000000001</v>
          </cell>
          <cell r="G188" t="str">
            <v>O11</v>
          </cell>
          <cell r="H188" t="str">
            <v>CFO1152008</v>
          </cell>
          <cell r="I188">
            <v>0</v>
          </cell>
        </row>
        <row r="189">
          <cell r="A189" t="str">
            <v>CF52009</v>
          </cell>
          <cell r="B189" t="str">
            <v>O11</v>
          </cell>
          <cell r="C189" t="str">
            <v>DIRECTOR DE EDUCACION ARTISTICA INICIAL</v>
          </cell>
          <cell r="D189">
            <v>40</v>
          </cell>
          <cell r="E189">
            <v>8907.6</v>
          </cell>
          <cell r="F189">
            <v>17097.400000000001</v>
          </cell>
          <cell r="G189" t="str">
            <v>O11</v>
          </cell>
          <cell r="H189" t="str">
            <v>CFO1152009</v>
          </cell>
          <cell r="I189">
            <v>0</v>
          </cell>
        </row>
        <row r="190">
          <cell r="A190" t="str">
            <v>CF52459</v>
          </cell>
          <cell r="B190" t="str">
            <v>O11</v>
          </cell>
          <cell r="C190" t="str">
            <v>JEFE DE DEPARTAMENTO</v>
          </cell>
          <cell r="D190">
            <v>40</v>
          </cell>
          <cell r="E190">
            <v>8907.6</v>
          </cell>
          <cell r="F190">
            <v>17097.400000000001</v>
          </cell>
          <cell r="G190" t="str">
            <v>O11</v>
          </cell>
          <cell r="H190" t="str">
            <v>CFO1152459</v>
          </cell>
          <cell r="I190">
            <v>0</v>
          </cell>
        </row>
        <row r="191">
          <cell r="A191" t="str">
            <v>CF52002</v>
          </cell>
          <cell r="B191" t="str">
            <v>O21</v>
          </cell>
          <cell r="C191" t="str">
            <v>SUBDIRECTOR DE ESCUELA ARTISTICA PROFESIONAL</v>
          </cell>
          <cell r="D191">
            <v>40</v>
          </cell>
          <cell r="E191">
            <v>9596.1</v>
          </cell>
          <cell r="F191">
            <v>18198.900000000001</v>
          </cell>
          <cell r="G191" t="str">
            <v>O21</v>
          </cell>
          <cell r="H191" t="str">
            <v>CFO2152002</v>
          </cell>
          <cell r="I191">
            <v>0</v>
          </cell>
        </row>
        <row r="192">
          <cell r="A192" t="str">
            <v>CF52005</v>
          </cell>
          <cell r="B192" t="str">
            <v>O21</v>
          </cell>
          <cell r="C192" t="str">
            <v>SUBDIRECTOR DE CENTRO DE INVESTIGACION ARTISTICA</v>
          </cell>
          <cell r="D192">
            <v>40</v>
          </cell>
          <cell r="E192">
            <v>9596.1</v>
          </cell>
          <cell r="F192">
            <v>18198.900000000001</v>
          </cell>
          <cell r="G192" t="str">
            <v>O21</v>
          </cell>
          <cell r="H192" t="str">
            <v>CFO2152005</v>
          </cell>
          <cell r="I192">
            <v>0</v>
          </cell>
        </row>
        <row r="193">
          <cell r="A193" t="str">
            <v>CF52007</v>
          </cell>
          <cell r="B193" t="str">
            <v>O21</v>
          </cell>
          <cell r="C193" t="str">
            <v>DIRECTOR DE CENTRO DE EDUCACION ARTISTICA</v>
          </cell>
          <cell r="D193">
            <v>40</v>
          </cell>
          <cell r="E193">
            <v>9596.1</v>
          </cell>
          <cell r="F193">
            <v>18198.900000000001</v>
          </cell>
          <cell r="G193" t="str">
            <v>O21</v>
          </cell>
          <cell r="H193" t="str">
            <v>CFO2152007</v>
          </cell>
          <cell r="I193">
            <v>0</v>
          </cell>
        </row>
        <row r="194">
          <cell r="A194" t="str">
            <v>CF52458</v>
          </cell>
          <cell r="B194" t="str">
            <v>O31</v>
          </cell>
          <cell r="C194" t="str">
            <v>SUBDIRECTOR DE AREA</v>
          </cell>
          <cell r="D194">
            <v>40</v>
          </cell>
          <cell r="E194">
            <v>9947.6</v>
          </cell>
          <cell r="F194">
            <v>23636.400000000001</v>
          </cell>
          <cell r="G194" t="str">
            <v>O31</v>
          </cell>
          <cell r="H194" t="str">
            <v>CFO3152458</v>
          </cell>
          <cell r="I194">
            <v>0</v>
          </cell>
        </row>
        <row r="195">
          <cell r="A195" t="str">
            <v>CF52003</v>
          </cell>
          <cell r="B195" t="str">
            <v>P23</v>
          </cell>
          <cell r="C195" t="str">
            <v>JEFE DE DEPARTAMENTO DE ESCUELA ARTISTICA PROFESIONAL</v>
          </cell>
          <cell r="D195">
            <v>40</v>
          </cell>
          <cell r="E195">
            <v>8268</v>
          </cell>
          <cell r="F195">
            <v>12848</v>
          </cell>
          <cell r="G195" t="str">
            <v>P23</v>
          </cell>
          <cell r="H195" t="str">
            <v>CFP2352003</v>
          </cell>
          <cell r="I195">
            <v>0</v>
          </cell>
        </row>
        <row r="196">
          <cell r="A196" t="str">
            <v>CF52011</v>
          </cell>
          <cell r="B196" t="str">
            <v>P23</v>
          </cell>
          <cell r="C196" t="str">
            <v>SUBDIRECTOR DE EDUCACION ARTISTICA INICIAL</v>
          </cell>
          <cell r="D196">
            <v>40</v>
          </cell>
          <cell r="E196">
            <v>8268</v>
          </cell>
          <cell r="F196">
            <v>12848</v>
          </cell>
          <cell r="G196" t="str">
            <v>P23</v>
          </cell>
          <cell r="H196" t="str">
            <v>CFP2352011</v>
          </cell>
          <cell r="I196">
            <v>0</v>
          </cell>
        </row>
        <row r="197">
          <cell r="A197" t="str">
            <v>CFK2252455</v>
          </cell>
          <cell r="B197" t="str">
            <v>K22</v>
          </cell>
          <cell r="C197" t="str">
            <v>DIRECTOR GENERAL</v>
          </cell>
          <cell r="D197">
            <v>40</v>
          </cell>
          <cell r="E197">
            <v>25602.5</v>
          </cell>
          <cell r="F197">
            <v>137285.5</v>
          </cell>
          <cell r="G197" t="str">
            <v>K22</v>
          </cell>
          <cell r="H197" t="str">
            <v>CFK2252455</v>
          </cell>
          <cell r="I197">
            <v>0</v>
          </cell>
        </row>
        <row r="198">
          <cell r="A198" t="str">
            <v>CFM1153050</v>
          </cell>
          <cell r="B198" t="str">
            <v>M11</v>
          </cell>
          <cell r="C198" t="str">
            <v>COORD. DE ASESORES DEL DIRECTOR GENERAL</v>
          </cell>
          <cell r="D198">
            <v>40</v>
          </cell>
          <cell r="E198">
            <v>15208.3</v>
          </cell>
          <cell r="F198">
            <v>51153.7</v>
          </cell>
          <cell r="G198" t="str">
            <v>M11</v>
          </cell>
          <cell r="H198" t="str">
            <v>CFM1153050</v>
          </cell>
          <cell r="I198">
            <v>0</v>
          </cell>
        </row>
        <row r="199">
          <cell r="A199" t="str">
            <v>CFM2152457</v>
          </cell>
          <cell r="B199" t="str">
            <v>M21</v>
          </cell>
          <cell r="C199" t="str">
            <v>DIRECTOR DE AREA</v>
          </cell>
          <cell r="D199">
            <v>40</v>
          </cell>
          <cell r="E199">
            <v>15208.55</v>
          </cell>
          <cell r="F199">
            <v>58692.45</v>
          </cell>
          <cell r="G199" t="str">
            <v>M21</v>
          </cell>
          <cell r="H199" t="str">
            <v>CFM2152457</v>
          </cell>
          <cell r="I199">
            <v>0</v>
          </cell>
        </row>
        <row r="200">
          <cell r="A200" t="str">
            <v>CFM3352456</v>
          </cell>
          <cell r="B200" t="str">
            <v>M33</v>
          </cell>
          <cell r="C200" t="str">
            <v>SUBDIRECTOR GENERAL</v>
          </cell>
          <cell r="D200">
            <v>40</v>
          </cell>
          <cell r="E200">
            <v>20373.55</v>
          </cell>
          <cell r="F200">
            <v>76152.45</v>
          </cell>
          <cell r="G200" t="str">
            <v>M33</v>
          </cell>
          <cell r="H200" t="str">
            <v>CFM3352456</v>
          </cell>
          <cell r="I200">
            <v>0</v>
          </cell>
        </row>
        <row r="201">
          <cell r="A201" t="str">
            <v>CFN2252001</v>
          </cell>
          <cell r="B201" t="str">
            <v>N22</v>
          </cell>
          <cell r="C201" t="str">
            <v>DIRECTOR DE ESCUELA ARTISTICA PROFESIONAL</v>
          </cell>
          <cell r="D201">
            <v>40</v>
          </cell>
          <cell r="E201">
            <v>15221.9</v>
          </cell>
          <cell r="F201">
            <v>30817.1</v>
          </cell>
          <cell r="G201" t="str">
            <v>N22</v>
          </cell>
          <cell r="H201" t="str">
            <v>CFN2252001</v>
          </cell>
          <cell r="I201">
            <v>0</v>
          </cell>
        </row>
        <row r="202">
          <cell r="A202" t="str">
            <v>CFN2252004</v>
          </cell>
          <cell r="B202" t="str">
            <v>N22</v>
          </cell>
          <cell r="C202" t="str">
            <v>DIRECTOR DE CENTRO DE INVESTIGACION ARTISTICA</v>
          </cell>
          <cell r="D202">
            <v>40</v>
          </cell>
          <cell r="E202">
            <v>15221.9</v>
          </cell>
          <cell r="F202">
            <v>30817.1</v>
          </cell>
          <cell r="G202" t="str">
            <v>N22</v>
          </cell>
          <cell r="H202" t="str">
            <v>CFN2252004</v>
          </cell>
          <cell r="I202">
            <v>0</v>
          </cell>
        </row>
        <row r="203">
          <cell r="A203" t="str">
            <v>CFO1152006</v>
          </cell>
          <cell r="B203" t="str">
            <v>O11</v>
          </cell>
          <cell r="C203" t="str">
            <v>COORDINADOR DE CENTRO DE INVESTIGACION ARTISTICA</v>
          </cell>
          <cell r="D203">
            <v>40</v>
          </cell>
          <cell r="E203">
            <v>8907.6</v>
          </cell>
          <cell r="F203">
            <v>17097.400000000001</v>
          </cell>
          <cell r="G203" t="str">
            <v>O11</v>
          </cell>
          <cell r="H203" t="str">
            <v>CFO1152006</v>
          </cell>
          <cell r="I203">
            <v>0</v>
          </cell>
        </row>
        <row r="204">
          <cell r="A204" t="str">
            <v>CFO1152008</v>
          </cell>
          <cell r="B204" t="str">
            <v>O11</v>
          </cell>
          <cell r="C204" t="str">
            <v>SUBDIRECTOR DE CENTRO DE EDUCACION ARTISTICA</v>
          </cell>
          <cell r="D204">
            <v>40</v>
          </cell>
          <cell r="E204">
            <v>8907.6</v>
          </cell>
          <cell r="F204">
            <v>17097.400000000001</v>
          </cell>
          <cell r="G204" t="str">
            <v>O11</v>
          </cell>
          <cell r="H204" t="str">
            <v>CFO1152008</v>
          </cell>
          <cell r="I204">
            <v>0</v>
          </cell>
        </row>
        <row r="205">
          <cell r="A205" t="str">
            <v>CFO1152009</v>
          </cell>
          <cell r="B205" t="str">
            <v>O11</v>
          </cell>
          <cell r="C205" t="str">
            <v>DIRECTOR DE EDUCACION ARTISTICA INICIAL</v>
          </cell>
          <cell r="D205">
            <v>40</v>
          </cell>
          <cell r="E205">
            <v>8907.6</v>
          </cell>
          <cell r="F205">
            <v>17097.400000000001</v>
          </cell>
          <cell r="G205" t="str">
            <v>O11</v>
          </cell>
          <cell r="H205" t="str">
            <v>CFO1152009</v>
          </cell>
          <cell r="I205">
            <v>0</v>
          </cell>
        </row>
        <row r="206">
          <cell r="A206" t="str">
            <v>CFO1152459</v>
          </cell>
          <cell r="B206" t="str">
            <v>O11</v>
          </cell>
          <cell r="C206" t="str">
            <v>JEFE DE DEPARTAMENTO</v>
          </cell>
          <cell r="D206">
            <v>40</v>
          </cell>
          <cell r="E206">
            <v>8907.6</v>
          </cell>
          <cell r="F206">
            <v>17097.400000000001</v>
          </cell>
          <cell r="G206" t="str">
            <v>O11</v>
          </cell>
          <cell r="H206" t="str">
            <v>CFO1152459</v>
          </cell>
          <cell r="I206">
            <v>0</v>
          </cell>
        </row>
        <row r="207">
          <cell r="A207" t="str">
            <v>CFO2152002</v>
          </cell>
          <cell r="B207" t="str">
            <v>O21</v>
          </cell>
          <cell r="C207" t="str">
            <v>SUBDIRECTOR DE ESCUELA ARTISTICA PROFESIONAL</v>
          </cell>
          <cell r="D207">
            <v>40</v>
          </cell>
          <cell r="E207">
            <v>9596.1</v>
          </cell>
          <cell r="F207">
            <v>18198.900000000001</v>
          </cell>
          <cell r="G207" t="str">
            <v>O21</v>
          </cell>
          <cell r="H207" t="str">
            <v>CFO2152002</v>
          </cell>
          <cell r="I207">
            <v>0</v>
          </cell>
        </row>
        <row r="208">
          <cell r="A208" t="str">
            <v>CFO2152005</v>
          </cell>
          <cell r="B208" t="str">
            <v>O21</v>
          </cell>
          <cell r="C208" t="str">
            <v>SUBDIRECTOR DE CENTRO DE INVESTIGACION ARTISTICA</v>
          </cell>
          <cell r="D208">
            <v>40</v>
          </cell>
          <cell r="E208">
            <v>9596.1</v>
          </cell>
          <cell r="F208">
            <v>18198.900000000001</v>
          </cell>
          <cell r="G208" t="str">
            <v>O21</v>
          </cell>
          <cell r="H208" t="str">
            <v>CFO2152005</v>
          </cell>
          <cell r="I208">
            <v>0</v>
          </cell>
        </row>
        <row r="209">
          <cell r="A209" t="str">
            <v>CFO2152007</v>
          </cell>
          <cell r="B209" t="str">
            <v>O21</v>
          </cell>
          <cell r="C209" t="str">
            <v>DIRECTOR DE CENTRO DE EDUCACION ARTISTICA</v>
          </cell>
          <cell r="D209">
            <v>40</v>
          </cell>
          <cell r="E209">
            <v>9596.1</v>
          </cell>
          <cell r="F209">
            <v>18198.900000000001</v>
          </cell>
          <cell r="G209" t="str">
            <v>O21</v>
          </cell>
          <cell r="H209" t="str">
            <v>CFO2152007</v>
          </cell>
          <cell r="I209">
            <v>0</v>
          </cell>
        </row>
        <row r="210">
          <cell r="A210" t="str">
            <v>CFO3152458</v>
          </cell>
          <cell r="B210" t="str">
            <v>O31</v>
          </cell>
          <cell r="C210" t="str">
            <v>SUBDIRECTOR DE AREA</v>
          </cell>
          <cell r="D210">
            <v>40</v>
          </cell>
          <cell r="E210">
            <v>9947.6</v>
          </cell>
          <cell r="F210">
            <v>23636.400000000001</v>
          </cell>
          <cell r="G210" t="str">
            <v>O31</v>
          </cell>
          <cell r="H210" t="str">
            <v>CFO3152458</v>
          </cell>
          <cell r="I210">
            <v>0</v>
          </cell>
        </row>
        <row r="211">
          <cell r="A211" t="str">
            <v>CFP2352003</v>
          </cell>
          <cell r="B211" t="str">
            <v>P23</v>
          </cell>
          <cell r="C211" t="str">
            <v>JEFE DE DEPARTAMENTO DE ESCUELA ARTISTICA PROFESIONAL</v>
          </cell>
          <cell r="D211">
            <v>40</v>
          </cell>
          <cell r="E211">
            <v>8268</v>
          </cell>
          <cell r="F211">
            <v>12848</v>
          </cell>
          <cell r="G211" t="str">
            <v>P23</v>
          </cell>
          <cell r="H211" t="str">
            <v>CFP2352003</v>
          </cell>
          <cell r="I211">
            <v>0</v>
          </cell>
        </row>
        <row r="212">
          <cell r="A212" t="str">
            <v>CFP2352011</v>
          </cell>
          <cell r="B212" t="str">
            <v>P23</v>
          </cell>
          <cell r="C212" t="str">
            <v>SUBDIRECTOR DE EDUCACION ARTISTICA INICIAL</v>
          </cell>
          <cell r="D212">
            <v>40</v>
          </cell>
          <cell r="E212">
            <v>8268</v>
          </cell>
          <cell r="F212">
            <v>12848</v>
          </cell>
          <cell r="G212" t="str">
            <v>P23</v>
          </cell>
          <cell r="H212" t="str">
            <v>CFP2352011</v>
          </cell>
          <cell r="I212">
            <v>0</v>
          </cell>
        </row>
        <row r="213">
          <cell r="A213" t="str">
            <v>EV52004</v>
          </cell>
          <cell r="B213" t="str">
            <v xml:space="preserve">NB2 </v>
          </cell>
          <cell r="C213" t="str">
            <v>DIRECTOR DE CENTRO DE INVESTIGACION ARTISTICA</v>
          </cell>
          <cell r="D213">
            <v>40</v>
          </cell>
          <cell r="E213">
            <v>15221.9</v>
          </cell>
          <cell r="F213">
            <v>30817.1</v>
          </cell>
          <cell r="G213" t="str">
            <v>N22</v>
          </cell>
          <cell r="H213" t="str">
            <v>EV52004</v>
          </cell>
          <cell r="I213">
            <v>0</v>
          </cell>
        </row>
        <row r="214">
          <cell r="A214" t="str">
            <v>EV52459</v>
          </cell>
          <cell r="B214" t="str">
            <v xml:space="preserve">O11 </v>
          </cell>
          <cell r="C214" t="str">
            <v>JEFE DE DEPARTAMENTO</v>
          </cell>
          <cell r="D214">
            <v>40</v>
          </cell>
          <cell r="E214">
            <v>8907.6</v>
          </cell>
          <cell r="F214">
            <v>17097.400000000001</v>
          </cell>
          <cell r="G214" t="str">
            <v>O11</v>
          </cell>
          <cell r="H214" t="str">
            <v>EV52459</v>
          </cell>
          <cell r="I214">
            <v>0</v>
          </cell>
        </row>
        <row r="215">
          <cell r="A215" t="str">
            <v>EV52002</v>
          </cell>
          <cell r="B215" t="str">
            <v xml:space="preserve">O21 </v>
          </cell>
          <cell r="C215" t="str">
            <v>SUBDIRECTOR DE ESCUELA ARTISTICA PROFESIONAL</v>
          </cell>
          <cell r="D215">
            <v>40</v>
          </cell>
          <cell r="E215">
            <v>9596.1</v>
          </cell>
          <cell r="F215">
            <v>18198.900000000001</v>
          </cell>
          <cell r="G215" t="str">
            <v>O21</v>
          </cell>
          <cell r="H215" t="str">
            <v>EV52002</v>
          </cell>
          <cell r="I215">
            <v>0</v>
          </cell>
        </row>
        <row r="216">
          <cell r="A216" t="str">
            <v>EV52458</v>
          </cell>
          <cell r="B216" t="str">
            <v xml:space="preserve">O31 </v>
          </cell>
          <cell r="C216" t="str">
            <v>SUBDIRECTOR DE AREA</v>
          </cell>
          <cell r="D216">
            <v>40</v>
          </cell>
          <cell r="E216">
            <v>9947.6</v>
          </cell>
          <cell r="F216">
            <v>23636.400000000001</v>
          </cell>
          <cell r="G216" t="str">
            <v>O31</v>
          </cell>
          <cell r="H216" t="str">
            <v>EV52458</v>
          </cell>
          <cell r="I216">
            <v>0</v>
          </cell>
        </row>
        <row r="217">
          <cell r="A217" t="str">
            <v>A01525</v>
          </cell>
          <cell r="B217" t="str">
            <v>C7</v>
          </cell>
          <cell r="C217" t="str">
            <v>ANALISTA DE SISTEMAS ADMINISTRATIVOS</v>
          </cell>
          <cell r="D217">
            <v>45</v>
          </cell>
          <cell r="E217">
            <v>11273.5</v>
          </cell>
          <cell r="F217">
            <v>884</v>
          </cell>
          <cell r="G217" t="str">
            <v>C2</v>
          </cell>
          <cell r="H217" t="str">
            <v>A01525</v>
          </cell>
          <cell r="I217">
            <v>91</v>
          </cell>
        </row>
        <row r="218">
          <cell r="A218" t="str">
            <v>S12015</v>
          </cell>
          <cell r="B218" t="str">
            <v>C5</v>
          </cell>
          <cell r="C218" t="str">
            <v>CUSTODIO ESPECIALIZADO DE MUSEOS</v>
          </cell>
          <cell r="D218">
            <v>45</v>
          </cell>
          <cell r="E218">
            <v>14993.05</v>
          </cell>
          <cell r="F218">
            <v>907.25</v>
          </cell>
          <cell r="G218" t="str">
            <v>C5</v>
          </cell>
          <cell r="H218" t="str">
            <v>S12015</v>
          </cell>
          <cell r="I218">
            <v>91</v>
          </cell>
        </row>
        <row r="219">
          <cell r="A219" t="str">
            <v>T03401</v>
          </cell>
          <cell r="B219" t="str">
            <v>C5</v>
          </cell>
          <cell r="C219" t="str">
            <v>TECNICO EN INSPECCION</v>
          </cell>
          <cell r="D219">
            <v>45</v>
          </cell>
          <cell r="E219">
            <v>14993.05</v>
          </cell>
          <cell r="F219">
            <v>907.25</v>
          </cell>
          <cell r="G219" t="str">
            <v>C5</v>
          </cell>
          <cell r="H219" t="str">
            <v>T03401</v>
          </cell>
          <cell r="I219">
            <v>91</v>
          </cell>
        </row>
        <row r="220">
          <cell r="A220" t="str">
            <v>T03432</v>
          </cell>
          <cell r="B220" t="str">
            <v>C5</v>
          </cell>
          <cell r="C220" t="str">
            <v>TECNICO EN INSPECCION</v>
          </cell>
          <cell r="D220">
            <v>45</v>
          </cell>
          <cell r="E220">
            <v>14993.05</v>
          </cell>
          <cell r="F220">
            <v>907.25</v>
          </cell>
          <cell r="G220" t="str">
            <v>C5</v>
          </cell>
          <cell r="H220" t="str">
            <v>T03432</v>
          </cell>
          <cell r="I220">
            <v>91</v>
          </cell>
        </row>
        <row r="221">
          <cell r="A221" t="str">
            <v>A03191</v>
          </cell>
          <cell r="B221" t="str">
            <v>C6</v>
          </cell>
          <cell r="C221" t="str">
            <v>SECRETARIA DE DIRECTOR</v>
          </cell>
          <cell r="D221">
            <v>45</v>
          </cell>
          <cell r="E221">
            <v>16334.3</v>
          </cell>
          <cell r="F221">
            <v>958.25</v>
          </cell>
          <cell r="G221" t="str">
            <v>C6</v>
          </cell>
          <cell r="H221" t="str">
            <v>A03191</v>
          </cell>
          <cell r="I221">
            <v>91</v>
          </cell>
        </row>
        <row r="222">
          <cell r="A222" t="str">
            <v>A03238</v>
          </cell>
          <cell r="B222" t="str">
            <v>C6</v>
          </cell>
          <cell r="C222" t="str">
            <v>SECRETARIA DE DIRECTOR</v>
          </cell>
          <cell r="D222">
            <v>45</v>
          </cell>
          <cell r="E222">
            <v>16334.3</v>
          </cell>
          <cell r="F222">
            <v>958.25</v>
          </cell>
          <cell r="G222" t="str">
            <v>C6</v>
          </cell>
          <cell r="H222" t="str">
            <v>A03238</v>
          </cell>
          <cell r="I222">
            <v>91</v>
          </cell>
        </row>
        <row r="223">
          <cell r="A223" t="str">
            <v>A03239</v>
          </cell>
          <cell r="B223" t="str">
            <v>C6</v>
          </cell>
          <cell r="C223" t="str">
            <v>SECRETARIA DE DIRECTOR</v>
          </cell>
          <cell r="D223">
            <v>45</v>
          </cell>
          <cell r="E223">
            <v>16334.3</v>
          </cell>
          <cell r="F223">
            <v>958.25</v>
          </cell>
          <cell r="G223" t="str">
            <v>C6</v>
          </cell>
          <cell r="H223" t="str">
            <v>A03239</v>
          </cell>
          <cell r="I223">
            <v>91</v>
          </cell>
        </row>
        <row r="224">
          <cell r="A224" t="str">
            <v>A03240</v>
          </cell>
          <cell r="B224" t="str">
            <v>C6</v>
          </cell>
          <cell r="C224" t="str">
            <v>SECRETARIA DE DIRECTOR</v>
          </cell>
          <cell r="D224">
            <v>45</v>
          </cell>
          <cell r="E224">
            <v>16334.3</v>
          </cell>
          <cell r="F224">
            <v>958.25</v>
          </cell>
          <cell r="G224" t="str">
            <v>C6</v>
          </cell>
          <cell r="H224" t="str">
            <v>A03240</v>
          </cell>
          <cell r="I224">
            <v>91</v>
          </cell>
        </row>
        <row r="225">
          <cell r="A225" t="str">
            <v>A01519</v>
          </cell>
          <cell r="B225" t="str">
            <v>C7</v>
          </cell>
          <cell r="C225" t="str">
            <v>ANALISTA DE SISTEMAS ADMINISTRATIVOS</v>
          </cell>
          <cell r="D225">
            <v>45</v>
          </cell>
          <cell r="E225">
            <v>19504</v>
          </cell>
          <cell r="F225">
            <v>1037.4000000000001</v>
          </cell>
          <cell r="G225" t="str">
            <v>C7</v>
          </cell>
          <cell r="H225" t="str">
            <v>A01519</v>
          </cell>
          <cell r="I225">
            <v>91</v>
          </cell>
        </row>
        <row r="226">
          <cell r="A226" t="str">
            <v>A01520</v>
          </cell>
          <cell r="B226" t="str">
            <v>C7</v>
          </cell>
          <cell r="C226" t="str">
            <v>ANALISTA DE SISTEMAS ADMINISTRATIVOS</v>
          </cell>
          <cell r="D226">
            <v>45</v>
          </cell>
          <cell r="E226">
            <v>19504</v>
          </cell>
          <cell r="F226">
            <v>1037.4000000000001</v>
          </cell>
          <cell r="G226" t="str">
            <v>C7</v>
          </cell>
          <cell r="H226" t="str">
            <v>A01520</v>
          </cell>
          <cell r="I226">
            <v>91</v>
          </cell>
        </row>
        <row r="227">
          <cell r="A227" t="str">
            <v>A01521</v>
          </cell>
          <cell r="B227" t="str">
            <v>C7</v>
          </cell>
          <cell r="C227" t="str">
            <v>ANALISTA DE SISTEMAS ADMINISTRATIVOS</v>
          </cell>
          <cell r="D227">
            <v>45</v>
          </cell>
          <cell r="E227">
            <v>19504</v>
          </cell>
          <cell r="F227">
            <v>1037.4000000000001</v>
          </cell>
          <cell r="G227" t="str">
            <v>C7</v>
          </cell>
          <cell r="H227" t="str">
            <v>A01521</v>
          </cell>
          <cell r="I227">
            <v>91</v>
          </cell>
        </row>
        <row r="228">
          <cell r="A228" t="str">
            <v>A01522</v>
          </cell>
          <cell r="B228" t="str">
            <v>C7</v>
          </cell>
          <cell r="C228" t="str">
            <v>ANALISTA DE SISTEMAS ADMINISTRATIVOS</v>
          </cell>
          <cell r="D228">
            <v>45</v>
          </cell>
          <cell r="E228">
            <v>19504</v>
          </cell>
          <cell r="F228">
            <v>1037.4000000000001</v>
          </cell>
          <cell r="G228" t="str">
            <v>C7</v>
          </cell>
          <cell r="H228" t="str">
            <v>A01522</v>
          </cell>
          <cell r="I228">
            <v>91</v>
          </cell>
        </row>
        <row r="229">
          <cell r="A229" t="str">
            <v>CA03032</v>
          </cell>
          <cell r="B229" t="str">
            <v>C7</v>
          </cell>
          <cell r="C229" t="str">
            <v>Instructor de Ballet C</v>
          </cell>
          <cell r="D229">
            <v>45</v>
          </cell>
          <cell r="E229">
            <v>19504</v>
          </cell>
          <cell r="F229">
            <v>1037.4000000000001</v>
          </cell>
          <cell r="G229" t="str">
            <v>C7</v>
          </cell>
          <cell r="H229" t="str">
            <v>A01523</v>
          </cell>
          <cell r="I229">
            <v>91</v>
          </cell>
        </row>
        <row r="230">
          <cell r="A230" t="str">
            <v>A01524</v>
          </cell>
          <cell r="B230" t="str">
            <v>C7</v>
          </cell>
          <cell r="C230" t="str">
            <v>ANALISTA DE SISTEMAS ADMINISTRATIVOS</v>
          </cell>
          <cell r="D230">
            <v>45</v>
          </cell>
          <cell r="E230">
            <v>19504</v>
          </cell>
          <cell r="F230">
            <v>1037.4000000000001</v>
          </cell>
          <cell r="G230" t="str">
            <v>C7</v>
          </cell>
          <cell r="H230" t="str">
            <v>A01524</v>
          </cell>
          <cell r="I230">
            <v>91</v>
          </cell>
        </row>
        <row r="231">
          <cell r="A231" t="str">
            <v>A01526</v>
          </cell>
          <cell r="B231" t="str">
            <v>C7</v>
          </cell>
          <cell r="C231" t="str">
            <v>ANALISTA DE SISTEMAS ADMINISTRATIVOS</v>
          </cell>
          <cell r="D231">
            <v>45</v>
          </cell>
          <cell r="E231">
            <v>19504</v>
          </cell>
          <cell r="F231">
            <v>1037.4000000000001</v>
          </cell>
          <cell r="G231" t="str">
            <v>C7</v>
          </cell>
          <cell r="H231" t="str">
            <v>A01526</v>
          </cell>
          <cell r="I231">
            <v>91</v>
          </cell>
        </row>
        <row r="232">
          <cell r="A232" t="str">
            <v>A01527</v>
          </cell>
          <cell r="B232" t="str">
            <v>C7</v>
          </cell>
          <cell r="C232" t="str">
            <v>ANALISTA DE SISTEMAS ADMINISTRATIVOS</v>
          </cell>
          <cell r="D232">
            <v>45</v>
          </cell>
          <cell r="E232">
            <v>19504</v>
          </cell>
          <cell r="F232">
            <v>1037.4000000000001</v>
          </cell>
          <cell r="G232" t="str">
            <v>C7</v>
          </cell>
          <cell r="H232" t="str">
            <v>A01527</v>
          </cell>
          <cell r="I232">
            <v>91</v>
          </cell>
        </row>
        <row r="233">
          <cell r="A233" t="str">
            <v>A01528</v>
          </cell>
          <cell r="B233" t="str">
            <v>C7</v>
          </cell>
          <cell r="C233" t="str">
            <v>ANALISTA DE SISTEMAS ADMINISTRATIVOS</v>
          </cell>
          <cell r="D233">
            <v>45</v>
          </cell>
          <cell r="E233">
            <v>19504</v>
          </cell>
          <cell r="F233">
            <v>1037.4000000000001</v>
          </cell>
          <cell r="G233" t="str">
            <v>C7</v>
          </cell>
          <cell r="H233" t="str">
            <v>A01528</v>
          </cell>
          <cell r="I233">
            <v>91</v>
          </cell>
        </row>
        <row r="234">
          <cell r="A234" t="str">
            <v>A01529</v>
          </cell>
          <cell r="B234" t="str">
            <v>C7</v>
          </cell>
          <cell r="C234" t="str">
            <v>ANALISTA DE SISTEMAS ADMINISTRATIVOS</v>
          </cell>
          <cell r="D234">
            <v>45</v>
          </cell>
          <cell r="E234">
            <v>19504</v>
          </cell>
          <cell r="F234">
            <v>1037.4000000000001</v>
          </cell>
          <cell r="G234" t="str">
            <v>C7</v>
          </cell>
          <cell r="H234" t="str">
            <v>A01529</v>
          </cell>
          <cell r="I234">
            <v>91</v>
          </cell>
        </row>
        <row r="235">
          <cell r="A235" t="str">
            <v>A01530</v>
          </cell>
          <cell r="B235" t="str">
            <v>C7</v>
          </cell>
          <cell r="C235" t="str">
            <v>ANALISTA DE SISTEMAS ADMINISTRATIVOS</v>
          </cell>
          <cell r="D235">
            <v>45</v>
          </cell>
          <cell r="E235">
            <v>19504</v>
          </cell>
          <cell r="F235">
            <v>1037.4000000000001</v>
          </cell>
          <cell r="G235" t="str">
            <v>C7</v>
          </cell>
          <cell r="H235" t="str">
            <v>A01530</v>
          </cell>
          <cell r="I235">
            <v>91</v>
          </cell>
        </row>
        <row r="236">
          <cell r="A236" t="str">
            <v>A01531</v>
          </cell>
          <cell r="B236" t="str">
            <v>C7</v>
          </cell>
          <cell r="C236" t="str">
            <v>ANALISTA DE SISTEMAS ADMINISTRATIVOS</v>
          </cell>
          <cell r="D236">
            <v>45</v>
          </cell>
          <cell r="E236">
            <v>19504</v>
          </cell>
          <cell r="F236">
            <v>1037.4000000000001</v>
          </cell>
          <cell r="G236" t="str">
            <v>C7</v>
          </cell>
          <cell r="H236" t="str">
            <v>A01531</v>
          </cell>
          <cell r="I236">
            <v>91</v>
          </cell>
        </row>
        <row r="237">
          <cell r="A237" t="str">
            <v>IE24001</v>
          </cell>
          <cell r="B237" t="str">
            <v>07</v>
          </cell>
          <cell r="C237" t="str">
            <v>INVESTIGADOR ASISTENTE A 1/2 TIEMPO</v>
          </cell>
          <cell r="D237">
            <v>20</v>
          </cell>
          <cell r="E237">
            <v>5058.5</v>
          </cell>
          <cell r="F237">
            <v>419.9</v>
          </cell>
          <cell r="G237" t="str">
            <v>E8101</v>
          </cell>
          <cell r="H237" t="str">
            <v>E8101</v>
          </cell>
          <cell r="I237">
            <v>92</v>
          </cell>
        </row>
        <row r="238">
          <cell r="A238" t="str">
            <v>IE24002</v>
          </cell>
          <cell r="B238" t="str">
            <v>07</v>
          </cell>
          <cell r="C238" t="str">
            <v>INVESTIGADOR ASISTENTE B 1/2 TIEMPO</v>
          </cell>
          <cell r="D238">
            <v>20</v>
          </cell>
          <cell r="E238">
            <v>5925.15</v>
          </cell>
          <cell r="F238">
            <v>449.9</v>
          </cell>
          <cell r="G238" t="str">
            <v>E8103</v>
          </cell>
          <cell r="H238" t="str">
            <v>E8103</v>
          </cell>
          <cell r="I238">
            <v>92</v>
          </cell>
        </row>
        <row r="239">
          <cell r="A239" t="str">
            <v>IE24005</v>
          </cell>
          <cell r="B239" t="str">
            <v>07</v>
          </cell>
          <cell r="C239" t="str">
            <v>INVESTIGADOR ASISTENTE C 1/2 TIEMPO</v>
          </cell>
          <cell r="D239">
            <v>20</v>
          </cell>
          <cell r="E239">
            <v>6827.65</v>
          </cell>
          <cell r="F239">
            <v>480.25</v>
          </cell>
          <cell r="G239" t="str">
            <v>E8105</v>
          </cell>
          <cell r="H239" t="str">
            <v>E8105</v>
          </cell>
          <cell r="I239">
            <v>92</v>
          </cell>
        </row>
        <row r="240">
          <cell r="A240" t="str">
            <v>IE22001</v>
          </cell>
          <cell r="B240" t="str">
            <v>07</v>
          </cell>
          <cell r="C240" t="str">
            <v>INVESTIGADOR ASOCIADO A 1/2 TIEMPO</v>
          </cell>
          <cell r="D240">
            <v>20</v>
          </cell>
          <cell r="E240">
            <v>9066.25</v>
          </cell>
          <cell r="F240">
            <v>495.5</v>
          </cell>
          <cell r="G240" t="str">
            <v>E8107</v>
          </cell>
          <cell r="H240" t="str">
            <v>E8107</v>
          </cell>
          <cell r="I240">
            <v>92</v>
          </cell>
        </row>
        <row r="241">
          <cell r="A241" t="str">
            <v>IE22002</v>
          </cell>
          <cell r="B241" t="str">
            <v>07</v>
          </cell>
          <cell r="C241" t="str">
            <v>INVESTIGADOR ASOCIADO B 1/2 TIEMPO</v>
          </cell>
          <cell r="D241">
            <v>20</v>
          </cell>
          <cell r="E241">
            <v>10199.25</v>
          </cell>
          <cell r="F241">
            <v>528.1</v>
          </cell>
          <cell r="G241" t="str">
            <v>E8109</v>
          </cell>
          <cell r="H241" t="str">
            <v>E8109</v>
          </cell>
          <cell r="I241">
            <v>92</v>
          </cell>
        </row>
        <row r="242">
          <cell r="A242" t="str">
            <v>IE22003</v>
          </cell>
          <cell r="B242" t="str">
            <v>07</v>
          </cell>
          <cell r="C242" t="str">
            <v>INVESTIGADOR ASOCIADO C 1/2 TIEMPO</v>
          </cell>
          <cell r="D242">
            <v>20</v>
          </cell>
          <cell r="E242">
            <v>11474.3</v>
          </cell>
          <cell r="F242">
            <v>431.85</v>
          </cell>
          <cell r="G242" t="str">
            <v>E8111</v>
          </cell>
          <cell r="H242" t="str">
            <v>E8111</v>
          </cell>
          <cell r="I242">
            <v>92</v>
          </cell>
        </row>
        <row r="243">
          <cell r="A243" t="str">
            <v>IE20001</v>
          </cell>
          <cell r="B243" t="str">
            <v>07</v>
          </cell>
          <cell r="C243" t="str">
            <v>INVESTIGADOR TITULAR A 1/2 TIEMPO</v>
          </cell>
          <cell r="D243">
            <v>20</v>
          </cell>
          <cell r="E243">
            <v>13242.25</v>
          </cell>
          <cell r="F243">
            <v>306.39999999999998</v>
          </cell>
          <cell r="G243" t="str">
            <v>E8113</v>
          </cell>
          <cell r="H243" t="str">
            <v>E8113</v>
          </cell>
          <cell r="I243">
            <v>92</v>
          </cell>
        </row>
        <row r="244">
          <cell r="A244" t="str">
            <v>IE20002</v>
          </cell>
          <cell r="B244" t="str">
            <v>07</v>
          </cell>
          <cell r="C244" t="str">
            <v>INVESTIGADOR TITULAR B 1/2 TIEMPO</v>
          </cell>
          <cell r="D244">
            <v>20</v>
          </cell>
          <cell r="E244">
            <v>15652.55</v>
          </cell>
          <cell r="F244">
            <v>247.45</v>
          </cell>
          <cell r="G244" t="str">
            <v>E8115</v>
          </cell>
          <cell r="H244" t="str">
            <v>E8115</v>
          </cell>
          <cell r="I244">
            <v>92</v>
          </cell>
        </row>
        <row r="245">
          <cell r="A245" t="str">
            <v>IE20003</v>
          </cell>
          <cell r="B245" t="str">
            <v>07</v>
          </cell>
          <cell r="C245" t="str">
            <v>INVESTIGADOR TITULAR C 1/2 TIEMPO</v>
          </cell>
          <cell r="D245">
            <v>20</v>
          </cell>
          <cell r="E245">
            <v>18502.8</v>
          </cell>
          <cell r="F245">
            <v>178.8</v>
          </cell>
          <cell r="G245" t="str">
            <v>E8117</v>
          </cell>
          <cell r="H245" t="str">
            <v>E8117</v>
          </cell>
          <cell r="I245">
            <v>92</v>
          </cell>
        </row>
        <row r="246">
          <cell r="A246" t="str">
            <v>IE25001</v>
          </cell>
          <cell r="B246" t="str">
            <v>07</v>
          </cell>
          <cell r="C246" t="str">
            <v>INVESTIGADOR TECNICO AUXILIAR A 1/2 TIEMPO</v>
          </cell>
          <cell r="D246">
            <v>20</v>
          </cell>
          <cell r="E246">
            <v>4597.6499999999996</v>
          </cell>
          <cell r="F246">
            <v>393.8</v>
          </cell>
          <cell r="G246" t="str">
            <v>E8137</v>
          </cell>
          <cell r="H246" t="str">
            <v>E8137</v>
          </cell>
          <cell r="I246">
            <v>92</v>
          </cell>
        </row>
        <row r="247">
          <cell r="A247" t="str">
            <v>IE25002</v>
          </cell>
          <cell r="B247" t="str">
            <v>07</v>
          </cell>
          <cell r="C247" t="str">
            <v>INVESTIGADOR TECNICO AUXILIAR B 1/2 TIEMPO</v>
          </cell>
          <cell r="D247">
            <v>20</v>
          </cell>
          <cell r="E247">
            <v>5252.5</v>
          </cell>
          <cell r="F247">
            <v>421.75</v>
          </cell>
          <cell r="G247" t="str">
            <v>E8139</v>
          </cell>
          <cell r="H247" t="str">
            <v>E8139</v>
          </cell>
          <cell r="I247">
            <v>92</v>
          </cell>
        </row>
        <row r="248">
          <cell r="A248" t="str">
            <v>IE25003</v>
          </cell>
          <cell r="B248" t="str">
            <v>07</v>
          </cell>
          <cell r="C248" t="str">
            <v>INVESTIGADOR TECNICO AUXILIAR C 1/2 TIEMPO</v>
          </cell>
          <cell r="D248">
            <v>20</v>
          </cell>
          <cell r="E248">
            <v>6000.45</v>
          </cell>
          <cell r="F248">
            <v>450.6</v>
          </cell>
          <cell r="G248" t="str">
            <v>E8140</v>
          </cell>
          <cell r="H248" t="str">
            <v>E8140</v>
          </cell>
          <cell r="I248">
            <v>92</v>
          </cell>
        </row>
        <row r="249">
          <cell r="A249" t="str">
            <v>IE23001</v>
          </cell>
          <cell r="B249" t="str">
            <v>07</v>
          </cell>
          <cell r="C249" t="str">
            <v>INVESTIGADOR TECNICO ASOCIADO A 1/2 TIEMPO</v>
          </cell>
          <cell r="D249">
            <v>20</v>
          </cell>
          <cell r="E249">
            <v>7644.55</v>
          </cell>
          <cell r="F249">
            <v>457.55</v>
          </cell>
          <cell r="G249" t="str">
            <v>E8143</v>
          </cell>
          <cell r="H249" t="str">
            <v>E8143</v>
          </cell>
          <cell r="I249">
            <v>92</v>
          </cell>
        </row>
        <row r="250">
          <cell r="A250" t="str">
            <v>IE23002</v>
          </cell>
          <cell r="B250" t="str">
            <v>07</v>
          </cell>
          <cell r="C250" t="str">
            <v>INVESTIGADOR TECNICO ASOCIADO B 1/2 TIEMPO</v>
          </cell>
          <cell r="D250">
            <v>20</v>
          </cell>
          <cell r="E250">
            <v>8447.25</v>
          </cell>
          <cell r="F250">
            <v>487</v>
          </cell>
          <cell r="G250" t="str">
            <v>E8145</v>
          </cell>
          <cell r="H250" t="str">
            <v>E8145</v>
          </cell>
          <cell r="I250">
            <v>92</v>
          </cell>
        </row>
        <row r="251">
          <cell r="A251" t="str">
            <v>IE23003</v>
          </cell>
          <cell r="B251" t="str">
            <v>07</v>
          </cell>
          <cell r="C251" t="str">
            <v>INVESTIGADOR TECNICO ASOCIADO C 1/2 TIEMPO</v>
          </cell>
          <cell r="D251">
            <v>20</v>
          </cell>
          <cell r="E251">
            <v>9320.1</v>
          </cell>
          <cell r="F251">
            <v>500.5</v>
          </cell>
          <cell r="G251" t="str">
            <v>E8147</v>
          </cell>
          <cell r="H251" t="str">
            <v>E8147</v>
          </cell>
          <cell r="I251">
            <v>92</v>
          </cell>
        </row>
        <row r="252">
          <cell r="A252" t="str">
            <v>IE21001</v>
          </cell>
          <cell r="B252" t="str">
            <v>07</v>
          </cell>
          <cell r="C252" t="str">
            <v>INVESTIGADOR TECNICO TITULAR A 1/2 TIEMPO</v>
          </cell>
          <cell r="D252">
            <v>20</v>
          </cell>
          <cell r="E252">
            <v>10199.25</v>
          </cell>
          <cell r="F252">
            <v>528.1</v>
          </cell>
          <cell r="G252" t="str">
            <v>E8149</v>
          </cell>
          <cell r="H252" t="str">
            <v>E8149</v>
          </cell>
          <cell r="I252">
            <v>92</v>
          </cell>
        </row>
        <row r="253">
          <cell r="A253" t="str">
            <v>IE21002</v>
          </cell>
          <cell r="B253" t="str">
            <v>07</v>
          </cell>
          <cell r="C253" t="str">
            <v>INVESTIGADOR TECNICO TITULAR B 1/2 TIEMPO</v>
          </cell>
          <cell r="D253">
            <v>20</v>
          </cell>
          <cell r="E253">
            <v>11474.3</v>
          </cell>
          <cell r="F253">
            <v>431.85</v>
          </cell>
          <cell r="G253" t="str">
            <v>E8151</v>
          </cell>
          <cell r="H253" t="str">
            <v>E8151</v>
          </cell>
          <cell r="I253">
            <v>92</v>
          </cell>
        </row>
        <row r="254">
          <cell r="A254" t="str">
            <v>IE34001</v>
          </cell>
          <cell r="B254" t="str">
            <v>07</v>
          </cell>
          <cell r="C254" t="str">
            <v>INVESTIGADOR ASISTENTE A 3/4 TIEMPO</v>
          </cell>
          <cell r="D254">
            <v>30</v>
          </cell>
          <cell r="E254">
            <v>7588.1</v>
          </cell>
          <cell r="F254">
            <v>629.85</v>
          </cell>
          <cell r="G254" t="str">
            <v>E8201</v>
          </cell>
          <cell r="H254" t="str">
            <v>E8201</v>
          </cell>
          <cell r="I254">
            <v>93</v>
          </cell>
        </row>
        <row r="255">
          <cell r="A255" t="str">
            <v>IE34002</v>
          </cell>
          <cell r="B255" t="str">
            <v>07</v>
          </cell>
          <cell r="C255" t="str">
            <v>INVESTIGADOR ASISTENTE B 3/4 TIEMPO</v>
          </cell>
          <cell r="D255">
            <v>30</v>
          </cell>
          <cell r="E255">
            <v>8887.75</v>
          </cell>
          <cell r="F255">
            <v>674.8</v>
          </cell>
          <cell r="G255" t="str">
            <v>E8203</v>
          </cell>
          <cell r="H255" t="str">
            <v>E8203</v>
          </cell>
          <cell r="I255">
            <v>93</v>
          </cell>
        </row>
        <row r="256">
          <cell r="A256" t="str">
            <v>IE34003</v>
          </cell>
          <cell r="B256" t="str">
            <v>07</v>
          </cell>
          <cell r="C256" t="str">
            <v>INVESTIGADOR ASISTENTE C 3/4 TIEMPO</v>
          </cell>
          <cell r="D256">
            <v>30</v>
          </cell>
          <cell r="E256">
            <v>10241.450000000001</v>
          </cell>
          <cell r="F256">
            <v>720.4</v>
          </cell>
          <cell r="G256" t="str">
            <v>E8205</v>
          </cell>
          <cell r="H256" t="str">
            <v>E8205</v>
          </cell>
          <cell r="I256">
            <v>93</v>
          </cell>
        </row>
        <row r="257">
          <cell r="A257" t="str">
            <v>IE32001</v>
          </cell>
          <cell r="B257" t="str">
            <v>07</v>
          </cell>
          <cell r="C257" t="str">
            <v>INVESTIGADOR ASOCIADO A 3/4 TIEMPO</v>
          </cell>
          <cell r="D257">
            <v>30</v>
          </cell>
          <cell r="E257">
            <v>13599.35</v>
          </cell>
          <cell r="F257">
            <v>743.3</v>
          </cell>
          <cell r="G257" t="str">
            <v>E8207</v>
          </cell>
          <cell r="H257" t="str">
            <v>E8207</v>
          </cell>
          <cell r="I257">
            <v>93</v>
          </cell>
        </row>
        <row r="258">
          <cell r="A258" t="str">
            <v>IE32002</v>
          </cell>
          <cell r="B258" t="str">
            <v>07</v>
          </cell>
          <cell r="C258" t="str">
            <v>INVESTIGADOR ASOCIADO B 3/4 TIEMPO</v>
          </cell>
          <cell r="D258">
            <v>30</v>
          </cell>
          <cell r="E258">
            <v>15298.85</v>
          </cell>
          <cell r="F258">
            <v>792.2</v>
          </cell>
          <cell r="G258" t="str">
            <v>E8209</v>
          </cell>
          <cell r="H258" t="str">
            <v>E8209</v>
          </cell>
          <cell r="I258">
            <v>93</v>
          </cell>
        </row>
        <row r="259">
          <cell r="A259" t="str">
            <v>IE32003</v>
          </cell>
          <cell r="B259" t="str">
            <v>07</v>
          </cell>
          <cell r="C259" t="str">
            <v>INVESTIGADOR ASOCIADO C 3/4 TIEMPO</v>
          </cell>
          <cell r="D259">
            <v>30</v>
          </cell>
          <cell r="E259">
            <v>17211.150000000001</v>
          </cell>
          <cell r="F259">
            <v>647.75</v>
          </cell>
          <cell r="G259" t="str">
            <v>E8211</v>
          </cell>
          <cell r="H259" t="str">
            <v>E8211</v>
          </cell>
          <cell r="I259">
            <v>93</v>
          </cell>
        </row>
        <row r="260">
          <cell r="A260" t="str">
            <v>IE30001</v>
          </cell>
          <cell r="B260" t="str">
            <v>07</v>
          </cell>
          <cell r="C260" t="str">
            <v>INVESTIGADOR TITULAR A 3/4 TIEMPO</v>
          </cell>
          <cell r="D260">
            <v>30</v>
          </cell>
          <cell r="E260">
            <v>19863.400000000001</v>
          </cell>
          <cell r="F260">
            <v>459.7</v>
          </cell>
          <cell r="G260" t="str">
            <v>E8213</v>
          </cell>
          <cell r="H260" t="str">
            <v>E8213</v>
          </cell>
          <cell r="I260">
            <v>93</v>
          </cell>
        </row>
        <row r="261">
          <cell r="A261" t="str">
            <v>IE30002</v>
          </cell>
          <cell r="B261" t="str">
            <v>07</v>
          </cell>
          <cell r="C261" t="str">
            <v>INVESTIGADOR TITULAR B 3/4 TIEMPO</v>
          </cell>
          <cell r="D261">
            <v>30</v>
          </cell>
          <cell r="E261">
            <v>23478.55</v>
          </cell>
          <cell r="F261">
            <v>371.2</v>
          </cell>
          <cell r="G261" t="str">
            <v>E8215</v>
          </cell>
          <cell r="H261" t="str">
            <v>E8215</v>
          </cell>
          <cell r="I261">
            <v>93</v>
          </cell>
        </row>
        <row r="262">
          <cell r="A262" t="str">
            <v>IE30003</v>
          </cell>
          <cell r="B262" t="str">
            <v>07</v>
          </cell>
          <cell r="C262" t="str">
            <v>INVESTIGADOR TITULAR C 3/4 TIEMPO</v>
          </cell>
          <cell r="D262">
            <v>30</v>
          </cell>
          <cell r="E262">
            <v>27753.85</v>
          </cell>
          <cell r="F262">
            <v>268.14999999999998</v>
          </cell>
          <cell r="G262" t="str">
            <v>E8217</v>
          </cell>
          <cell r="H262" t="str">
            <v>E8217</v>
          </cell>
          <cell r="I262">
            <v>93</v>
          </cell>
        </row>
        <row r="263">
          <cell r="A263" t="str">
            <v>IE35001</v>
          </cell>
          <cell r="B263" t="str">
            <v>07</v>
          </cell>
          <cell r="C263" t="str">
            <v>INVESTIGADOR TECNICO AUXILIAR A 3/4 DE TIEMPO</v>
          </cell>
          <cell r="D263">
            <v>30</v>
          </cell>
          <cell r="E263">
            <v>6896.65</v>
          </cell>
          <cell r="F263">
            <v>590.65</v>
          </cell>
          <cell r="G263" t="str">
            <v>E8237</v>
          </cell>
          <cell r="H263" t="str">
            <v>E8237</v>
          </cell>
          <cell r="I263">
            <v>93</v>
          </cell>
        </row>
        <row r="264">
          <cell r="A264" t="str">
            <v>IE35002</v>
          </cell>
          <cell r="B264" t="str">
            <v>07</v>
          </cell>
          <cell r="C264" t="str">
            <v>INVESTIGADOR TECNICO AUXILIAR B 3/4 DE TIEMPO</v>
          </cell>
          <cell r="D264">
            <v>30</v>
          </cell>
          <cell r="E264">
            <v>7879.1</v>
          </cell>
          <cell r="F264">
            <v>632.65</v>
          </cell>
          <cell r="G264" t="str">
            <v>E8239</v>
          </cell>
          <cell r="H264" t="str">
            <v>E8239</v>
          </cell>
          <cell r="I264">
            <v>93</v>
          </cell>
        </row>
        <row r="265">
          <cell r="A265" t="str">
            <v>IE35003</v>
          </cell>
          <cell r="B265" t="str">
            <v>07</v>
          </cell>
          <cell r="C265" t="str">
            <v>INVESTIGADOR TECNICO AUXILIAR C 3/4 DE TIEMPO</v>
          </cell>
          <cell r="D265">
            <v>30</v>
          </cell>
          <cell r="E265">
            <v>9000.7000000000007</v>
          </cell>
          <cell r="F265">
            <v>675.95</v>
          </cell>
          <cell r="G265" t="str">
            <v>E8241</v>
          </cell>
          <cell r="H265" t="str">
            <v>E8241</v>
          </cell>
          <cell r="I265">
            <v>93</v>
          </cell>
        </row>
        <row r="266">
          <cell r="A266" t="str">
            <v>IE33001</v>
          </cell>
          <cell r="B266" t="str">
            <v>07</v>
          </cell>
          <cell r="C266" t="str">
            <v>INVESTIGADOR TECNICO ASOCIADO A 3/4 DE TIEMPO</v>
          </cell>
          <cell r="D266">
            <v>30</v>
          </cell>
          <cell r="E266">
            <v>11466.9</v>
          </cell>
          <cell r="F266">
            <v>686.35</v>
          </cell>
          <cell r="G266" t="str">
            <v>E8243</v>
          </cell>
          <cell r="H266" t="str">
            <v>E8243</v>
          </cell>
          <cell r="I266">
            <v>93</v>
          </cell>
        </row>
        <row r="267">
          <cell r="A267" t="str">
            <v>IE33002</v>
          </cell>
          <cell r="B267" t="str">
            <v>07</v>
          </cell>
          <cell r="C267" t="str">
            <v>INVESTIGADOR TECNICO ASOCIADO B 3/4 DE TIEMPO</v>
          </cell>
          <cell r="D267">
            <v>30</v>
          </cell>
          <cell r="E267">
            <v>12670.6</v>
          </cell>
          <cell r="F267">
            <v>726.65</v>
          </cell>
          <cell r="G267" t="str">
            <v>E8245</v>
          </cell>
          <cell r="H267" t="str">
            <v>E8245</v>
          </cell>
          <cell r="I267">
            <v>93</v>
          </cell>
        </row>
        <row r="268">
          <cell r="A268" t="str">
            <v>IE33003</v>
          </cell>
          <cell r="B268" t="str">
            <v>07</v>
          </cell>
          <cell r="C268" t="str">
            <v>INVESTIGADOR TECNICO ASOCIADO C 3/4 DE TIEMPO</v>
          </cell>
          <cell r="D268">
            <v>30</v>
          </cell>
          <cell r="E268">
            <v>13979.95</v>
          </cell>
          <cell r="F268">
            <v>747</v>
          </cell>
          <cell r="G268" t="str">
            <v>E8247</v>
          </cell>
          <cell r="H268" t="str">
            <v>E8247</v>
          </cell>
          <cell r="I268">
            <v>93</v>
          </cell>
        </row>
        <row r="269">
          <cell r="A269" t="str">
            <v>IE31001</v>
          </cell>
          <cell r="B269" t="str">
            <v>07</v>
          </cell>
          <cell r="C269" t="str">
            <v>INVESTIGADOR TECNICO TITULAR A 3/4 DE TIEMPO</v>
          </cell>
          <cell r="D269">
            <v>30</v>
          </cell>
          <cell r="E269">
            <v>15298.85</v>
          </cell>
          <cell r="F269">
            <v>792.2</v>
          </cell>
          <cell r="G269" t="str">
            <v>E8249</v>
          </cell>
          <cell r="H269" t="str">
            <v>E8249</v>
          </cell>
          <cell r="I269">
            <v>93</v>
          </cell>
        </row>
        <row r="270">
          <cell r="A270" t="str">
            <v>IE31002</v>
          </cell>
          <cell r="B270" t="str">
            <v>07</v>
          </cell>
          <cell r="C270" t="str">
            <v>INVESTIGADOR TECNICO TITULAR B 3/4 DE TIEMPO</v>
          </cell>
          <cell r="D270">
            <v>30</v>
          </cell>
          <cell r="E270">
            <v>17211.150000000001</v>
          </cell>
          <cell r="F270">
            <v>647.75</v>
          </cell>
          <cell r="G270" t="str">
            <v>E8251</v>
          </cell>
          <cell r="H270" t="str">
            <v>E8251</v>
          </cell>
          <cell r="I270">
            <v>93</v>
          </cell>
        </row>
        <row r="271">
          <cell r="A271" t="str">
            <v>IE44001</v>
          </cell>
          <cell r="B271" t="str">
            <v>07</v>
          </cell>
          <cell r="C271" t="str">
            <v>INVESTIGADOR ASISTENTE A TIEMPO COMPLETO</v>
          </cell>
          <cell r="D271">
            <v>40</v>
          </cell>
          <cell r="E271">
            <v>10471.35</v>
          </cell>
          <cell r="F271">
            <v>876.3</v>
          </cell>
          <cell r="G271" t="str">
            <v>E8301</v>
          </cell>
          <cell r="H271" t="str">
            <v>E8301</v>
          </cell>
          <cell r="I271">
            <v>91</v>
          </cell>
        </row>
        <row r="272">
          <cell r="A272" t="str">
            <v>IE44002</v>
          </cell>
          <cell r="B272" t="str">
            <v>07</v>
          </cell>
          <cell r="C272" t="str">
            <v>INVESTIGADOR ASISTENTE B TIEMPO COMPLETO</v>
          </cell>
          <cell r="D272">
            <v>40</v>
          </cell>
          <cell r="E272">
            <v>12259.3</v>
          </cell>
          <cell r="F272">
            <v>936.75</v>
          </cell>
          <cell r="G272" t="str">
            <v>E8303</v>
          </cell>
          <cell r="H272" t="str">
            <v>E8303</v>
          </cell>
          <cell r="I272">
            <v>91</v>
          </cell>
        </row>
        <row r="273">
          <cell r="A273" t="str">
            <v>IE44003</v>
          </cell>
          <cell r="B273" t="str">
            <v>07</v>
          </cell>
          <cell r="C273" t="str">
            <v>INVESTIGADOR ASISTENTE C TIEMPO COMPLETO</v>
          </cell>
          <cell r="D273">
            <v>40</v>
          </cell>
          <cell r="E273">
            <v>14124.8</v>
          </cell>
          <cell r="F273">
            <v>898.9</v>
          </cell>
          <cell r="G273" t="str">
            <v>E8305</v>
          </cell>
          <cell r="H273" t="str">
            <v>E8305</v>
          </cell>
          <cell r="I273">
            <v>91</v>
          </cell>
        </row>
        <row r="274">
          <cell r="A274" t="str">
            <v>IE42001</v>
          </cell>
          <cell r="B274" t="str">
            <v>07</v>
          </cell>
          <cell r="C274" t="str">
            <v>INVESTIGADOR ASOCIADO A TIEMPO COMPLETO</v>
          </cell>
          <cell r="D274">
            <v>40</v>
          </cell>
          <cell r="E274">
            <v>18534.7</v>
          </cell>
          <cell r="F274">
            <v>1028.05</v>
          </cell>
          <cell r="G274" t="str">
            <v>E8307</v>
          </cell>
          <cell r="H274" t="str">
            <v>E8307</v>
          </cell>
          <cell r="I274">
            <v>91</v>
          </cell>
        </row>
        <row r="275">
          <cell r="A275" t="str">
            <v>IE42002</v>
          </cell>
          <cell r="B275" t="str">
            <v>07</v>
          </cell>
          <cell r="C275" t="str">
            <v>INVESTIGADOR ASOCIADO B TIEMPO COMPLETO</v>
          </cell>
          <cell r="D275">
            <v>40</v>
          </cell>
          <cell r="E275">
            <v>20849.75</v>
          </cell>
          <cell r="F275">
            <v>873.2</v>
          </cell>
          <cell r="G275" t="str">
            <v>E8309</v>
          </cell>
          <cell r="H275" t="str">
            <v>E8309</v>
          </cell>
          <cell r="I275">
            <v>91</v>
          </cell>
        </row>
        <row r="276">
          <cell r="A276" t="str">
            <v>IE42003</v>
          </cell>
          <cell r="B276" t="str">
            <v>07</v>
          </cell>
          <cell r="C276" t="str">
            <v>INVESTIGADOR ASOCIADO C TIEMPO COMPLETO</v>
          </cell>
          <cell r="D276">
            <v>40</v>
          </cell>
          <cell r="E276">
            <v>23192.25</v>
          </cell>
          <cell r="F276">
            <v>899.05</v>
          </cell>
          <cell r="G276" t="str">
            <v>E8311</v>
          </cell>
          <cell r="H276" t="str">
            <v>E8311</v>
          </cell>
          <cell r="I276">
            <v>91</v>
          </cell>
        </row>
        <row r="277">
          <cell r="A277" t="str">
            <v>IE40001</v>
          </cell>
          <cell r="B277" t="str">
            <v>07</v>
          </cell>
          <cell r="C277" t="str">
            <v>INVESTIGADOR TITULAR A TIEMPO COMPLETO</v>
          </cell>
          <cell r="D277">
            <v>40</v>
          </cell>
          <cell r="E277">
            <v>26765.25</v>
          </cell>
          <cell r="F277">
            <v>615.65</v>
          </cell>
          <cell r="G277" t="str">
            <v>E8313</v>
          </cell>
          <cell r="H277" t="str">
            <v>E8313</v>
          </cell>
          <cell r="I277">
            <v>91</v>
          </cell>
        </row>
        <row r="278">
          <cell r="A278" t="str">
            <v>IE40002</v>
          </cell>
          <cell r="B278" t="str">
            <v>07</v>
          </cell>
          <cell r="C278" t="str">
            <v>INVESTIGADOR TITULAR B TIEMPO COMPLETO</v>
          </cell>
          <cell r="D278">
            <v>40</v>
          </cell>
          <cell r="E278">
            <v>31304.6</v>
          </cell>
          <cell r="F278">
            <v>494.85</v>
          </cell>
          <cell r="G278" t="str">
            <v>E8315</v>
          </cell>
          <cell r="H278" t="str">
            <v>E8315</v>
          </cell>
          <cell r="I278">
            <v>91</v>
          </cell>
        </row>
        <row r="279">
          <cell r="A279" t="str">
            <v>IE40003</v>
          </cell>
          <cell r="B279" t="str">
            <v>07</v>
          </cell>
          <cell r="C279" t="str">
            <v>INVESTIGADOR TITULAR C TIEMPO COMPLETO</v>
          </cell>
          <cell r="D279">
            <v>40</v>
          </cell>
          <cell r="E279">
            <v>37005.550000000003</v>
          </cell>
          <cell r="F279">
            <v>357.55</v>
          </cell>
          <cell r="G279" t="str">
            <v>E8317</v>
          </cell>
          <cell r="H279" t="str">
            <v>E8317</v>
          </cell>
          <cell r="I279">
            <v>91</v>
          </cell>
        </row>
        <row r="280">
          <cell r="A280" t="str">
            <v>IE45001</v>
          </cell>
          <cell r="B280" t="str">
            <v>07</v>
          </cell>
          <cell r="C280" t="str">
            <v>INVESTIGADOR TECNICO AUXILIAR A TIEMPO COMPLETO</v>
          </cell>
          <cell r="D280">
            <v>40</v>
          </cell>
          <cell r="E280">
            <v>9512.4</v>
          </cell>
          <cell r="F280">
            <v>828.7</v>
          </cell>
          <cell r="G280" t="str">
            <v>E8337</v>
          </cell>
          <cell r="H280" t="str">
            <v>E8337</v>
          </cell>
          <cell r="I280">
            <v>91</v>
          </cell>
        </row>
        <row r="281">
          <cell r="A281" t="str">
            <v>IE45002</v>
          </cell>
          <cell r="B281" t="str">
            <v>07</v>
          </cell>
          <cell r="C281" t="str">
            <v>INVESTIGADOR TECNICO AUXILIAR B TIEMPO COMPLETO</v>
          </cell>
          <cell r="D281">
            <v>40</v>
          </cell>
          <cell r="E281">
            <v>10877.55</v>
          </cell>
          <cell r="F281">
            <v>880.2</v>
          </cell>
          <cell r="G281" t="str">
            <v>E8339</v>
          </cell>
          <cell r="H281" t="str">
            <v>E8339</v>
          </cell>
          <cell r="I281">
            <v>91</v>
          </cell>
        </row>
        <row r="282">
          <cell r="A282" t="str">
            <v>IE45003</v>
          </cell>
          <cell r="B282" t="str">
            <v>07</v>
          </cell>
          <cell r="C282" t="str">
            <v>INVESTIGADOR TECNICO AUXILIAR C TIEMPO COMPLETO</v>
          </cell>
          <cell r="D282">
            <v>40</v>
          </cell>
          <cell r="E282">
            <v>12409.35</v>
          </cell>
          <cell r="F282">
            <v>938.2</v>
          </cell>
          <cell r="G282" t="str">
            <v>E8341</v>
          </cell>
          <cell r="H282" t="str">
            <v>E8341</v>
          </cell>
          <cell r="I282">
            <v>91</v>
          </cell>
        </row>
        <row r="283">
          <cell r="A283" t="str">
            <v>IE43001</v>
          </cell>
          <cell r="B283" t="str">
            <v>07</v>
          </cell>
          <cell r="C283" t="str">
            <v>INVESTIGADOR TECNICO ASOCIADO A TIEMPO COMPLETO</v>
          </cell>
          <cell r="D283">
            <v>40</v>
          </cell>
          <cell r="E283">
            <v>15630.95</v>
          </cell>
          <cell r="F283">
            <v>951.5</v>
          </cell>
          <cell r="G283" t="str">
            <v>E8343</v>
          </cell>
          <cell r="H283" t="str">
            <v>E8343</v>
          </cell>
          <cell r="I283">
            <v>91</v>
          </cell>
        </row>
        <row r="284">
          <cell r="A284" t="str">
            <v>IE43002</v>
          </cell>
          <cell r="B284" t="str">
            <v>07</v>
          </cell>
          <cell r="C284" t="str">
            <v>INVESTIGADOR TECNICO ASOCIADO B TIEMPO COMPLETO</v>
          </cell>
          <cell r="D284">
            <v>40</v>
          </cell>
          <cell r="E284">
            <v>17272.8</v>
          </cell>
          <cell r="F284">
            <v>977.6</v>
          </cell>
          <cell r="G284" t="str">
            <v>E8345</v>
          </cell>
          <cell r="H284" t="str">
            <v>E8345</v>
          </cell>
          <cell r="I284">
            <v>91</v>
          </cell>
        </row>
        <row r="285">
          <cell r="A285" t="str">
            <v>IE43003</v>
          </cell>
          <cell r="B285" t="str">
            <v>07</v>
          </cell>
          <cell r="C285" t="str">
            <v>INVESTIGADOR TECNICO ASOCIADO C TIEMPO COMPLETO</v>
          </cell>
          <cell r="D285">
            <v>40</v>
          </cell>
          <cell r="E285">
            <v>19055</v>
          </cell>
          <cell r="F285">
            <v>1038.05</v>
          </cell>
          <cell r="G285" t="str">
            <v>E8347</v>
          </cell>
          <cell r="H285" t="str">
            <v>E8347</v>
          </cell>
          <cell r="I285">
            <v>91</v>
          </cell>
        </row>
        <row r="286">
          <cell r="A286" t="str">
            <v>IE41001</v>
          </cell>
          <cell r="B286" t="str">
            <v>07</v>
          </cell>
          <cell r="C286" t="str">
            <v>INVESTIGADOR TECNICO TITULAR A TIEMPO COMPLETO</v>
          </cell>
          <cell r="D286">
            <v>40</v>
          </cell>
          <cell r="E286">
            <v>20849.75</v>
          </cell>
          <cell r="F286">
            <v>873.2</v>
          </cell>
          <cell r="G286" t="str">
            <v>E8349</v>
          </cell>
          <cell r="H286" t="str">
            <v>E8349</v>
          </cell>
          <cell r="I286">
            <v>91</v>
          </cell>
        </row>
        <row r="287">
          <cell r="A287" t="str">
            <v>IE41002</v>
          </cell>
          <cell r="B287" t="str">
            <v>07</v>
          </cell>
          <cell r="C287" t="str">
            <v>INVESTIGADOR TECNICO TITULAR B TIEMPO COMPLETO</v>
          </cell>
          <cell r="D287">
            <v>40</v>
          </cell>
          <cell r="E287">
            <v>23192.25</v>
          </cell>
          <cell r="F287">
            <v>899.05</v>
          </cell>
          <cell r="G287" t="str">
            <v>E8351</v>
          </cell>
          <cell r="H287" t="str">
            <v>E8351</v>
          </cell>
          <cell r="I287">
            <v>91</v>
          </cell>
        </row>
        <row r="288">
          <cell r="A288" t="str">
            <v>E8403</v>
          </cell>
          <cell r="B288" t="str">
            <v>07</v>
          </cell>
          <cell r="C288" t="str">
            <v>PROF. ASIGNATURA A (ES) DEL I.N.B.A.</v>
          </cell>
          <cell r="D288" t="str">
            <v>HSM</v>
          </cell>
          <cell r="E288">
            <v>446.15</v>
          </cell>
          <cell r="F288">
            <v>23.2</v>
          </cell>
          <cell r="G288" t="str">
            <v>E8403</v>
          </cell>
          <cell r="H288" t="str">
            <v>E8403</v>
          </cell>
          <cell r="I288">
            <v>94</v>
          </cell>
        </row>
        <row r="289">
          <cell r="A289" t="str">
            <v>E8405</v>
          </cell>
          <cell r="B289" t="str">
            <v>07</v>
          </cell>
          <cell r="C289" t="str">
            <v>PROF. ASIGNATURA B (ES) DEL I.N.B.A.</v>
          </cell>
          <cell r="D289" t="str">
            <v>HSM</v>
          </cell>
          <cell r="E289">
            <v>508.85</v>
          </cell>
          <cell r="F289">
            <v>24.95</v>
          </cell>
          <cell r="G289" t="str">
            <v>E8405</v>
          </cell>
          <cell r="H289" t="str">
            <v>E8405</v>
          </cell>
          <cell r="I289">
            <v>94</v>
          </cell>
        </row>
        <row r="290">
          <cell r="A290" t="str">
            <v>E8411</v>
          </cell>
          <cell r="B290" t="str">
            <v>07</v>
          </cell>
          <cell r="C290" t="str">
            <v>TEC. DOC. ASIG. A DEL I.N.B.A.</v>
          </cell>
          <cell r="D290" t="str">
            <v>HSM</v>
          </cell>
          <cell r="E290">
            <v>326.89999999999998</v>
          </cell>
          <cell r="F290">
            <v>24.65</v>
          </cell>
          <cell r="G290" t="str">
            <v>E8411</v>
          </cell>
          <cell r="H290" t="str">
            <v>E8411</v>
          </cell>
          <cell r="I290">
            <v>94</v>
          </cell>
        </row>
        <row r="291">
          <cell r="A291" t="str">
            <v>E8413</v>
          </cell>
          <cell r="B291" t="str">
            <v>07</v>
          </cell>
          <cell r="C291" t="str">
            <v>TEC. DOC. ASIG. B DEL I.N.B.A.</v>
          </cell>
          <cell r="D291" t="str">
            <v>HSM</v>
          </cell>
          <cell r="E291">
            <v>363.95</v>
          </cell>
          <cell r="F291">
            <v>23.5</v>
          </cell>
          <cell r="G291" t="str">
            <v>E8413</v>
          </cell>
          <cell r="H291" t="str">
            <v>E8413</v>
          </cell>
          <cell r="I291">
            <v>94</v>
          </cell>
        </row>
        <row r="292">
          <cell r="A292" t="str">
            <v>E8507</v>
          </cell>
          <cell r="B292" t="str">
            <v>07</v>
          </cell>
          <cell r="C292" t="str">
            <v>PREINCORPORACION A DEL I.N.B.A.</v>
          </cell>
          <cell r="D292" t="str">
            <v>HSM</v>
          </cell>
          <cell r="E292">
            <v>217.35</v>
          </cell>
          <cell r="F292">
            <v>20.350000000000001</v>
          </cell>
          <cell r="G292" t="str">
            <v>E8507</v>
          </cell>
          <cell r="H292" t="str">
            <v>E8507</v>
          </cell>
          <cell r="I292">
            <v>94</v>
          </cell>
        </row>
        <row r="293">
          <cell r="A293" t="str">
            <v>E8509</v>
          </cell>
          <cell r="B293" t="str">
            <v>07</v>
          </cell>
          <cell r="C293" t="str">
            <v>PREINCORPORACION B DEL I.N.B.A.</v>
          </cell>
          <cell r="D293" t="str">
            <v>HSM</v>
          </cell>
          <cell r="E293">
            <v>249.3</v>
          </cell>
          <cell r="F293">
            <v>21.8</v>
          </cell>
          <cell r="G293" t="str">
            <v>E8509</v>
          </cell>
          <cell r="H293" t="str">
            <v>E8509</v>
          </cell>
          <cell r="I293">
            <v>94</v>
          </cell>
        </row>
        <row r="294">
          <cell r="A294" t="str">
            <v>E8101</v>
          </cell>
          <cell r="B294" t="str">
            <v>07</v>
          </cell>
          <cell r="C294" t="str">
            <v>PROF. ASISTENTE A (ES) DEL I.N.B.A. 1/2 TIEMPO</v>
          </cell>
          <cell r="D294">
            <v>20</v>
          </cell>
          <cell r="E294">
            <v>5058.5</v>
          </cell>
          <cell r="F294">
            <v>419.9</v>
          </cell>
          <cell r="G294" t="str">
            <v>E8101</v>
          </cell>
          <cell r="H294" t="str">
            <v>E8101</v>
          </cell>
          <cell r="I294">
            <v>92</v>
          </cell>
        </row>
        <row r="295">
          <cell r="A295" t="str">
            <v>E8103</v>
          </cell>
          <cell r="B295" t="str">
            <v>07</v>
          </cell>
          <cell r="C295" t="str">
            <v>PROF. ASISTENTE B (ES) DEL I.N.B.A. 1/2 TIEMPO</v>
          </cell>
          <cell r="D295">
            <v>20</v>
          </cell>
          <cell r="E295">
            <v>5925.15</v>
          </cell>
          <cell r="F295">
            <v>449.9</v>
          </cell>
          <cell r="G295" t="str">
            <v>E8103</v>
          </cell>
          <cell r="H295" t="str">
            <v>E8103</v>
          </cell>
          <cell r="I295">
            <v>92</v>
          </cell>
        </row>
        <row r="296">
          <cell r="A296" t="str">
            <v>E8105</v>
          </cell>
          <cell r="B296" t="str">
            <v>07</v>
          </cell>
          <cell r="C296" t="str">
            <v>PROF. ASISTENTE C (ES) DEL I.N.B.A. 1/2 TIEMPO</v>
          </cell>
          <cell r="D296">
            <v>20</v>
          </cell>
          <cell r="E296">
            <v>6827.65</v>
          </cell>
          <cell r="F296">
            <v>480.25</v>
          </cell>
          <cell r="G296" t="str">
            <v>E8105</v>
          </cell>
          <cell r="H296" t="str">
            <v>E8105</v>
          </cell>
          <cell r="I296">
            <v>92</v>
          </cell>
        </row>
        <row r="297">
          <cell r="A297" t="str">
            <v>E8107</v>
          </cell>
          <cell r="B297" t="str">
            <v>07</v>
          </cell>
          <cell r="C297" t="str">
            <v>PROF. ASOCIADO A (ES) DEL I.N.B.A. 1/2 TIEMPO</v>
          </cell>
          <cell r="D297">
            <v>20</v>
          </cell>
          <cell r="E297">
            <v>9066.25</v>
          </cell>
          <cell r="F297">
            <v>495.5</v>
          </cell>
          <cell r="G297" t="str">
            <v>E8107</v>
          </cell>
          <cell r="H297" t="str">
            <v>E8107</v>
          </cell>
          <cell r="I297">
            <v>92</v>
          </cell>
        </row>
        <row r="298">
          <cell r="A298" t="str">
            <v>E8109</v>
          </cell>
          <cell r="B298" t="str">
            <v>07</v>
          </cell>
          <cell r="C298" t="str">
            <v>PROF. ASOCIADO B (ES) DEL I.N.B.A. 1/2 TIEMPO</v>
          </cell>
          <cell r="D298">
            <v>20</v>
          </cell>
          <cell r="E298">
            <v>10199.25</v>
          </cell>
          <cell r="F298">
            <v>528.1</v>
          </cell>
          <cell r="G298" t="str">
            <v>E8109</v>
          </cell>
          <cell r="H298" t="str">
            <v>E8109</v>
          </cell>
          <cell r="I298">
            <v>92</v>
          </cell>
        </row>
        <row r="299">
          <cell r="A299" t="str">
            <v>E8111</v>
          </cell>
          <cell r="B299" t="str">
            <v>07</v>
          </cell>
          <cell r="C299" t="str">
            <v>PROF. ASOCIADO C (ES) DEL I.N.B.A. 1/2 TIEMPO</v>
          </cell>
          <cell r="D299">
            <v>20</v>
          </cell>
          <cell r="E299">
            <v>11474.3</v>
          </cell>
          <cell r="F299">
            <v>431.85</v>
          </cell>
          <cell r="G299" t="str">
            <v>E8111</v>
          </cell>
          <cell r="H299" t="str">
            <v>E8111</v>
          </cell>
          <cell r="I299">
            <v>92</v>
          </cell>
        </row>
        <row r="300">
          <cell r="A300" t="str">
            <v>E8113</v>
          </cell>
          <cell r="B300" t="str">
            <v>07</v>
          </cell>
          <cell r="C300" t="str">
            <v>PROF. TITULAR A (ES) DEL I.N.B.A. 1/2 TIEMPO</v>
          </cell>
          <cell r="D300">
            <v>20</v>
          </cell>
          <cell r="E300">
            <v>13242.25</v>
          </cell>
          <cell r="F300">
            <v>306.39999999999998</v>
          </cell>
          <cell r="G300" t="str">
            <v>E8113</v>
          </cell>
          <cell r="H300" t="str">
            <v>E8113</v>
          </cell>
          <cell r="I300">
            <v>92</v>
          </cell>
        </row>
        <row r="301">
          <cell r="A301" t="str">
            <v>E8115</v>
          </cell>
          <cell r="B301" t="str">
            <v>07</v>
          </cell>
          <cell r="C301" t="str">
            <v>PROF. TITULAR B (ES) DEL I.N.B.A. 1/2 TIEMPO</v>
          </cell>
          <cell r="D301">
            <v>20</v>
          </cell>
          <cell r="E301">
            <v>15652.55</v>
          </cell>
          <cell r="F301">
            <v>247.45</v>
          </cell>
          <cell r="G301" t="str">
            <v>E8115</v>
          </cell>
          <cell r="H301" t="str">
            <v>E8115</v>
          </cell>
          <cell r="I301">
            <v>92</v>
          </cell>
        </row>
        <row r="302">
          <cell r="A302" t="str">
            <v>E8117</v>
          </cell>
          <cell r="B302" t="str">
            <v>07</v>
          </cell>
          <cell r="C302" t="str">
            <v>PROF. TITULAR C (ES) DEL I.N.B.A. 1/2 TIEMPO</v>
          </cell>
          <cell r="D302">
            <v>20</v>
          </cell>
          <cell r="E302">
            <v>18502.8</v>
          </cell>
          <cell r="F302">
            <v>178.8</v>
          </cell>
          <cell r="G302" t="str">
            <v>E8117</v>
          </cell>
          <cell r="H302" t="str">
            <v>E8117</v>
          </cell>
          <cell r="I302">
            <v>92</v>
          </cell>
        </row>
        <row r="303">
          <cell r="A303" t="str">
            <v>E8137</v>
          </cell>
          <cell r="B303" t="str">
            <v>07</v>
          </cell>
          <cell r="C303" t="str">
            <v>TEC. DOC. AUXILIAR A DEL I.N.B.A. 1/2 TIEMPO</v>
          </cell>
          <cell r="D303">
            <v>20</v>
          </cell>
          <cell r="E303">
            <v>4597.6499999999996</v>
          </cell>
          <cell r="F303">
            <v>393.8</v>
          </cell>
          <cell r="G303" t="str">
            <v>E8137</v>
          </cell>
          <cell r="H303" t="str">
            <v>E8137</v>
          </cell>
          <cell r="I303">
            <v>92</v>
          </cell>
        </row>
        <row r="304">
          <cell r="A304" t="str">
            <v>E8139</v>
          </cell>
          <cell r="B304" t="str">
            <v>07</v>
          </cell>
          <cell r="C304" t="str">
            <v>TEC. DOC. AUXILIAR B DEL I.N.B.A. 1/2 TIEMPO</v>
          </cell>
          <cell r="D304">
            <v>20</v>
          </cell>
          <cell r="E304">
            <v>5252.5</v>
          </cell>
          <cell r="F304">
            <v>421.75</v>
          </cell>
          <cell r="G304" t="str">
            <v>E8139</v>
          </cell>
          <cell r="H304" t="str">
            <v>E8139</v>
          </cell>
          <cell r="I304">
            <v>92</v>
          </cell>
        </row>
        <row r="305">
          <cell r="A305" t="str">
            <v>E8141</v>
          </cell>
          <cell r="B305" t="str">
            <v>07</v>
          </cell>
          <cell r="C305" t="str">
            <v>TEC. DOC. AUXILIAR C DEL I.N.B.A. 1/2 TIEMPO</v>
          </cell>
          <cell r="D305">
            <v>20</v>
          </cell>
          <cell r="E305">
            <v>6000.45</v>
          </cell>
          <cell r="F305">
            <v>450.6</v>
          </cell>
          <cell r="G305" t="str">
            <v>E8140</v>
          </cell>
          <cell r="H305" t="str">
            <v>E8140</v>
          </cell>
          <cell r="I305">
            <v>92</v>
          </cell>
        </row>
        <row r="306">
          <cell r="A306" t="str">
            <v>E8143</v>
          </cell>
          <cell r="B306" t="str">
            <v>07</v>
          </cell>
          <cell r="C306" t="str">
            <v>TEC. DOC. ASOCIADO A DEL I.N.B.A. 1/2 TIEMPO</v>
          </cell>
          <cell r="D306">
            <v>20</v>
          </cell>
          <cell r="E306">
            <v>7644.55</v>
          </cell>
          <cell r="F306">
            <v>457.55</v>
          </cell>
          <cell r="G306" t="str">
            <v>E8143</v>
          </cell>
          <cell r="H306" t="str">
            <v>E8143</v>
          </cell>
          <cell r="I306">
            <v>92</v>
          </cell>
        </row>
        <row r="307">
          <cell r="A307" t="str">
            <v>E8145</v>
          </cell>
          <cell r="B307" t="str">
            <v>07</v>
          </cell>
          <cell r="C307" t="str">
            <v>TEC. DOC. ASOCIADO B DEL I.N.B.A. 1/2 TIEMPO</v>
          </cell>
          <cell r="D307">
            <v>20</v>
          </cell>
          <cell r="E307">
            <v>8447.25</v>
          </cell>
          <cell r="F307">
            <v>487</v>
          </cell>
          <cell r="G307" t="str">
            <v>E8145</v>
          </cell>
          <cell r="H307" t="str">
            <v>E8145</v>
          </cell>
          <cell r="I307">
            <v>92</v>
          </cell>
        </row>
        <row r="308">
          <cell r="A308" t="str">
            <v>E8147</v>
          </cell>
          <cell r="B308" t="str">
            <v>07</v>
          </cell>
          <cell r="C308" t="str">
            <v>TEC. DOC. ASOCIADO C DEL I.N.B.A. 1/2 TIEMPO</v>
          </cell>
          <cell r="D308">
            <v>20</v>
          </cell>
          <cell r="E308">
            <v>9320.1</v>
          </cell>
          <cell r="F308">
            <v>500.5</v>
          </cell>
          <cell r="G308" t="str">
            <v>E8147</v>
          </cell>
          <cell r="H308" t="str">
            <v>E8147</v>
          </cell>
          <cell r="I308">
            <v>92</v>
          </cell>
        </row>
        <row r="309">
          <cell r="A309" t="str">
            <v>E8149</v>
          </cell>
          <cell r="B309" t="str">
            <v>07</v>
          </cell>
          <cell r="C309" t="str">
            <v>TEC. TITULAR A DEL I.N.B.A. 1/2 TIEMPO</v>
          </cell>
          <cell r="D309">
            <v>20</v>
          </cell>
          <cell r="E309">
            <v>10199.25</v>
          </cell>
          <cell r="F309">
            <v>528.1</v>
          </cell>
          <cell r="G309" t="str">
            <v>E8149</v>
          </cell>
          <cell r="H309" t="str">
            <v>E8149</v>
          </cell>
          <cell r="I309">
            <v>92</v>
          </cell>
        </row>
        <row r="310">
          <cell r="A310" t="str">
            <v>E8151</v>
          </cell>
          <cell r="B310" t="str">
            <v>07</v>
          </cell>
          <cell r="C310" t="str">
            <v>TEC. TITULAR B DEL I.N.B.A. 1/2 TIEMPO</v>
          </cell>
          <cell r="D310">
            <v>20</v>
          </cell>
          <cell r="E310">
            <v>11474.3</v>
          </cell>
          <cell r="F310">
            <v>431.85</v>
          </cell>
          <cell r="G310" t="str">
            <v>E8151</v>
          </cell>
          <cell r="H310" t="str">
            <v>E8151</v>
          </cell>
          <cell r="I310">
            <v>92</v>
          </cell>
        </row>
        <row r="311">
          <cell r="A311" t="str">
            <v>E8201</v>
          </cell>
          <cell r="B311" t="str">
            <v>07</v>
          </cell>
          <cell r="C311" t="str">
            <v>PROF. ASISTENTE A (ES) DEL INBA. 3/4 DE TIEMPO</v>
          </cell>
          <cell r="D311">
            <v>30</v>
          </cell>
          <cell r="E311">
            <v>7588.1</v>
          </cell>
          <cell r="F311">
            <v>629.85</v>
          </cell>
          <cell r="G311" t="str">
            <v>E8201</v>
          </cell>
          <cell r="H311" t="str">
            <v>E8201</v>
          </cell>
          <cell r="I311">
            <v>93</v>
          </cell>
        </row>
        <row r="312">
          <cell r="A312" t="str">
            <v>E8203</v>
          </cell>
          <cell r="B312" t="str">
            <v>07</v>
          </cell>
          <cell r="C312" t="str">
            <v>PROF. ASISTENTE B (ES) DEL INBA. 3/4 DE TIEMPO</v>
          </cell>
          <cell r="D312">
            <v>30</v>
          </cell>
          <cell r="E312">
            <v>8887.75</v>
          </cell>
          <cell r="F312">
            <v>674.8</v>
          </cell>
          <cell r="G312" t="str">
            <v>E8203</v>
          </cell>
          <cell r="H312" t="str">
            <v>E8203</v>
          </cell>
          <cell r="I312">
            <v>93</v>
          </cell>
        </row>
        <row r="313">
          <cell r="A313" t="str">
            <v>E8205</v>
          </cell>
          <cell r="B313" t="str">
            <v>07</v>
          </cell>
          <cell r="C313" t="str">
            <v>PROF. ASISTENTE C (ES) DEL INBA. 3/4 DE TIEMPO</v>
          </cell>
          <cell r="D313">
            <v>30</v>
          </cell>
          <cell r="E313">
            <v>10241.450000000001</v>
          </cell>
          <cell r="F313">
            <v>720.4</v>
          </cell>
          <cell r="G313" t="str">
            <v>E8205</v>
          </cell>
          <cell r="H313" t="str">
            <v>E8205</v>
          </cell>
          <cell r="I313">
            <v>93</v>
          </cell>
        </row>
        <row r="314">
          <cell r="A314" t="str">
            <v>E8207</v>
          </cell>
          <cell r="B314" t="str">
            <v>07</v>
          </cell>
          <cell r="C314" t="str">
            <v>PROF. ASOCIADO A (ES) DEL INBA. 3/4 DE TIEMPO</v>
          </cell>
          <cell r="D314">
            <v>30</v>
          </cell>
          <cell r="E314">
            <v>13599.35</v>
          </cell>
          <cell r="F314">
            <v>743.3</v>
          </cell>
          <cell r="G314" t="str">
            <v>E8207</v>
          </cell>
          <cell r="H314" t="str">
            <v>E8207</v>
          </cell>
          <cell r="I314">
            <v>93</v>
          </cell>
        </row>
        <row r="315">
          <cell r="A315" t="str">
            <v>E8209</v>
          </cell>
          <cell r="B315" t="str">
            <v>07</v>
          </cell>
          <cell r="C315" t="str">
            <v>PROF. ASOCIADO B (ES) DEL INBA. 3/4 DE TIEMPO</v>
          </cell>
          <cell r="D315">
            <v>30</v>
          </cell>
          <cell r="E315">
            <v>15298.85</v>
          </cell>
          <cell r="F315">
            <v>792.2</v>
          </cell>
          <cell r="G315" t="str">
            <v>E8209</v>
          </cell>
          <cell r="H315" t="str">
            <v>E8209</v>
          </cell>
          <cell r="I315">
            <v>93</v>
          </cell>
        </row>
        <row r="316">
          <cell r="A316" t="str">
            <v>E8211</v>
          </cell>
          <cell r="B316" t="str">
            <v>07</v>
          </cell>
          <cell r="C316" t="str">
            <v>PROF. ASOCIADO C (ES) DEL INBA. 3/4 DE TIEMPO</v>
          </cell>
          <cell r="D316">
            <v>30</v>
          </cell>
          <cell r="E316">
            <v>17211.150000000001</v>
          </cell>
          <cell r="F316">
            <v>647.75</v>
          </cell>
          <cell r="G316" t="str">
            <v>E8211</v>
          </cell>
          <cell r="H316" t="str">
            <v>E8211</v>
          </cell>
          <cell r="I316">
            <v>93</v>
          </cell>
        </row>
        <row r="317">
          <cell r="A317" t="str">
            <v>E8213</v>
          </cell>
          <cell r="B317" t="str">
            <v>07</v>
          </cell>
          <cell r="C317" t="str">
            <v>PROF. TITULAR A (ES) DEL I.N.B.A. 3/4 DE TIEMPO</v>
          </cell>
          <cell r="D317">
            <v>30</v>
          </cell>
          <cell r="E317">
            <v>19863.400000000001</v>
          </cell>
          <cell r="F317">
            <v>459.7</v>
          </cell>
          <cell r="G317" t="str">
            <v>E8213</v>
          </cell>
          <cell r="H317" t="str">
            <v>E8213</v>
          </cell>
          <cell r="I317">
            <v>93</v>
          </cell>
        </row>
        <row r="318">
          <cell r="A318" t="str">
            <v>E8215</v>
          </cell>
          <cell r="B318" t="str">
            <v>07</v>
          </cell>
          <cell r="C318" t="str">
            <v>PROF. TITULAR B (ES) DEL I.N.B.A. 3/4 DE TIEMPO</v>
          </cell>
          <cell r="D318">
            <v>30</v>
          </cell>
          <cell r="E318">
            <v>23478.55</v>
          </cell>
          <cell r="F318">
            <v>371.2</v>
          </cell>
          <cell r="G318" t="str">
            <v>E8215</v>
          </cell>
          <cell r="H318" t="str">
            <v>E8215</v>
          </cell>
          <cell r="I318">
            <v>93</v>
          </cell>
        </row>
        <row r="319">
          <cell r="A319" t="str">
            <v>E8217</v>
          </cell>
          <cell r="B319" t="str">
            <v>07</v>
          </cell>
          <cell r="C319" t="str">
            <v>PROF. TITULAR C (ES) DEL I.N.B.A. 3/4 DE TIEMPO</v>
          </cell>
          <cell r="D319">
            <v>30</v>
          </cell>
          <cell r="E319">
            <v>27753.85</v>
          </cell>
          <cell r="F319">
            <v>268.14999999999998</v>
          </cell>
          <cell r="G319" t="str">
            <v>E8217</v>
          </cell>
          <cell r="H319" t="str">
            <v>E8217</v>
          </cell>
          <cell r="I319">
            <v>93</v>
          </cell>
        </row>
        <row r="320">
          <cell r="A320" t="str">
            <v>E8237</v>
          </cell>
          <cell r="B320" t="str">
            <v>07</v>
          </cell>
          <cell r="C320" t="str">
            <v>TEC. DOC. AUXILIAR A DEL I.N.B.A. 3/4 DE TIEMPO</v>
          </cell>
          <cell r="D320">
            <v>30</v>
          </cell>
          <cell r="E320">
            <v>6896.65</v>
          </cell>
          <cell r="F320">
            <v>590.65</v>
          </cell>
          <cell r="G320" t="str">
            <v>E8237</v>
          </cell>
          <cell r="H320" t="str">
            <v>E8237</v>
          </cell>
          <cell r="I320">
            <v>93</v>
          </cell>
        </row>
        <row r="321">
          <cell r="A321" t="str">
            <v>E8239</v>
          </cell>
          <cell r="B321" t="str">
            <v>07</v>
          </cell>
          <cell r="C321" t="str">
            <v>TEC. DOC. AUXILIAR B DEL I.N.B.A. 3/4 DE TIEMPO</v>
          </cell>
          <cell r="D321">
            <v>30</v>
          </cell>
          <cell r="E321">
            <v>7879.1</v>
          </cell>
          <cell r="F321">
            <v>632.65</v>
          </cell>
          <cell r="G321" t="str">
            <v>E8239</v>
          </cell>
          <cell r="H321" t="str">
            <v>E8239</v>
          </cell>
          <cell r="I321">
            <v>93</v>
          </cell>
        </row>
        <row r="322">
          <cell r="A322" t="str">
            <v>E8241</v>
          </cell>
          <cell r="B322" t="str">
            <v>07</v>
          </cell>
          <cell r="C322" t="str">
            <v>TEC. DOC. AUXILIAR C DEL I.N.B.A. 3/4 DE TIEMPO</v>
          </cell>
          <cell r="D322">
            <v>30</v>
          </cell>
          <cell r="E322">
            <v>9000.7000000000007</v>
          </cell>
          <cell r="F322">
            <v>675.95</v>
          </cell>
          <cell r="G322" t="str">
            <v>E8241</v>
          </cell>
          <cell r="H322" t="str">
            <v>E8241</v>
          </cell>
          <cell r="I322">
            <v>93</v>
          </cell>
        </row>
        <row r="323">
          <cell r="A323" t="str">
            <v>E8243</v>
          </cell>
          <cell r="B323" t="str">
            <v>07</v>
          </cell>
          <cell r="C323" t="str">
            <v>TEC. DOC. ASOCIADO A DEL I.N.B.A. 3/4 DE TIEMPO</v>
          </cell>
          <cell r="D323">
            <v>30</v>
          </cell>
          <cell r="E323">
            <v>11466.9</v>
          </cell>
          <cell r="F323">
            <v>686.35</v>
          </cell>
          <cell r="G323" t="str">
            <v>E8243</v>
          </cell>
          <cell r="H323" t="str">
            <v>E8243</v>
          </cell>
          <cell r="I323">
            <v>93</v>
          </cell>
        </row>
        <row r="324">
          <cell r="A324" t="str">
            <v>E8245</v>
          </cell>
          <cell r="B324" t="str">
            <v>07</v>
          </cell>
          <cell r="C324" t="str">
            <v>TEC. DOC. ASOCIADO B DEL I.N.B.A. 3/4 DE TIEMPO</v>
          </cell>
          <cell r="D324">
            <v>30</v>
          </cell>
          <cell r="E324">
            <v>12670.65</v>
          </cell>
          <cell r="F324">
            <v>726.65</v>
          </cell>
          <cell r="G324" t="str">
            <v>E8245</v>
          </cell>
          <cell r="H324" t="str">
            <v>E8245</v>
          </cell>
          <cell r="I324">
            <v>93</v>
          </cell>
        </row>
        <row r="325">
          <cell r="A325" t="str">
            <v>E8247</v>
          </cell>
          <cell r="B325" t="str">
            <v>07</v>
          </cell>
          <cell r="C325" t="str">
            <v>TEC. DOC. ASOCIADO C DEL I.N.B.A. 3/4 DE TIEMPO</v>
          </cell>
          <cell r="D325">
            <v>30</v>
          </cell>
          <cell r="E325">
            <v>13979.95</v>
          </cell>
          <cell r="F325">
            <v>747</v>
          </cell>
          <cell r="G325" t="str">
            <v>E8247</v>
          </cell>
          <cell r="H325" t="str">
            <v>E8247</v>
          </cell>
          <cell r="I325">
            <v>93</v>
          </cell>
        </row>
        <row r="326">
          <cell r="A326" t="str">
            <v>E8249</v>
          </cell>
          <cell r="B326" t="str">
            <v>07</v>
          </cell>
          <cell r="C326" t="str">
            <v>TEC. TITULAR A DEL I.N.B.A. 3/4 DE TIEMPO</v>
          </cell>
          <cell r="D326">
            <v>30</v>
          </cell>
          <cell r="E326">
            <v>15298.85</v>
          </cell>
          <cell r="F326">
            <v>792.2</v>
          </cell>
          <cell r="G326" t="str">
            <v>E8249</v>
          </cell>
          <cell r="H326" t="str">
            <v>E8249</v>
          </cell>
          <cell r="I326">
            <v>93</v>
          </cell>
        </row>
        <row r="327">
          <cell r="A327" t="str">
            <v>E8251</v>
          </cell>
          <cell r="B327" t="str">
            <v>07</v>
          </cell>
          <cell r="C327" t="str">
            <v>TEC. TITULAR B DEL I.N.B.A. 3/4 DE TIEMPO</v>
          </cell>
          <cell r="D327">
            <v>30</v>
          </cell>
          <cell r="E327">
            <v>17211.150000000001</v>
          </cell>
          <cell r="F327">
            <v>647.75</v>
          </cell>
          <cell r="G327" t="str">
            <v>E8251</v>
          </cell>
          <cell r="H327" t="str">
            <v>E8251</v>
          </cell>
          <cell r="I327">
            <v>93</v>
          </cell>
        </row>
        <row r="328">
          <cell r="A328" t="str">
            <v>E8301</v>
          </cell>
          <cell r="B328" t="str">
            <v>07</v>
          </cell>
          <cell r="C328" t="str">
            <v>PROF. ASISTENTE A (ES) DEL INBA. TIEMPO COMPLETO</v>
          </cell>
          <cell r="D328">
            <v>40</v>
          </cell>
          <cell r="E328">
            <v>10471.35</v>
          </cell>
          <cell r="F328">
            <v>876.3</v>
          </cell>
          <cell r="G328" t="str">
            <v>E8301</v>
          </cell>
          <cell r="H328" t="str">
            <v>E8301</v>
          </cell>
          <cell r="I328">
            <v>91</v>
          </cell>
        </row>
        <row r="329">
          <cell r="A329" t="str">
            <v>E8303</v>
          </cell>
          <cell r="B329" t="str">
            <v>07</v>
          </cell>
          <cell r="C329" t="str">
            <v>PROF. ASISTENTE B (ES) DEL INBA. TIEMPO COMPLETO</v>
          </cell>
          <cell r="D329">
            <v>40</v>
          </cell>
          <cell r="E329">
            <v>12259.3</v>
          </cell>
          <cell r="F329">
            <v>936.75</v>
          </cell>
          <cell r="G329" t="str">
            <v>E8303</v>
          </cell>
          <cell r="H329" t="str">
            <v>E8303</v>
          </cell>
          <cell r="I329">
            <v>91</v>
          </cell>
        </row>
        <row r="330">
          <cell r="A330" t="str">
            <v>E8305</v>
          </cell>
          <cell r="B330" t="str">
            <v>07</v>
          </cell>
          <cell r="C330" t="str">
            <v>PROF. ASISTENTE C (ES) DEL INBA. TIEMPO COMPLETO</v>
          </cell>
          <cell r="D330">
            <v>40</v>
          </cell>
          <cell r="E330">
            <v>14124.8</v>
          </cell>
          <cell r="F330">
            <v>898.9</v>
          </cell>
          <cell r="G330" t="str">
            <v>E8305</v>
          </cell>
          <cell r="H330" t="str">
            <v>E8305</v>
          </cell>
          <cell r="I330">
            <v>91</v>
          </cell>
        </row>
        <row r="331">
          <cell r="A331" t="str">
            <v>E8307</v>
          </cell>
          <cell r="B331" t="str">
            <v>07</v>
          </cell>
          <cell r="C331" t="str">
            <v>PROF. ASOCIADO A (ES) DEL INBA. TIEMPO COMPLETO</v>
          </cell>
          <cell r="D331">
            <v>40</v>
          </cell>
          <cell r="E331">
            <v>18534.7</v>
          </cell>
          <cell r="F331">
            <v>1028.05</v>
          </cell>
          <cell r="G331" t="str">
            <v>E8307</v>
          </cell>
          <cell r="H331" t="str">
            <v>E8307</v>
          </cell>
          <cell r="I331">
            <v>91</v>
          </cell>
        </row>
        <row r="332">
          <cell r="A332" t="str">
            <v>E8309</v>
          </cell>
          <cell r="B332" t="str">
            <v>07</v>
          </cell>
          <cell r="C332" t="str">
            <v>PROF. ASOCIADO B (ES) DEL INBA. TIEMPO COMPLETO</v>
          </cell>
          <cell r="D332">
            <v>40</v>
          </cell>
          <cell r="E332">
            <v>20849.75</v>
          </cell>
          <cell r="F332">
            <v>873.2</v>
          </cell>
          <cell r="G332" t="str">
            <v>E8309</v>
          </cell>
          <cell r="H332" t="str">
            <v>E8309</v>
          </cell>
          <cell r="I332">
            <v>91</v>
          </cell>
        </row>
        <row r="333">
          <cell r="A333" t="str">
            <v>E8311</v>
          </cell>
          <cell r="B333" t="str">
            <v>07</v>
          </cell>
          <cell r="C333" t="str">
            <v>PROF. ASOCIADO C (ES) DEL INBA. TIEMPO COMPLETO</v>
          </cell>
          <cell r="D333">
            <v>40</v>
          </cell>
          <cell r="E333">
            <v>23192.25</v>
          </cell>
          <cell r="F333">
            <v>899.05</v>
          </cell>
          <cell r="G333" t="str">
            <v>E8311</v>
          </cell>
          <cell r="H333" t="str">
            <v>E8311</v>
          </cell>
          <cell r="I333">
            <v>91</v>
          </cell>
        </row>
        <row r="334">
          <cell r="A334" t="str">
            <v>E8313</v>
          </cell>
          <cell r="B334" t="str">
            <v>07</v>
          </cell>
          <cell r="C334" t="str">
            <v>PROF. TITULAR A (ES) DEL INBA. TIEMPO COMPLETO</v>
          </cell>
          <cell r="D334">
            <v>40</v>
          </cell>
          <cell r="E334">
            <v>26765.25</v>
          </cell>
          <cell r="F334">
            <v>615.65</v>
          </cell>
          <cell r="G334" t="str">
            <v>E8313</v>
          </cell>
          <cell r="H334" t="str">
            <v>E8313</v>
          </cell>
          <cell r="I334">
            <v>91</v>
          </cell>
        </row>
        <row r="335">
          <cell r="A335" t="str">
            <v>E8315</v>
          </cell>
          <cell r="B335" t="str">
            <v>07</v>
          </cell>
          <cell r="C335" t="str">
            <v>PROF. TITULAR B (ES) DEL INBA. TIEMPO COMPLETO</v>
          </cell>
          <cell r="D335">
            <v>40</v>
          </cell>
          <cell r="E335">
            <v>31304.6</v>
          </cell>
          <cell r="F335">
            <v>494.85</v>
          </cell>
          <cell r="G335" t="str">
            <v>E8315</v>
          </cell>
          <cell r="H335" t="str">
            <v>E8315</v>
          </cell>
          <cell r="I335">
            <v>91</v>
          </cell>
        </row>
        <row r="336">
          <cell r="A336" t="str">
            <v>E8317</v>
          </cell>
          <cell r="B336" t="str">
            <v>07</v>
          </cell>
          <cell r="C336" t="str">
            <v>PROF. TITULAR C (ES) DEL INBA. TIEMPO COMPLETO</v>
          </cell>
          <cell r="D336">
            <v>40</v>
          </cell>
          <cell r="E336">
            <v>37005.550000000003</v>
          </cell>
          <cell r="F336">
            <v>357.55</v>
          </cell>
          <cell r="G336" t="str">
            <v>E8317</v>
          </cell>
          <cell r="H336" t="str">
            <v>E8317</v>
          </cell>
          <cell r="I336">
            <v>91</v>
          </cell>
        </row>
        <row r="337">
          <cell r="A337" t="str">
            <v>E8337</v>
          </cell>
          <cell r="B337" t="str">
            <v>07</v>
          </cell>
          <cell r="C337" t="str">
            <v>TEC. DOC. AUXILIAR A DEL INBA. TIEMPO COMPLETO</v>
          </cell>
          <cell r="D337">
            <v>40</v>
          </cell>
          <cell r="E337">
            <v>9512.4</v>
          </cell>
          <cell r="F337">
            <v>828.7</v>
          </cell>
          <cell r="G337" t="str">
            <v>E8337</v>
          </cell>
          <cell r="H337" t="str">
            <v>E8337</v>
          </cell>
          <cell r="I337">
            <v>91</v>
          </cell>
        </row>
        <row r="338">
          <cell r="A338" t="str">
            <v>E8339</v>
          </cell>
          <cell r="B338" t="str">
            <v>07</v>
          </cell>
          <cell r="C338" t="str">
            <v>TEC. DOC. AUXILIAR B DEL INBA. TIEMPO COMPLETO</v>
          </cell>
          <cell r="D338">
            <v>40</v>
          </cell>
          <cell r="E338">
            <v>10877.55</v>
          </cell>
          <cell r="F338">
            <v>880.2</v>
          </cell>
          <cell r="G338" t="str">
            <v>E8339</v>
          </cell>
          <cell r="H338" t="str">
            <v>E8339</v>
          </cell>
          <cell r="I338">
            <v>91</v>
          </cell>
        </row>
        <row r="339">
          <cell r="A339" t="str">
            <v>E8341</v>
          </cell>
          <cell r="B339" t="str">
            <v>07</v>
          </cell>
          <cell r="C339" t="str">
            <v>TEC. DOC. AUXILIAR C DEL INBA. TIEMPO COMPLETO</v>
          </cell>
          <cell r="D339">
            <v>40</v>
          </cell>
          <cell r="E339">
            <v>12409.35</v>
          </cell>
          <cell r="F339">
            <v>938.2</v>
          </cell>
          <cell r="G339" t="str">
            <v>E8341</v>
          </cell>
          <cell r="H339" t="str">
            <v>E8341</v>
          </cell>
          <cell r="I339">
            <v>91</v>
          </cell>
        </row>
        <row r="340">
          <cell r="A340" t="str">
            <v>E8343</v>
          </cell>
          <cell r="B340" t="str">
            <v>07</v>
          </cell>
          <cell r="C340" t="str">
            <v>TEC. DOC. ASOCIADO A DEL INBA. TIEMPO COMPLETO</v>
          </cell>
          <cell r="D340">
            <v>40</v>
          </cell>
          <cell r="E340">
            <v>15630.95</v>
          </cell>
          <cell r="F340">
            <v>951.5</v>
          </cell>
          <cell r="G340" t="str">
            <v>E8343</v>
          </cell>
          <cell r="H340" t="str">
            <v>E8343</v>
          </cell>
          <cell r="I340">
            <v>91</v>
          </cell>
        </row>
        <row r="341">
          <cell r="A341" t="str">
            <v>E8345</v>
          </cell>
          <cell r="B341" t="str">
            <v>07</v>
          </cell>
          <cell r="C341" t="str">
            <v>TEC. DOC. ASOCIADO B DEL INBA. TIEMPO COMPLETO</v>
          </cell>
          <cell r="D341">
            <v>40</v>
          </cell>
          <cell r="E341">
            <v>17272.8</v>
          </cell>
          <cell r="F341">
            <v>977.6</v>
          </cell>
          <cell r="G341" t="str">
            <v>E8345</v>
          </cell>
          <cell r="H341" t="str">
            <v>E8345</v>
          </cell>
          <cell r="I341">
            <v>91</v>
          </cell>
        </row>
        <row r="342">
          <cell r="A342" t="str">
            <v>E8347</v>
          </cell>
          <cell r="B342" t="str">
            <v>07</v>
          </cell>
          <cell r="C342" t="str">
            <v>TEC. DOC. ASOCIADO C DEL INBA. TIEMPO COMPLETO</v>
          </cell>
          <cell r="D342">
            <v>40</v>
          </cell>
          <cell r="E342">
            <v>19055</v>
          </cell>
          <cell r="F342">
            <v>1038.05</v>
          </cell>
          <cell r="G342" t="str">
            <v>E8347</v>
          </cell>
          <cell r="H342" t="str">
            <v>E8347</v>
          </cell>
          <cell r="I342">
            <v>91</v>
          </cell>
        </row>
        <row r="343">
          <cell r="A343" t="str">
            <v>E8349</v>
          </cell>
          <cell r="B343" t="str">
            <v>07</v>
          </cell>
          <cell r="C343" t="str">
            <v>TEC. TITULAR A DEL I.N.B.A. TIEMPO COMPLETO</v>
          </cell>
          <cell r="D343">
            <v>40</v>
          </cell>
          <cell r="E343">
            <v>20849.75</v>
          </cell>
          <cell r="F343">
            <v>873.2</v>
          </cell>
          <cell r="G343" t="str">
            <v>E8349</v>
          </cell>
          <cell r="H343" t="str">
            <v>E8349</v>
          </cell>
          <cell r="I343">
            <v>91</v>
          </cell>
        </row>
        <row r="344">
          <cell r="A344" t="str">
            <v>E8351</v>
          </cell>
          <cell r="B344" t="str">
            <v>07</v>
          </cell>
          <cell r="C344" t="str">
            <v>TEC. TITULAR B DEL I.N.B.A. TIEMPO COMPLETO</v>
          </cell>
          <cell r="D344">
            <v>40</v>
          </cell>
          <cell r="E344">
            <v>23192.25</v>
          </cell>
          <cell r="F344">
            <v>899.05</v>
          </cell>
          <cell r="G344" t="str">
            <v>E8351</v>
          </cell>
          <cell r="H344" t="str">
            <v>E8351</v>
          </cell>
          <cell r="I344">
            <v>91</v>
          </cell>
        </row>
        <row r="345">
          <cell r="A345" t="str">
            <v>E0460</v>
          </cell>
          <cell r="B345" t="str">
            <v>07</v>
          </cell>
          <cell r="C345" t="str">
            <v xml:space="preserve">PROFESOR DE ADIESTRAMIENTO DE SECUNDARIA TÉCNICA </v>
          </cell>
          <cell r="D345" t="str">
            <v>HSM</v>
          </cell>
          <cell r="G345">
            <v>7</v>
          </cell>
          <cell r="H345" t="str">
            <v>E0460</v>
          </cell>
          <cell r="I345">
            <v>34</v>
          </cell>
        </row>
        <row r="346">
          <cell r="A346" t="str">
            <v>E0362</v>
          </cell>
          <cell r="B346" t="str">
            <v>07</v>
          </cell>
          <cell r="C346" t="str">
            <v xml:space="preserve">PROFESOR DE ENSEÑANZA SECUNDARIA </v>
          </cell>
          <cell r="D346" t="str">
            <v>HSM</v>
          </cell>
          <cell r="G346">
            <v>7</v>
          </cell>
          <cell r="H346" t="str">
            <v>E0362</v>
          </cell>
          <cell r="I346">
            <v>34</v>
          </cell>
        </row>
        <row r="347">
          <cell r="A347" t="str">
            <v>E0462</v>
          </cell>
          <cell r="B347" t="str">
            <v>07</v>
          </cell>
          <cell r="C347" t="str">
            <v xml:space="preserve">PROFESOR DE ENSEÑANZA SECUNDARIA TÉCNICA </v>
          </cell>
          <cell r="D347" t="str">
            <v>HSM</v>
          </cell>
          <cell r="G347">
            <v>7</v>
          </cell>
          <cell r="H347" t="str">
            <v>E0462</v>
          </cell>
          <cell r="I347">
            <v>34</v>
          </cell>
        </row>
        <row r="348">
          <cell r="A348" t="str">
            <v>E1062</v>
          </cell>
          <cell r="B348" t="str">
            <v>07</v>
          </cell>
          <cell r="C348" t="str">
            <v>PROFESOR DE ENSEÑANZAS ARTÍSTICAS Y MUSICALES</v>
          </cell>
          <cell r="D348" t="str">
            <v>HSM</v>
          </cell>
          <cell r="G348">
            <v>7</v>
          </cell>
          <cell r="H348" t="str">
            <v>E1062</v>
          </cell>
          <cell r="I348">
            <v>34</v>
          </cell>
        </row>
        <row r="349">
          <cell r="A349" t="str">
            <v>E1062</v>
          </cell>
          <cell r="B349" t="str">
            <v>07</v>
          </cell>
          <cell r="C349" t="str">
            <v>PROF. DE ENSEÑANZAS ARTIST. POSTPRIMARIA  D.F.</v>
          </cell>
          <cell r="D349" t="str">
            <v>HSM</v>
          </cell>
          <cell r="G349">
            <v>7</v>
          </cell>
          <cell r="H349" t="str">
            <v>E1062</v>
          </cell>
          <cell r="I349">
            <v>34</v>
          </cell>
        </row>
        <row r="350">
          <cell r="A350" t="str">
            <v>E1062</v>
          </cell>
          <cell r="B350" t="str">
            <v>07</v>
          </cell>
          <cell r="C350" t="str">
            <v>PROF. DE ENSEÑANZAS ARTIST. POSTPRIMARIA  D.F.</v>
          </cell>
          <cell r="D350" t="str">
            <v>HSM</v>
          </cell>
          <cell r="G350">
            <v>7</v>
          </cell>
          <cell r="H350" t="str">
            <v>E1062</v>
          </cell>
          <cell r="I350">
            <v>34</v>
          </cell>
        </row>
        <row r="351">
          <cell r="A351" t="str">
            <v>E1062</v>
          </cell>
          <cell r="B351" t="str">
            <v>07</v>
          </cell>
          <cell r="C351" t="str">
            <v>PROF. DE ENSEÑANZAS ARTIST. POSTPRIMARIA  D.F.</v>
          </cell>
          <cell r="D351" t="str">
            <v>HSM</v>
          </cell>
          <cell r="G351">
            <v>7</v>
          </cell>
          <cell r="H351" t="str">
            <v>E1062</v>
          </cell>
          <cell r="I351">
            <v>34</v>
          </cell>
        </row>
        <row r="352">
          <cell r="A352" t="str">
            <v>E0360</v>
          </cell>
          <cell r="B352" t="str">
            <v>07</v>
          </cell>
          <cell r="C352" t="str">
            <v xml:space="preserve">PROFESOR DE ENSEÑANZAS DE ADIESTRAMIENTO DE SECUNDARIA </v>
          </cell>
          <cell r="D352" t="str">
            <v>HSM</v>
          </cell>
          <cell r="G352">
            <v>7</v>
          </cell>
          <cell r="H352" t="str">
            <v>E0360</v>
          </cell>
          <cell r="I352">
            <v>34</v>
          </cell>
        </row>
        <row r="353">
          <cell r="A353" t="str">
            <v>E2402</v>
          </cell>
          <cell r="B353" t="str">
            <v>07</v>
          </cell>
          <cell r="C353" t="str">
            <v xml:space="preserve">AYUDANTE "A" </v>
          </cell>
          <cell r="D353">
            <v>24</v>
          </cell>
          <cell r="G353">
            <v>7</v>
          </cell>
          <cell r="H353" t="str">
            <v>E2402</v>
          </cell>
          <cell r="I353">
            <v>31</v>
          </cell>
        </row>
        <row r="354">
          <cell r="A354" t="str">
            <v>E2200</v>
          </cell>
          <cell r="B354" t="str">
            <v>07</v>
          </cell>
          <cell r="C354" t="str">
            <v xml:space="preserve">AYUDANTE "A" DE TALLER </v>
          </cell>
          <cell r="D354">
            <v>18</v>
          </cell>
          <cell r="G354">
            <v>7</v>
          </cell>
          <cell r="H354" t="str">
            <v>E2200</v>
          </cell>
          <cell r="I354">
            <v>31</v>
          </cell>
        </row>
        <row r="355">
          <cell r="A355" t="str">
            <v>E2202</v>
          </cell>
          <cell r="B355" t="str">
            <v>07</v>
          </cell>
          <cell r="C355" t="str">
            <v xml:space="preserve">AYUDANTE "B" DE TALLER </v>
          </cell>
          <cell r="D355">
            <v>18</v>
          </cell>
          <cell r="G355">
            <v>7</v>
          </cell>
          <cell r="H355" t="str">
            <v>E2202</v>
          </cell>
          <cell r="I355">
            <v>31</v>
          </cell>
        </row>
        <row r="356">
          <cell r="A356" t="str">
            <v>E2204</v>
          </cell>
          <cell r="B356" t="str">
            <v>07</v>
          </cell>
          <cell r="C356" t="str">
            <v xml:space="preserve">AYUDANTE "C" DE TALLER </v>
          </cell>
          <cell r="D356">
            <v>18</v>
          </cell>
          <cell r="G356">
            <v>7</v>
          </cell>
          <cell r="H356" t="str">
            <v>E2204</v>
          </cell>
          <cell r="I356">
            <v>31</v>
          </cell>
        </row>
        <row r="357">
          <cell r="A357" t="str">
            <v>E2206</v>
          </cell>
          <cell r="B357" t="str">
            <v>07</v>
          </cell>
          <cell r="C357" t="str">
            <v xml:space="preserve">AYUDANTE "D" DE TALLER </v>
          </cell>
          <cell r="D357">
            <v>24</v>
          </cell>
          <cell r="G357">
            <v>7</v>
          </cell>
          <cell r="H357" t="str">
            <v>E2206</v>
          </cell>
          <cell r="I357">
            <v>31</v>
          </cell>
        </row>
        <row r="358">
          <cell r="A358" t="str">
            <v>E2208</v>
          </cell>
          <cell r="B358" t="str">
            <v>07</v>
          </cell>
          <cell r="C358" t="str">
            <v xml:space="preserve">AYUDANTE "E" DE TALLER </v>
          </cell>
          <cell r="D358">
            <v>24</v>
          </cell>
          <cell r="G358">
            <v>7</v>
          </cell>
          <cell r="H358" t="str">
            <v>E2208</v>
          </cell>
          <cell r="I358">
            <v>31</v>
          </cell>
        </row>
        <row r="359">
          <cell r="A359" t="str">
            <v>E2210</v>
          </cell>
          <cell r="B359" t="str">
            <v>07</v>
          </cell>
          <cell r="C359" t="str">
            <v xml:space="preserve">AYUDANTE "F" DE TALLER </v>
          </cell>
          <cell r="D359">
            <v>36</v>
          </cell>
          <cell r="G359">
            <v>7</v>
          </cell>
          <cell r="H359" t="str">
            <v>E2210</v>
          </cell>
          <cell r="I359">
            <v>31</v>
          </cell>
        </row>
        <row r="360">
          <cell r="A360" t="str">
            <v>E1024</v>
          </cell>
          <cell r="B360" t="str">
            <v>07</v>
          </cell>
          <cell r="C360" t="str">
            <v xml:space="preserve">DIRECTOR DE ESCUELA DE ENSEÑANZAS ARTÍSTICAS </v>
          </cell>
          <cell r="D360">
            <v>24</v>
          </cell>
          <cell r="G360">
            <v>7</v>
          </cell>
          <cell r="H360" t="str">
            <v>E1024</v>
          </cell>
          <cell r="I360">
            <v>31</v>
          </cell>
        </row>
        <row r="361">
          <cell r="A361" t="str">
            <v>E1032</v>
          </cell>
          <cell r="B361" t="str">
            <v>07</v>
          </cell>
          <cell r="C361" t="str">
            <v xml:space="preserve">DIRECTOR DE ESCUELA DE ENSEÑANZAS ARTÍSTICAS </v>
          </cell>
          <cell r="D361">
            <v>36</v>
          </cell>
          <cell r="G361">
            <v>7</v>
          </cell>
          <cell r="H361" t="str">
            <v>E1032</v>
          </cell>
          <cell r="I361">
            <v>31</v>
          </cell>
        </row>
        <row r="362">
          <cell r="A362" t="str">
            <v>E1028</v>
          </cell>
          <cell r="B362" t="str">
            <v>07</v>
          </cell>
          <cell r="C362" t="str">
            <v xml:space="preserve">DIRECTOR DE ESCUELA NOCTURNA DE MÚSICA </v>
          </cell>
          <cell r="D362">
            <v>24</v>
          </cell>
          <cell r="G362">
            <v>7</v>
          </cell>
          <cell r="H362" t="str">
            <v>E1028</v>
          </cell>
          <cell r="I362">
            <v>31</v>
          </cell>
        </row>
        <row r="363">
          <cell r="A363" t="str">
            <v>E0220</v>
          </cell>
          <cell r="B363" t="str">
            <v>07</v>
          </cell>
          <cell r="C363" t="str">
            <v xml:space="preserve">DIRECTOR DE PRIMARIA </v>
          </cell>
          <cell r="D363">
            <v>25</v>
          </cell>
          <cell r="G363">
            <v>7</v>
          </cell>
          <cell r="H363" t="str">
            <v>E0220</v>
          </cell>
          <cell r="I363">
            <v>31</v>
          </cell>
        </row>
        <row r="364">
          <cell r="A364" t="str">
            <v>E1034</v>
          </cell>
          <cell r="B364" t="str">
            <v>07</v>
          </cell>
          <cell r="C364" t="str">
            <v xml:space="preserve">DIRECTOR DEL CONSERVATORIO NACIONAL DE MÚSICA </v>
          </cell>
          <cell r="D364">
            <v>36</v>
          </cell>
          <cell r="G364">
            <v>7</v>
          </cell>
          <cell r="H364" t="str">
            <v>E1034</v>
          </cell>
          <cell r="I364">
            <v>31</v>
          </cell>
        </row>
        <row r="365">
          <cell r="A365" t="str">
            <v>E1614</v>
          </cell>
          <cell r="B365" t="str">
            <v>07</v>
          </cell>
          <cell r="C365" t="str">
            <v xml:space="preserve">JEFE  DE TALLER </v>
          </cell>
          <cell r="D365">
            <v>36</v>
          </cell>
          <cell r="G365">
            <v>7</v>
          </cell>
          <cell r="H365" t="str">
            <v>E1614</v>
          </cell>
          <cell r="I365">
            <v>31</v>
          </cell>
        </row>
        <row r="366">
          <cell r="A366" t="str">
            <v>E1000</v>
          </cell>
          <cell r="B366" t="str">
            <v>07</v>
          </cell>
          <cell r="C366" t="str">
            <v xml:space="preserve">JEFE DE ENSEÑANZAS ARTÍSTICAS Y MUSICALES </v>
          </cell>
          <cell r="D366">
            <v>24</v>
          </cell>
          <cell r="G366">
            <v>7</v>
          </cell>
          <cell r="H366" t="str">
            <v>E1000</v>
          </cell>
          <cell r="I366">
            <v>31</v>
          </cell>
        </row>
        <row r="367">
          <cell r="A367" t="str">
            <v>E0180</v>
          </cell>
          <cell r="B367" t="str">
            <v>07</v>
          </cell>
          <cell r="C367" t="str">
            <v>MAESTRA DE JARDÍN DE NIÑOS</v>
          </cell>
          <cell r="D367">
            <v>25</v>
          </cell>
          <cell r="G367">
            <v>7</v>
          </cell>
          <cell r="H367" t="str">
            <v>E0180</v>
          </cell>
          <cell r="I367">
            <v>31</v>
          </cell>
        </row>
        <row r="368">
          <cell r="A368" t="str">
            <v>E1704</v>
          </cell>
          <cell r="B368" t="str">
            <v>07</v>
          </cell>
          <cell r="C368" t="str">
            <v xml:space="preserve">MAESTRO "C" DE TALLER </v>
          </cell>
          <cell r="D368">
            <v>24</v>
          </cell>
          <cell r="G368">
            <v>7</v>
          </cell>
          <cell r="H368" t="str">
            <v>E1704</v>
          </cell>
          <cell r="I368">
            <v>31</v>
          </cell>
        </row>
        <row r="369">
          <cell r="A369" t="str">
            <v>E0280</v>
          </cell>
          <cell r="B369" t="str">
            <v>07</v>
          </cell>
          <cell r="C369" t="str">
            <v xml:space="preserve">MAESTRO DE GRUPO DE PRIMARIA </v>
          </cell>
          <cell r="D369">
            <v>25</v>
          </cell>
          <cell r="G369">
            <v>7</v>
          </cell>
          <cell r="H369" t="str">
            <v>E0280</v>
          </cell>
          <cell r="I369">
            <v>31</v>
          </cell>
        </row>
        <row r="370">
          <cell r="A370" t="str">
            <v>E0286</v>
          </cell>
          <cell r="B370" t="str">
            <v>07</v>
          </cell>
          <cell r="C370" t="str">
            <v xml:space="preserve">MAESTRO DE GRUPO DE PRIMARIA  NOCTURNA </v>
          </cell>
          <cell r="D370">
            <v>10</v>
          </cell>
          <cell r="G370">
            <v>7</v>
          </cell>
          <cell r="H370" t="str">
            <v>E0286</v>
          </cell>
          <cell r="I370">
            <v>31</v>
          </cell>
        </row>
        <row r="371">
          <cell r="A371" t="str">
            <v>E2334</v>
          </cell>
          <cell r="B371" t="str">
            <v>07</v>
          </cell>
          <cell r="C371" t="str">
            <v xml:space="preserve">PREFECTO "C" </v>
          </cell>
          <cell r="D371">
            <v>36</v>
          </cell>
          <cell r="G371">
            <v>7</v>
          </cell>
          <cell r="H371" t="str">
            <v>E2334</v>
          </cell>
          <cell r="I371">
            <v>31</v>
          </cell>
        </row>
        <row r="372">
          <cell r="A372" t="str">
            <v>E1042</v>
          </cell>
          <cell r="B372" t="str">
            <v>07</v>
          </cell>
          <cell r="C372" t="str">
            <v xml:space="preserve">SUBDIRECTOR SECRETARIO DE ESCUELA DE ENSEÑANZAS ARTÍSTICAS </v>
          </cell>
          <cell r="D372">
            <v>24</v>
          </cell>
          <cell r="G372">
            <v>7</v>
          </cell>
          <cell r="H372" t="str">
            <v>E1042</v>
          </cell>
          <cell r="I372">
            <v>31</v>
          </cell>
        </row>
        <row r="373">
          <cell r="A373" t="str">
            <v>E1040</v>
          </cell>
          <cell r="B373" t="str">
            <v>07</v>
          </cell>
          <cell r="C373" t="str">
            <v xml:space="preserve">SUBDIRECTOR SECRETARIO DE SECUNDARIA DIURNA DE MÚSICA </v>
          </cell>
          <cell r="D373">
            <v>36</v>
          </cell>
          <cell r="G373">
            <v>7</v>
          </cell>
          <cell r="H373" t="str">
            <v>E1040</v>
          </cell>
          <cell r="I373">
            <v>31</v>
          </cell>
        </row>
        <row r="374">
          <cell r="A374" t="str">
            <v>AR01201</v>
          </cell>
          <cell r="B374" t="str">
            <v>M1</v>
          </cell>
          <cell r="C374" t="str">
            <v>CONCERTISTA 1/2 TIEMPO</v>
          </cell>
          <cell r="D374">
            <v>35</v>
          </cell>
          <cell r="E374">
            <v>19215.36</v>
          </cell>
          <cell r="F374">
            <v>1034.5999999999999</v>
          </cell>
          <cell r="G374" t="str">
            <v>B3</v>
          </cell>
          <cell r="H374" t="str">
            <v>T20823</v>
          </cell>
          <cell r="I374">
            <v>31</v>
          </cell>
        </row>
        <row r="375">
          <cell r="A375" t="str">
            <v>AR01110</v>
          </cell>
          <cell r="B375" t="str">
            <v>M3</v>
          </cell>
          <cell r="C375" t="str">
            <v>Repetidor Percusion</v>
          </cell>
          <cell r="D375">
            <v>35</v>
          </cell>
          <cell r="E375">
            <v>23116.36</v>
          </cell>
          <cell r="F375">
            <v>938.36</v>
          </cell>
          <cell r="G375" t="str">
            <v>B5</v>
          </cell>
          <cell r="H375" t="str">
            <v>T20821</v>
          </cell>
          <cell r="I375">
            <v>31</v>
          </cell>
        </row>
        <row r="376">
          <cell r="A376" t="str">
            <v>AR01111</v>
          </cell>
          <cell r="B376" t="str">
            <v>M3</v>
          </cell>
          <cell r="C376" t="str">
            <v>Repetidor Trombon</v>
          </cell>
          <cell r="D376">
            <v>35</v>
          </cell>
          <cell r="E376">
            <v>23116.36</v>
          </cell>
          <cell r="F376">
            <v>938.36</v>
          </cell>
          <cell r="G376" t="str">
            <v>B5</v>
          </cell>
          <cell r="H376" t="str">
            <v>T20821</v>
          </cell>
          <cell r="I376">
            <v>31</v>
          </cell>
        </row>
        <row r="377">
          <cell r="A377" t="str">
            <v>AR01112</v>
          </cell>
          <cell r="B377" t="str">
            <v>M3</v>
          </cell>
          <cell r="C377" t="str">
            <v>Repetidor Clarinete</v>
          </cell>
          <cell r="D377">
            <v>35</v>
          </cell>
          <cell r="E377">
            <v>23116.36</v>
          </cell>
          <cell r="F377">
            <v>938.36</v>
          </cell>
          <cell r="G377" t="str">
            <v>B5</v>
          </cell>
          <cell r="H377" t="str">
            <v>T20821</v>
          </cell>
          <cell r="I377">
            <v>31</v>
          </cell>
        </row>
        <row r="378">
          <cell r="A378" t="str">
            <v>AR01115</v>
          </cell>
          <cell r="B378" t="str">
            <v>M3</v>
          </cell>
          <cell r="C378" t="str">
            <v>Repetidor Trompeta</v>
          </cell>
          <cell r="D378">
            <v>35</v>
          </cell>
          <cell r="E378">
            <v>23116.36</v>
          </cell>
          <cell r="F378">
            <v>938.36</v>
          </cell>
          <cell r="G378" t="str">
            <v>B5</v>
          </cell>
          <cell r="H378" t="str">
            <v>T20821</v>
          </cell>
          <cell r="I378">
            <v>31</v>
          </cell>
        </row>
        <row r="379">
          <cell r="A379" t="str">
            <v>AR01116</v>
          </cell>
          <cell r="B379" t="str">
            <v>M3</v>
          </cell>
          <cell r="C379" t="str">
            <v>Repetidor Fagot</v>
          </cell>
          <cell r="D379">
            <v>35</v>
          </cell>
          <cell r="E379">
            <v>23116.36</v>
          </cell>
          <cell r="F379">
            <v>938.36</v>
          </cell>
          <cell r="G379" t="str">
            <v>B5</v>
          </cell>
          <cell r="H379" t="str">
            <v>T20821</v>
          </cell>
          <cell r="I379">
            <v>31</v>
          </cell>
        </row>
        <row r="380">
          <cell r="A380" t="str">
            <v>AR01117</v>
          </cell>
          <cell r="B380" t="str">
            <v>M3</v>
          </cell>
          <cell r="C380" t="str">
            <v>Repetidor Flauta</v>
          </cell>
          <cell r="D380">
            <v>35</v>
          </cell>
          <cell r="E380">
            <v>23116.36</v>
          </cell>
          <cell r="F380">
            <v>938.36</v>
          </cell>
          <cell r="G380" t="str">
            <v>B5</v>
          </cell>
          <cell r="H380" t="str">
            <v>T20821</v>
          </cell>
          <cell r="I380">
            <v>31</v>
          </cell>
        </row>
        <row r="381">
          <cell r="A381" t="str">
            <v>AR01118</v>
          </cell>
          <cell r="B381" t="str">
            <v>M3</v>
          </cell>
          <cell r="C381" t="str">
            <v>Repetidor Corno</v>
          </cell>
          <cell r="D381">
            <v>35</v>
          </cell>
          <cell r="E381">
            <v>23116.36</v>
          </cell>
          <cell r="F381">
            <v>938.36</v>
          </cell>
          <cell r="G381" t="str">
            <v>B5</v>
          </cell>
          <cell r="H381" t="str">
            <v>T20821</v>
          </cell>
          <cell r="I381">
            <v>31</v>
          </cell>
        </row>
        <row r="382">
          <cell r="A382" t="str">
            <v>AR01119</v>
          </cell>
          <cell r="B382" t="str">
            <v>M3</v>
          </cell>
          <cell r="C382" t="str">
            <v>Repetidor Oboe</v>
          </cell>
          <cell r="D382">
            <v>35</v>
          </cell>
          <cell r="E382">
            <v>23116.36</v>
          </cell>
          <cell r="F382">
            <v>938.36</v>
          </cell>
          <cell r="G382" t="str">
            <v>B5</v>
          </cell>
          <cell r="H382" t="str">
            <v>T20821</v>
          </cell>
          <cell r="I382">
            <v>31</v>
          </cell>
        </row>
        <row r="383">
          <cell r="A383" t="str">
            <v>AR02011</v>
          </cell>
          <cell r="B383" t="str">
            <v>M1</v>
          </cell>
          <cell r="C383" t="str">
            <v>CANTANTE BAJO</v>
          </cell>
          <cell r="D383">
            <v>35</v>
          </cell>
          <cell r="E383">
            <v>22221.8</v>
          </cell>
          <cell r="F383">
            <v>891.4</v>
          </cell>
          <cell r="G383" t="str">
            <v>M1</v>
          </cell>
          <cell r="H383" t="str">
            <v>T20801</v>
          </cell>
          <cell r="I383">
            <v>31</v>
          </cell>
        </row>
        <row r="384">
          <cell r="A384" t="str">
            <v>AR02012</v>
          </cell>
          <cell r="B384" t="str">
            <v>M1</v>
          </cell>
          <cell r="C384" t="str">
            <v>CANTANTE TENOR</v>
          </cell>
          <cell r="D384">
            <v>35</v>
          </cell>
          <cell r="E384">
            <v>22221.8</v>
          </cell>
          <cell r="F384">
            <v>891.4</v>
          </cell>
          <cell r="G384" t="str">
            <v>M1</v>
          </cell>
          <cell r="H384" t="str">
            <v>T20801</v>
          </cell>
          <cell r="I384">
            <v>31</v>
          </cell>
        </row>
        <row r="385">
          <cell r="A385" t="str">
            <v>AR02014</v>
          </cell>
          <cell r="B385" t="str">
            <v>M1</v>
          </cell>
          <cell r="C385" t="str">
            <v>CANTANTE SOPRANO</v>
          </cell>
          <cell r="D385">
            <v>35</v>
          </cell>
          <cell r="E385">
            <v>22221.8</v>
          </cell>
          <cell r="F385">
            <v>891.4</v>
          </cell>
          <cell r="G385" t="str">
            <v>M1</v>
          </cell>
          <cell r="H385" t="str">
            <v>T20801</v>
          </cell>
          <cell r="I385">
            <v>31</v>
          </cell>
        </row>
        <row r="386">
          <cell r="A386" t="str">
            <v>AR02016</v>
          </cell>
          <cell r="B386" t="str">
            <v>M1</v>
          </cell>
          <cell r="C386" t="str">
            <v>CANTANTE CONTRALTO</v>
          </cell>
          <cell r="D386">
            <v>35</v>
          </cell>
          <cell r="E386">
            <v>22221.8</v>
          </cell>
          <cell r="F386">
            <v>891.4</v>
          </cell>
          <cell r="G386" t="str">
            <v>M1</v>
          </cell>
          <cell r="H386" t="str">
            <v>T20801</v>
          </cell>
          <cell r="I386">
            <v>31</v>
          </cell>
        </row>
        <row r="387">
          <cell r="A387" t="str">
            <v>AR01121</v>
          </cell>
          <cell r="B387" t="str">
            <v>M2</v>
          </cell>
          <cell r="C387" t="str">
            <v>MUSICO DE FILA VIOLIN</v>
          </cell>
          <cell r="D387">
            <v>35</v>
          </cell>
          <cell r="E387">
            <v>22395.25</v>
          </cell>
          <cell r="F387">
            <v>893.1</v>
          </cell>
          <cell r="G387" t="str">
            <v>M2</v>
          </cell>
          <cell r="H387" t="str">
            <v>T20805</v>
          </cell>
          <cell r="I387">
            <v>31</v>
          </cell>
        </row>
        <row r="388">
          <cell r="A388" t="str">
            <v>AR01122</v>
          </cell>
          <cell r="B388" t="str">
            <v>M2</v>
          </cell>
          <cell r="C388" t="str">
            <v>MUSICO DE FILA VIOLA</v>
          </cell>
          <cell r="D388">
            <v>35</v>
          </cell>
          <cell r="E388">
            <v>22395.25</v>
          </cell>
          <cell r="F388">
            <v>893.1</v>
          </cell>
          <cell r="G388" t="str">
            <v>M2</v>
          </cell>
          <cell r="H388" t="str">
            <v>T20805</v>
          </cell>
          <cell r="I388">
            <v>31</v>
          </cell>
        </row>
        <row r="389">
          <cell r="A389" t="str">
            <v>AR01123</v>
          </cell>
          <cell r="B389" t="str">
            <v>M2</v>
          </cell>
          <cell r="C389" t="str">
            <v>MUSICO DE FILA VIOLONCELLO</v>
          </cell>
          <cell r="D389">
            <v>35</v>
          </cell>
          <cell r="E389">
            <v>22395.25</v>
          </cell>
          <cell r="F389">
            <v>893.1</v>
          </cell>
          <cell r="G389" t="str">
            <v>M2</v>
          </cell>
          <cell r="H389" t="str">
            <v>T20805</v>
          </cell>
          <cell r="I389">
            <v>31</v>
          </cell>
        </row>
        <row r="390">
          <cell r="A390" t="str">
            <v>AR01124</v>
          </cell>
          <cell r="B390" t="str">
            <v>M2</v>
          </cell>
          <cell r="C390" t="str">
            <v>MUSICO DE FILA CONTRABAJO</v>
          </cell>
          <cell r="D390">
            <v>35</v>
          </cell>
          <cell r="E390">
            <v>22395.25</v>
          </cell>
          <cell r="F390">
            <v>893.1</v>
          </cell>
          <cell r="G390" t="str">
            <v>M2</v>
          </cell>
          <cell r="H390" t="str">
            <v>T20805</v>
          </cell>
          <cell r="I390">
            <v>31</v>
          </cell>
        </row>
        <row r="391">
          <cell r="A391" t="str">
            <v>AR01129</v>
          </cell>
          <cell r="B391" t="str">
            <v>M2</v>
          </cell>
          <cell r="C391" t="str">
            <v>MUSICO DE FILA PIANO</v>
          </cell>
          <cell r="D391">
            <v>35</v>
          </cell>
          <cell r="E391">
            <v>22395.25</v>
          </cell>
          <cell r="F391">
            <v>893.1</v>
          </cell>
          <cell r="G391" t="str">
            <v>M2</v>
          </cell>
          <cell r="H391" t="str">
            <v>T20805</v>
          </cell>
          <cell r="I391">
            <v>31</v>
          </cell>
        </row>
        <row r="392">
          <cell r="A392" t="str">
            <v>T20805</v>
          </cell>
          <cell r="B392" t="str">
            <v>M2</v>
          </cell>
          <cell r="C392" t="str">
            <v>MUSICO SEGUNDO</v>
          </cell>
          <cell r="D392">
            <v>35</v>
          </cell>
          <cell r="E392">
            <v>22395.25</v>
          </cell>
          <cell r="F392">
            <v>893.1</v>
          </cell>
          <cell r="G392" t="str">
            <v>M2</v>
          </cell>
          <cell r="H392" t="str">
            <v>T20805</v>
          </cell>
          <cell r="I392">
            <v>31</v>
          </cell>
        </row>
        <row r="393">
          <cell r="C393" t="str">
            <v>NO SE OCUPAN</v>
          </cell>
          <cell r="G393" t="str">
            <v>M3</v>
          </cell>
          <cell r="H393" t="str">
            <v>T20803</v>
          </cell>
          <cell r="I393">
            <v>31</v>
          </cell>
        </row>
        <row r="394">
          <cell r="A394" t="str">
            <v>AR01051</v>
          </cell>
          <cell r="B394" t="str">
            <v>M4</v>
          </cell>
          <cell r="C394" t="str">
            <v>PRINCIPAL ADJUNTO VIOLIN</v>
          </cell>
          <cell r="D394">
            <v>35</v>
          </cell>
          <cell r="E394">
            <v>24175.200000000001</v>
          </cell>
          <cell r="F394">
            <v>908.6</v>
          </cell>
          <cell r="G394" t="str">
            <v>M4</v>
          </cell>
          <cell r="H394" t="str">
            <v>T20802</v>
          </cell>
          <cell r="I394">
            <v>31</v>
          </cell>
        </row>
        <row r="395">
          <cell r="A395" t="str">
            <v>AR01052</v>
          </cell>
          <cell r="B395" t="str">
            <v>M4</v>
          </cell>
          <cell r="C395" t="str">
            <v>PRINCIPAL ADJUNTO VIOLA</v>
          </cell>
          <cell r="D395">
            <v>35</v>
          </cell>
          <cell r="E395">
            <v>24175.200000000001</v>
          </cell>
          <cell r="F395">
            <v>908.6</v>
          </cell>
          <cell r="G395" t="str">
            <v>M4</v>
          </cell>
          <cell r="H395" t="str">
            <v>T20802</v>
          </cell>
          <cell r="I395">
            <v>31</v>
          </cell>
        </row>
        <row r="396">
          <cell r="A396" t="str">
            <v>AR01053</v>
          </cell>
          <cell r="B396" t="str">
            <v>M4</v>
          </cell>
          <cell r="C396" t="str">
            <v>PRINCIPAL ADJUNTO VIOLONCELLO</v>
          </cell>
          <cell r="D396">
            <v>35</v>
          </cell>
          <cell r="E396">
            <v>24175.200000000001</v>
          </cell>
          <cell r="F396">
            <v>908.6</v>
          </cell>
          <cell r="G396" t="str">
            <v>M4</v>
          </cell>
          <cell r="H396" t="str">
            <v>T20802</v>
          </cell>
          <cell r="I396">
            <v>31</v>
          </cell>
        </row>
        <row r="397">
          <cell r="A397" t="str">
            <v>AR01054</v>
          </cell>
          <cell r="B397" t="str">
            <v>M4</v>
          </cell>
          <cell r="C397" t="str">
            <v>PRINCIPAL ADJUNTO CONTRABAJO</v>
          </cell>
          <cell r="D397">
            <v>35</v>
          </cell>
          <cell r="E397">
            <v>24175.200000000001</v>
          </cell>
          <cell r="F397">
            <v>908.6</v>
          </cell>
          <cell r="G397" t="str">
            <v>M4</v>
          </cell>
          <cell r="H397" t="str">
            <v>T20802</v>
          </cell>
          <cell r="I397">
            <v>31</v>
          </cell>
        </row>
        <row r="398">
          <cell r="A398" t="str">
            <v>AR01060</v>
          </cell>
          <cell r="B398" t="str">
            <v>M4</v>
          </cell>
          <cell r="C398" t="str">
            <v>PRINCIPAL ADJUNTO PERCUSIONISTA</v>
          </cell>
          <cell r="D398">
            <v>35</v>
          </cell>
          <cell r="E398">
            <v>24175.200000000001</v>
          </cell>
          <cell r="F398">
            <v>908.6</v>
          </cell>
          <cell r="G398" t="str">
            <v>M4</v>
          </cell>
          <cell r="H398" t="str">
            <v>T20802</v>
          </cell>
          <cell r="I398">
            <v>31</v>
          </cell>
        </row>
        <row r="399">
          <cell r="A399" t="str">
            <v>AR01061</v>
          </cell>
          <cell r="B399" t="str">
            <v>M4</v>
          </cell>
          <cell r="C399" t="str">
            <v>PRINCIPAL ADJUNTO TROMBON</v>
          </cell>
          <cell r="D399">
            <v>35</v>
          </cell>
          <cell r="E399">
            <v>24175.200000000001</v>
          </cell>
          <cell r="F399">
            <v>908.6</v>
          </cell>
          <cell r="G399" t="str">
            <v>M4</v>
          </cell>
          <cell r="H399" t="str">
            <v>T20802</v>
          </cell>
          <cell r="I399">
            <v>31</v>
          </cell>
        </row>
        <row r="400">
          <cell r="A400" t="str">
            <v>AR01062</v>
          </cell>
          <cell r="B400" t="str">
            <v>M4</v>
          </cell>
          <cell r="C400" t="str">
            <v>PRINCIPAL ADJUNTO CLARINETE</v>
          </cell>
          <cell r="D400">
            <v>35</v>
          </cell>
          <cell r="E400">
            <v>24175.200000000001</v>
          </cell>
          <cell r="F400">
            <v>908.6</v>
          </cell>
          <cell r="G400" t="str">
            <v>M4</v>
          </cell>
          <cell r="H400" t="str">
            <v>T20802</v>
          </cell>
          <cell r="I400">
            <v>31</v>
          </cell>
        </row>
        <row r="401">
          <cell r="A401" t="str">
            <v>AR01065</v>
          </cell>
          <cell r="B401" t="str">
            <v>M4</v>
          </cell>
          <cell r="C401" t="str">
            <v>PRINCIPAL ADJUNTO TROMPETA</v>
          </cell>
          <cell r="D401">
            <v>35</v>
          </cell>
          <cell r="E401">
            <v>24175.200000000001</v>
          </cell>
          <cell r="F401">
            <v>908.6</v>
          </cell>
          <cell r="G401" t="str">
            <v>M4</v>
          </cell>
          <cell r="H401" t="str">
            <v>T20802</v>
          </cell>
          <cell r="I401">
            <v>31</v>
          </cell>
        </row>
        <row r="402">
          <cell r="A402" t="str">
            <v>AR01066</v>
          </cell>
          <cell r="B402" t="str">
            <v>M4</v>
          </cell>
          <cell r="C402" t="str">
            <v>PRINCIPAL ADJUNTO FAGOT</v>
          </cell>
          <cell r="D402">
            <v>35</v>
          </cell>
          <cell r="E402">
            <v>24175.200000000001</v>
          </cell>
          <cell r="F402">
            <v>908.6</v>
          </cell>
          <cell r="G402" t="str">
            <v>M4</v>
          </cell>
          <cell r="H402" t="str">
            <v>T20802</v>
          </cell>
          <cell r="I402">
            <v>31</v>
          </cell>
        </row>
        <row r="403">
          <cell r="A403" t="str">
            <v>AR01067</v>
          </cell>
          <cell r="B403" t="str">
            <v>M4</v>
          </cell>
          <cell r="C403" t="str">
            <v>PRINCIPAL ADJUNTO FLAUTA</v>
          </cell>
          <cell r="D403">
            <v>35</v>
          </cell>
          <cell r="E403">
            <v>24175.200000000001</v>
          </cell>
          <cell r="F403">
            <v>908.6</v>
          </cell>
          <cell r="G403" t="str">
            <v>M4</v>
          </cell>
          <cell r="H403" t="str">
            <v>T20802</v>
          </cell>
          <cell r="I403">
            <v>31</v>
          </cell>
        </row>
        <row r="404">
          <cell r="A404" t="str">
            <v>AR01068</v>
          </cell>
          <cell r="B404" t="str">
            <v>M4</v>
          </cell>
          <cell r="C404" t="str">
            <v>PRINCIPAL ADJUNTO DE CORNO</v>
          </cell>
          <cell r="D404">
            <v>35</v>
          </cell>
          <cell r="E404">
            <v>24175.200000000001</v>
          </cell>
          <cell r="F404">
            <v>908.6</v>
          </cell>
          <cell r="G404" t="str">
            <v>M4</v>
          </cell>
          <cell r="H404" t="str">
            <v>T20802</v>
          </cell>
          <cell r="I404">
            <v>31</v>
          </cell>
        </row>
        <row r="405">
          <cell r="A405" t="str">
            <v>AR01069</v>
          </cell>
          <cell r="B405" t="str">
            <v>M4</v>
          </cell>
          <cell r="C405" t="str">
            <v>PRINCIPAL ADJUNTO OBOE</v>
          </cell>
          <cell r="D405">
            <v>35</v>
          </cell>
          <cell r="E405">
            <v>24175.200000000001</v>
          </cell>
          <cell r="F405">
            <v>908.6</v>
          </cell>
          <cell r="G405" t="str">
            <v>M4</v>
          </cell>
          <cell r="H405" t="str">
            <v>T20802</v>
          </cell>
          <cell r="I405">
            <v>31</v>
          </cell>
        </row>
        <row r="406">
          <cell r="A406" t="str">
            <v>AR01031</v>
          </cell>
          <cell r="B406" t="str">
            <v>M5</v>
          </cell>
          <cell r="C406" t="str">
            <v>PRINCIPAL JEFE SECCION VIOLINES</v>
          </cell>
          <cell r="D406">
            <v>35</v>
          </cell>
          <cell r="E406">
            <v>25385.200000000001</v>
          </cell>
          <cell r="F406">
            <v>592.1</v>
          </cell>
          <cell r="G406" t="str">
            <v>M5</v>
          </cell>
          <cell r="H406" t="str">
            <v>T20804</v>
          </cell>
          <cell r="I406">
            <v>31</v>
          </cell>
        </row>
        <row r="407">
          <cell r="A407" t="str">
            <v>AR01032</v>
          </cell>
          <cell r="B407" t="str">
            <v>M5</v>
          </cell>
          <cell r="C407" t="str">
            <v>PRINCIPAL JEFE SECCION VIOLA</v>
          </cell>
          <cell r="D407">
            <v>35</v>
          </cell>
          <cell r="E407">
            <v>25385.200000000001</v>
          </cell>
          <cell r="F407">
            <v>592.1</v>
          </cell>
          <cell r="G407" t="str">
            <v>M5</v>
          </cell>
          <cell r="H407" t="str">
            <v>T20804</v>
          </cell>
          <cell r="I407">
            <v>31</v>
          </cell>
        </row>
        <row r="408">
          <cell r="A408" t="str">
            <v>AR01033</v>
          </cell>
          <cell r="B408" t="str">
            <v>M5</v>
          </cell>
          <cell r="C408" t="str">
            <v>PRINCIPAL JEFE DE SECCION VIOLONCELLO</v>
          </cell>
          <cell r="D408">
            <v>35</v>
          </cell>
          <cell r="E408">
            <v>25385.200000000001</v>
          </cell>
          <cell r="F408">
            <v>592.1</v>
          </cell>
          <cell r="G408" t="str">
            <v>M5</v>
          </cell>
          <cell r="H408" t="str">
            <v>T20804</v>
          </cell>
          <cell r="I408">
            <v>31</v>
          </cell>
        </row>
        <row r="409">
          <cell r="A409" t="str">
            <v>AR01034</v>
          </cell>
          <cell r="B409" t="str">
            <v>M5</v>
          </cell>
          <cell r="C409" t="str">
            <v>PRINCIPAL JEFE SECCION CONTRABAJO</v>
          </cell>
          <cell r="D409">
            <v>35</v>
          </cell>
          <cell r="E409">
            <v>25385.200000000001</v>
          </cell>
          <cell r="F409">
            <v>592.1</v>
          </cell>
          <cell r="G409" t="str">
            <v>M5</v>
          </cell>
          <cell r="H409" t="str">
            <v>T20804</v>
          </cell>
          <cell r="I409">
            <v>31</v>
          </cell>
        </row>
        <row r="410">
          <cell r="A410" t="str">
            <v>AR01037</v>
          </cell>
          <cell r="B410" t="str">
            <v>M5</v>
          </cell>
          <cell r="C410" t="str">
            <v>PRINCIPAL JEFE SECCION ARPA</v>
          </cell>
          <cell r="D410">
            <v>35</v>
          </cell>
          <cell r="E410">
            <v>25385.200000000001</v>
          </cell>
          <cell r="F410">
            <v>592.1</v>
          </cell>
          <cell r="G410" t="str">
            <v>M5</v>
          </cell>
          <cell r="H410" t="str">
            <v>T20804</v>
          </cell>
          <cell r="I410">
            <v>31</v>
          </cell>
        </row>
        <row r="411">
          <cell r="A411" t="str">
            <v>AR01039</v>
          </cell>
          <cell r="B411" t="str">
            <v>M5</v>
          </cell>
          <cell r="C411" t="str">
            <v>PRINCIPAL JEFE SECCION DE PIANO</v>
          </cell>
          <cell r="D411">
            <v>35</v>
          </cell>
          <cell r="E411">
            <v>25385.200000000001</v>
          </cell>
          <cell r="F411">
            <v>592.1</v>
          </cell>
          <cell r="G411" t="str">
            <v>M5</v>
          </cell>
          <cell r="H411" t="str">
            <v>T20804</v>
          </cell>
          <cell r="I411">
            <v>31</v>
          </cell>
        </row>
        <row r="412">
          <cell r="A412" t="str">
            <v>AR01040</v>
          </cell>
          <cell r="B412" t="str">
            <v>M5</v>
          </cell>
          <cell r="C412" t="str">
            <v>PRINCIPAL JEFE DE SECCION PERCUSIONES</v>
          </cell>
          <cell r="D412">
            <v>35</v>
          </cell>
          <cell r="E412">
            <v>25385.200000000001</v>
          </cell>
          <cell r="F412">
            <v>592.1</v>
          </cell>
          <cell r="G412" t="str">
            <v>M5</v>
          </cell>
          <cell r="H412" t="str">
            <v>T20804</v>
          </cell>
          <cell r="I412">
            <v>31</v>
          </cell>
        </row>
        <row r="413">
          <cell r="A413" t="str">
            <v>AR01041</v>
          </cell>
          <cell r="B413" t="str">
            <v>M5</v>
          </cell>
          <cell r="C413" t="str">
            <v>PRINCIPAL JEFE DE SECCION TROMBON</v>
          </cell>
          <cell r="D413">
            <v>35</v>
          </cell>
          <cell r="E413">
            <v>25385.200000000001</v>
          </cell>
          <cell r="F413">
            <v>592.1</v>
          </cell>
          <cell r="G413" t="str">
            <v>M5</v>
          </cell>
          <cell r="H413" t="str">
            <v>T20804</v>
          </cell>
          <cell r="I413">
            <v>31</v>
          </cell>
        </row>
        <row r="414">
          <cell r="A414" t="str">
            <v>AR01042</v>
          </cell>
          <cell r="B414" t="str">
            <v>M5</v>
          </cell>
          <cell r="C414" t="str">
            <v>PRINCIPAL JEFE DE SECCION CLARINETE</v>
          </cell>
          <cell r="D414">
            <v>35</v>
          </cell>
          <cell r="E414">
            <v>25385.200000000001</v>
          </cell>
          <cell r="F414">
            <v>592.1</v>
          </cell>
          <cell r="G414" t="str">
            <v>M5</v>
          </cell>
          <cell r="H414" t="str">
            <v>T20804</v>
          </cell>
          <cell r="I414">
            <v>31</v>
          </cell>
        </row>
        <row r="415">
          <cell r="A415" t="str">
            <v>AR01043</v>
          </cell>
          <cell r="B415" t="str">
            <v>M5</v>
          </cell>
          <cell r="C415" t="str">
            <v>PRINCIPAL JEFE DE SECCION TUBA</v>
          </cell>
          <cell r="D415">
            <v>35</v>
          </cell>
          <cell r="E415">
            <v>25385.200000000001</v>
          </cell>
          <cell r="F415">
            <v>592.1</v>
          </cell>
          <cell r="G415" t="str">
            <v>M5</v>
          </cell>
          <cell r="H415" t="str">
            <v>T20804</v>
          </cell>
          <cell r="I415">
            <v>31</v>
          </cell>
        </row>
        <row r="416">
          <cell r="A416" t="str">
            <v>AR01045</v>
          </cell>
          <cell r="B416" t="str">
            <v>M5</v>
          </cell>
          <cell r="C416" t="str">
            <v>PRINCIPAL JEFE DE SECCION TROMPETA</v>
          </cell>
          <cell r="D416">
            <v>35</v>
          </cell>
          <cell r="E416">
            <v>25385.200000000001</v>
          </cell>
          <cell r="F416">
            <v>592.1</v>
          </cell>
          <cell r="G416" t="str">
            <v>M5</v>
          </cell>
          <cell r="H416" t="str">
            <v>T20804</v>
          </cell>
          <cell r="I416">
            <v>31</v>
          </cell>
        </row>
        <row r="417">
          <cell r="A417" t="str">
            <v>AR01046</v>
          </cell>
          <cell r="B417" t="str">
            <v>M5</v>
          </cell>
          <cell r="C417" t="str">
            <v>PRINCIPAL JEFE DE SECCION FAGOT</v>
          </cell>
          <cell r="D417">
            <v>35</v>
          </cell>
          <cell r="E417">
            <v>25385.200000000001</v>
          </cell>
          <cell r="F417">
            <v>592.1</v>
          </cell>
          <cell r="G417" t="str">
            <v>M5</v>
          </cell>
          <cell r="H417" t="str">
            <v>T20804</v>
          </cell>
          <cell r="I417">
            <v>31</v>
          </cell>
        </row>
        <row r="418">
          <cell r="A418" t="str">
            <v>AR01047</v>
          </cell>
          <cell r="B418" t="str">
            <v>M5</v>
          </cell>
          <cell r="C418" t="str">
            <v>PRINCIPAL JEFE DE SECCION FLAUTA</v>
          </cell>
          <cell r="D418">
            <v>35</v>
          </cell>
          <cell r="E418">
            <v>25385.200000000001</v>
          </cell>
          <cell r="F418">
            <v>592.1</v>
          </cell>
          <cell r="G418" t="str">
            <v>M5</v>
          </cell>
          <cell r="H418" t="str">
            <v>T20804</v>
          </cell>
          <cell r="I418">
            <v>31</v>
          </cell>
        </row>
        <row r="419">
          <cell r="A419" t="str">
            <v>AR01048</v>
          </cell>
          <cell r="B419" t="str">
            <v>M5</v>
          </cell>
          <cell r="C419" t="str">
            <v>PRINCIPAL JEFE DE SECCION CORNO</v>
          </cell>
          <cell r="D419">
            <v>35</v>
          </cell>
          <cell r="E419">
            <v>25385.200000000001</v>
          </cell>
          <cell r="F419">
            <v>592.1</v>
          </cell>
          <cell r="G419" t="str">
            <v>M5</v>
          </cell>
          <cell r="H419" t="str">
            <v>T20804</v>
          </cell>
          <cell r="I419">
            <v>31</v>
          </cell>
        </row>
        <row r="420">
          <cell r="A420" t="str">
            <v>AR01049</v>
          </cell>
          <cell r="B420" t="str">
            <v>M5</v>
          </cell>
          <cell r="C420" t="str">
            <v>PRINCIPAL JEFE DE SECCION OBOE</v>
          </cell>
          <cell r="D420">
            <v>35</v>
          </cell>
          <cell r="E420">
            <v>25385.200000000001</v>
          </cell>
          <cell r="F420">
            <v>592.1</v>
          </cell>
          <cell r="G420" t="str">
            <v>M5</v>
          </cell>
          <cell r="H420" t="str">
            <v>T20804</v>
          </cell>
          <cell r="I420">
            <v>31</v>
          </cell>
        </row>
        <row r="421">
          <cell r="A421" t="str">
            <v>AR01202</v>
          </cell>
          <cell r="B421" t="str">
            <v>M5</v>
          </cell>
          <cell r="C421" t="str">
            <v>CONCERTISTA TIEMPO COMPLETO</v>
          </cell>
          <cell r="D421">
            <v>35</v>
          </cell>
          <cell r="E421">
            <v>25385.200000000001</v>
          </cell>
          <cell r="F421">
            <v>592.1</v>
          </cell>
          <cell r="G421" t="str">
            <v>M5</v>
          </cell>
          <cell r="H421" t="str">
            <v>T20804</v>
          </cell>
          <cell r="I421">
            <v>31</v>
          </cell>
        </row>
        <row r="422">
          <cell r="A422" t="str">
            <v>AR01006</v>
          </cell>
          <cell r="B422" t="str">
            <v>M6</v>
          </cell>
          <cell r="C422" t="str">
            <v>SEGUNDO CONCERTINO</v>
          </cell>
          <cell r="D422">
            <v>35</v>
          </cell>
          <cell r="E422">
            <v>26228.35</v>
          </cell>
          <cell r="F422">
            <v>605.25</v>
          </cell>
          <cell r="G422" t="str">
            <v>M6</v>
          </cell>
          <cell r="H422" t="str">
            <v>T20807</v>
          </cell>
          <cell r="I422">
            <v>31</v>
          </cell>
        </row>
        <row r="423">
          <cell r="A423" t="str">
            <v>AR01005</v>
          </cell>
          <cell r="B423" t="str">
            <v>M7</v>
          </cell>
          <cell r="C423" t="str">
            <v>PRIMER CONCERTINO</v>
          </cell>
          <cell r="D423">
            <v>35</v>
          </cell>
          <cell r="E423">
            <v>27546.2</v>
          </cell>
          <cell r="F423">
            <v>623.20000000000005</v>
          </cell>
          <cell r="G423" t="str">
            <v>M7</v>
          </cell>
          <cell r="H423" t="str">
            <v>T20806</v>
          </cell>
          <cell r="I423">
            <v>31</v>
          </cell>
        </row>
        <row r="424">
          <cell r="A424" t="str">
            <v>T20806</v>
          </cell>
          <cell r="B424" t="str">
            <v>M7</v>
          </cell>
          <cell r="C424" t="str">
            <v>PRIMER CONCERTINO</v>
          </cell>
          <cell r="D424">
            <v>35</v>
          </cell>
          <cell r="E424">
            <v>27546.2</v>
          </cell>
          <cell r="F424">
            <v>623.20000000000005</v>
          </cell>
          <cell r="G424" t="str">
            <v>M7</v>
          </cell>
          <cell r="H424" t="str">
            <v>T20806</v>
          </cell>
          <cell r="I424">
            <v>31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C295-EF0B-4216-BE01-60E48FEBA8DE}">
  <dimension ref="A1:O961"/>
  <sheetViews>
    <sheetView tabSelected="1" zoomScale="95" zoomScaleNormal="95" workbookViewId="0">
      <selection activeCell="E16" sqref="E16"/>
    </sheetView>
  </sheetViews>
  <sheetFormatPr baseColWidth="10" defaultRowHeight="15" x14ac:dyDescent="0.25"/>
  <cols>
    <col min="2" max="2" width="8.42578125" customWidth="1"/>
    <col min="3" max="3" width="20.5703125" customWidth="1"/>
    <col min="4" max="4" width="8.7109375" customWidth="1"/>
    <col min="5" max="5" width="32.5703125" customWidth="1"/>
  </cols>
  <sheetData>
    <row r="1" spans="1:15" ht="36" x14ac:dyDescent="0.25">
      <c r="A1" s="1"/>
      <c r="B1" s="13" t="s">
        <v>0</v>
      </c>
      <c r="C1" s="13" t="s">
        <v>1</v>
      </c>
      <c r="D1" s="13" t="s">
        <v>2</v>
      </c>
      <c r="E1" s="13" t="s">
        <v>3</v>
      </c>
      <c r="F1" s="14" t="s">
        <v>4</v>
      </c>
      <c r="G1" s="14" t="s">
        <v>5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5" x14ac:dyDescent="0.25">
      <c r="A2" s="4">
        <v>2023</v>
      </c>
      <c r="B2" s="11" t="s">
        <v>10</v>
      </c>
      <c r="C2" s="11" t="s">
        <v>11</v>
      </c>
      <c r="D2" s="11" t="s">
        <v>12</v>
      </c>
      <c r="E2" s="12" t="s">
        <v>13</v>
      </c>
      <c r="F2" s="5"/>
      <c r="G2" s="5"/>
      <c r="H2" s="5"/>
      <c r="I2" s="5"/>
      <c r="J2" s="5"/>
      <c r="K2" s="6">
        <f>SUM(F2:J2)</f>
        <v>0</v>
      </c>
      <c r="M2" t="str">
        <f>VLOOKUP(B2,'[2]TABULADOR ok'!$A$2:$I$424,7,FALSE)</f>
        <v>T1</v>
      </c>
      <c r="N2" t="str">
        <f>VLOOKUP(B2,'[2]TABULADOR ok'!$A$2:$I$424,8,FALSE)</f>
        <v>S01893</v>
      </c>
      <c r="O2">
        <f>VLOOKUP(B2,'[2]TABULADOR ok'!$A$2:$I$424,9,FALSE)</f>
        <v>95</v>
      </c>
    </row>
    <row r="3" spans="1:15" x14ac:dyDescent="0.25">
      <c r="A3" s="4">
        <v>2023</v>
      </c>
      <c r="B3" s="11" t="s">
        <v>14</v>
      </c>
      <c r="C3" s="11" t="s">
        <v>15</v>
      </c>
      <c r="D3" s="11" t="s">
        <v>16</v>
      </c>
      <c r="E3" s="12" t="s">
        <v>17</v>
      </c>
      <c r="F3" s="5"/>
      <c r="G3" s="5"/>
      <c r="H3" s="5"/>
      <c r="I3" s="5"/>
      <c r="J3" s="5"/>
      <c r="K3" s="6">
        <f t="shared" ref="K3:K65" si="0">SUM(F3:J3)</f>
        <v>0</v>
      </c>
      <c r="M3" t="str">
        <f>VLOOKUP(B3,'[2]TABULADOR ok'!$A$2:$I$424,7,FALSE)</f>
        <v>T2</v>
      </c>
      <c r="N3" t="str">
        <f>VLOOKUP(B3,'[2]TABULADOR ok'!$A$2:$I$424,8,FALSE)</f>
        <v>S01891</v>
      </c>
      <c r="O3">
        <f>VLOOKUP(B3,'[2]TABULADOR ok'!$A$2:$I$424,9,FALSE)</f>
        <v>95</v>
      </c>
    </row>
    <row r="4" spans="1:15" x14ac:dyDescent="0.25">
      <c r="A4" s="4">
        <v>2023</v>
      </c>
      <c r="B4" s="11" t="s">
        <v>18</v>
      </c>
      <c r="C4" s="11" t="s">
        <v>19</v>
      </c>
      <c r="D4" s="11" t="s">
        <v>16</v>
      </c>
      <c r="E4" s="12" t="s">
        <v>20</v>
      </c>
      <c r="F4" s="5"/>
      <c r="G4" s="5"/>
      <c r="H4" s="5"/>
      <c r="I4" s="5"/>
      <c r="J4" s="5"/>
      <c r="K4" s="6">
        <f t="shared" si="0"/>
        <v>0</v>
      </c>
      <c r="M4" t="str">
        <f>VLOOKUP(B4,'[2]TABULADOR ok'!$A$2:$I$424,7,FALSE)</f>
        <v>T2</v>
      </c>
      <c r="N4" t="str">
        <f>VLOOKUP(B4,'[2]TABULADOR ok'!$A$2:$I$424,8,FALSE)</f>
        <v>S03833</v>
      </c>
      <c r="O4">
        <f>VLOOKUP(B4,'[2]TABULADOR ok'!$A$2:$I$424,9,FALSE)</f>
        <v>95</v>
      </c>
    </row>
    <row r="5" spans="1:15" x14ac:dyDescent="0.25">
      <c r="A5" s="4">
        <v>2023</v>
      </c>
      <c r="B5" s="11" t="s">
        <v>21</v>
      </c>
      <c r="C5" s="11" t="s">
        <v>22</v>
      </c>
      <c r="D5" s="11" t="s">
        <v>16</v>
      </c>
      <c r="E5" s="12" t="s">
        <v>23</v>
      </c>
      <c r="F5" s="5"/>
      <c r="G5" s="5"/>
      <c r="H5" s="5"/>
      <c r="I5" s="5"/>
      <c r="J5" s="5"/>
      <c r="K5" s="6">
        <f t="shared" si="0"/>
        <v>0</v>
      </c>
      <c r="M5" t="str">
        <f>VLOOKUP(B5,'[2]TABULADOR ok'!$A$2:$I$424,7,FALSE)</f>
        <v>T2</v>
      </c>
      <c r="N5" t="str">
        <f>VLOOKUP(B5,'[2]TABULADOR ok'!$A$2:$I$424,8,FALSE)</f>
        <v>S12091</v>
      </c>
      <c r="O5">
        <f>VLOOKUP(B5,'[2]TABULADOR ok'!$A$2:$I$424,9,FALSE)</f>
        <v>95</v>
      </c>
    </row>
    <row r="6" spans="1:15" x14ac:dyDescent="0.25">
      <c r="A6" s="4">
        <v>2023</v>
      </c>
      <c r="B6" s="11" t="s">
        <v>24</v>
      </c>
      <c r="C6" s="11" t="s">
        <v>24</v>
      </c>
      <c r="D6" s="11" t="s">
        <v>25</v>
      </c>
      <c r="E6" s="12" t="s">
        <v>26</v>
      </c>
      <c r="F6" s="5"/>
      <c r="G6" s="5"/>
      <c r="H6" s="5"/>
      <c r="I6" s="5"/>
      <c r="J6" s="5"/>
      <c r="K6" s="6">
        <f t="shared" si="0"/>
        <v>0</v>
      </c>
      <c r="M6" t="str">
        <f>VLOOKUP(B6,'[2]TABULADOR ok'!$A$2:$I$424,7,FALSE)</f>
        <v>T3</v>
      </c>
      <c r="N6" t="str">
        <f>VLOOKUP(B6,'[2]TABULADOR ok'!$A$2:$I$424,8,FALSE)</f>
        <v>A01023</v>
      </c>
      <c r="O6">
        <f>VLOOKUP(B6,'[2]TABULADOR ok'!$A$2:$I$424,9,FALSE)</f>
        <v>95</v>
      </c>
    </row>
    <row r="7" spans="1:15" x14ac:dyDescent="0.25">
      <c r="A7" s="4">
        <v>2023</v>
      </c>
      <c r="B7" s="11" t="s">
        <v>27</v>
      </c>
      <c r="C7" s="11" t="s">
        <v>28</v>
      </c>
      <c r="D7" s="11" t="s">
        <v>25</v>
      </c>
      <c r="E7" s="12" t="s">
        <v>29</v>
      </c>
      <c r="F7" s="5"/>
      <c r="G7" s="5"/>
      <c r="H7" s="5"/>
      <c r="I7" s="5"/>
      <c r="J7" s="5"/>
      <c r="K7" s="6">
        <f t="shared" si="0"/>
        <v>0</v>
      </c>
      <c r="M7" t="str">
        <f>VLOOKUP(B7,'[2]TABULADOR ok'!$A$2:$I$424,7,FALSE)</f>
        <v>T3</v>
      </c>
      <c r="N7" t="str">
        <f>VLOOKUP(B7,'[2]TABULADOR ok'!$A$2:$I$424,8,FALSE)</f>
        <v>A01040</v>
      </c>
      <c r="O7">
        <f>VLOOKUP(B7,'[2]TABULADOR ok'!$A$2:$I$424,9,FALSE)</f>
        <v>95</v>
      </c>
    </row>
    <row r="8" spans="1:15" x14ac:dyDescent="0.25">
      <c r="A8" s="4">
        <v>2023</v>
      </c>
      <c r="B8" s="11" t="s">
        <v>30</v>
      </c>
      <c r="C8" s="11" t="s">
        <v>31</v>
      </c>
      <c r="D8" s="11" t="s">
        <v>25</v>
      </c>
      <c r="E8" s="12" t="s">
        <v>32</v>
      </c>
      <c r="F8" s="5"/>
      <c r="G8" s="5"/>
      <c r="H8" s="5"/>
      <c r="I8" s="5"/>
      <c r="J8" s="5"/>
      <c r="K8" s="6">
        <f t="shared" si="0"/>
        <v>0</v>
      </c>
      <c r="M8" t="str">
        <f>VLOOKUP(B8,'[2]TABULADOR ok'!$A$2:$I$424,7,FALSE)</f>
        <v>T3</v>
      </c>
      <c r="N8" t="str">
        <f>VLOOKUP(B8,'[2]TABULADOR ok'!$A$2:$I$424,8,FALSE)</f>
        <v>A02813</v>
      </c>
      <c r="O8">
        <f>VLOOKUP(B8,'[2]TABULADOR ok'!$A$2:$I$424,9,FALSE)</f>
        <v>95</v>
      </c>
    </row>
    <row r="9" spans="1:15" x14ac:dyDescent="0.25">
      <c r="A9" s="4">
        <v>2023</v>
      </c>
      <c r="B9" s="11" t="s">
        <v>33</v>
      </c>
      <c r="C9" s="11" t="s">
        <v>34</v>
      </c>
      <c r="D9" s="11" t="s">
        <v>25</v>
      </c>
      <c r="E9" s="12" t="s">
        <v>35</v>
      </c>
      <c r="F9" s="5"/>
      <c r="G9" s="5"/>
      <c r="H9" s="5"/>
      <c r="I9" s="5"/>
      <c r="J9" s="5"/>
      <c r="K9" s="6">
        <f t="shared" si="0"/>
        <v>0</v>
      </c>
      <c r="M9" t="str">
        <f>VLOOKUP(B9,'[2]TABULADOR ok'!$A$2:$I$424,7,FALSE)</f>
        <v>T3</v>
      </c>
      <c r="N9" t="str">
        <f>VLOOKUP(B9,'[2]TABULADOR ok'!$A$2:$I$424,8,FALSE)</f>
        <v>A03832</v>
      </c>
      <c r="O9">
        <f>VLOOKUP(B9,'[2]TABULADOR ok'!$A$2:$I$424,9,FALSE)</f>
        <v>95</v>
      </c>
    </row>
    <row r="10" spans="1:15" x14ac:dyDescent="0.25">
      <c r="A10" s="4">
        <v>2023</v>
      </c>
      <c r="B10" s="11" t="s">
        <v>36</v>
      </c>
      <c r="C10" s="11" t="s">
        <v>37</v>
      </c>
      <c r="D10" s="11" t="s">
        <v>25</v>
      </c>
      <c r="E10" s="12" t="s">
        <v>38</v>
      </c>
      <c r="F10" s="5"/>
      <c r="G10" s="5"/>
      <c r="H10" s="5"/>
      <c r="I10" s="5"/>
      <c r="J10" s="5"/>
      <c r="K10" s="6">
        <f t="shared" si="0"/>
        <v>0</v>
      </c>
      <c r="M10" t="str">
        <f>VLOOKUP(B10,'[2]TABULADOR ok'!$A$2:$I$424,7,FALSE)</f>
        <v>T3</v>
      </c>
      <c r="N10" t="str">
        <f>VLOOKUP(B10,'[2]TABULADOR ok'!$A$2:$I$424,8,FALSE)</f>
        <v>A05012</v>
      </c>
      <c r="O10">
        <f>VLOOKUP(B10,'[2]TABULADOR ok'!$A$2:$I$424,9,FALSE)</f>
        <v>95</v>
      </c>
    </row>
    <row r="11" spans="1:15" x14ac:dyDescent="0.25">
      <c r="A11" s="4">
        <v>2023</v>
      </c>
      <c r="B11" s="11" t="s">
        <v>39</v>
      </c>
      <c r="C11" s="11" t="s">
        <v>40</v>
      </c>
      <c r="D11" s="11" t="s">
        <v>25</v>
      </c>
      <c r="E11" s="12" t="s">
        <v>41</v>
      </c>
      <c r="F11" s="5"/>
      <c r="G11" s="5"/>
      <c r="H11" s="5"/>
      <c r="I11" s="5"/>
      <c r="J11" s="5"/>
      <c r="K11" s="6">
        <f t="shared" si="0"/>
        <v>0</v>
      </c>
      <c r="M11" t="str">
        <f>VLOOKUP(B11,'[2]TABULADOR ok'!$A$2:$I$424,7,FALSE)</f>
        <v>T3</v>
      </c>
      <c r="N11" t="str">
        <f>VLOOKUP(B11,'[2]TABULADOR ok'!$A$2:$I$424,8,FALSE)</f>
        <v>S01890</v>
      </c>
      <c r="O11">
        <f>VLOOKUP(B11,'[2]TABULADOR ok'!$A$2:$I$424,9,FALSE)</f>
        <v>95</v>
      </c>
    </row>
    <row r="12" spans="1:15" x14ac:dyDescent="0.25">
      <c r="A12" s="4">
        <v>2023</v>
      </c>
      <c r="B12" s="11" t="s">
        <v>42</v>
      </c>
      <c r="C12" s="11" t="s">
        <v>43</v>
      </c>
      <c r="D12" s="11" t="s">
        <v>25</v>
      </c>
      <c r="E12" s="12" t="s">
        <v>44</v>
      </c>
      <c r="F12" s="5"/>
      <c r="G12" s="5"/>
      <c r="H12" s="5"/>
      <c r="I12" s="5"/>
      <c r="J12" s="5"/>
      <c r="K12" s="6">
        <f t="shared" si="0"/>
        <v>0</v>
      </c>
      <c r="M12" t="str">
        <f>VLOOKUP(B12,'[2]TABULADOR ok'!$A$2:$I$424,7,FALSE)</f>
        <v>T3</v>
      </c>
      <c r="N12" t="str">
        <f>VLOOKUP(B12,'[2]TABULADOR ok'!$A$2:$I$424,8,FALSE)</f>
        <v>S01894</v>
      </c>
      <c r="O12">
        <f>VLOOKUP(B12,'[2]TABULADOR ok'!$A$2:$I$424,9,FALSE)</f>
        <v>95</v>
      </c>
    </row>
    <row r="13" spans="1:15" x14ac:dyDescent="0.25">
      <c r="A13" s="4">
        <v>2023</v>
      </c>
      <c r="B13" s="11" t="s">
        <v>45</v>
      </c>
      <c r="C13" s="11" t="s">
        <v>46</v>
      </c>
      <c r="D13" s="11" t="s">
        <v>47</v>
      </c>
      <c r="E13" s="12" t="s">
        <v>48</v>
      </c>
      <c r="F13" s="5"/>
      <c r="G13" s="5"/>
      <c r="H13" s="5"/>
      <c r="I13" s="5"/>
      <c r="J13" s="5"/>
      <c r="K13" s="6">
        <f t="shared" si="0"/>
        <v>0</v>
      </c>
      <c r="M13" t="str">
        <f>VLOOKUP(B13,'[2]TABULADOR ok'!$A$2:$I$424,7,FALSE)</f>
        <v>T4</v>
      </c>
      <c r="N13" t="str">
        <f>VLOOKUP(B13,'[2]TABULADOR ok'!$A$2:$I$424,8,FALSE)</f>
        <v>A03841</v>
      </c>
      <c r="O13">
        <f>VLOOKUP(B13,'[2]TABULADOR ok'!$A$2:$I$424,9,FALSE)</f>
        <v>95</v>
      </c>
    </row>
    <row r="14" spans="1:15" x14ac:dyDescent="0.25">
      <c r="A14" s="4">
        <v>2023</v>
      </c>
      <c r="B14" s="11" t="s">
        <v>49</v>
      </c>
      <c r="C14" s="11" t="s">
        <v>50</v>
      </c>
      <c r="D14" s="11" t="s">
        <v>47</v>
      </c>
      <c r="E14" s="12" t="s">
        <v>51</v>
      </c>
      <c r="F14" s="5"/>
      <c r="G14" s="5"/>
      <c r="H14" s="5"/>
      <c r="I14" s="5"/>
      <c r="J14" s="5"/>
      <c r="K14" s="6">
        <f t="shared" si="0"/>
        <v>0</v>
      </c>
      <c r="M14" t="str">
        <f>VLOOKUP(B14,'[2]TABULADOR ok'!$A$2:$I$424,7,FALSE)</f>
        <v>T4</v>
      </c>
      <c r="N14" t="str">
        <f>VLOOKUP(B14,'[2]TABULADOR ok'!$A$2:$I$424,8,FALSE)</f>
        <v>C02810</v>
      </c>
      <c r="O14">
        <f>VLOOKUP(B14,'[2]TABULADOR ok'!$A$2:$I$424,9,FALSE)</f>
        <v>95</v>
      </c>
    </row>
    <row r="15" spans="1:15" x14ac:dyDescent="0.25">
      <c r="A15" s="4">
        <v>2023</v>
      </c>
      <c r="B15" s="11" t="s">
        <v>52</v>
      </c>
      <c r="C15" s="11" t="s">
        <v>53</v>
      </c>
      <c r="D15" s="11" t="s">
        <v>47</v>
      </c>
      <c r="E15" s="12" t="s">
        <v>54</v>
      </c>
      <c r="F15" s="5"/>
      <c r="G15" s="5"/>
      <c r="H15" s="5"/>
      <c r="I15" s="5"/>
      <c r="J15" s="5"/>
      <c r="K15" s="6">
        <f t="shared" si="0"/>
        <v>0</v>
      </c>
      <c r="M15" t="str">
        <f>VLOOKUP(B15,'[2]TABULADOR ok'!$A$2:$I$424,7,FALSE)</f>
        <v>T4</v>
      </c>
      <c r="N15" t="str">
        <f>VLOOKUP(B15,'[2]TABULADOR ok'!$A$2:$I$424,8,FALSE)</f>
        <v>S01889</v>
      </c>
      <c r="O15">
        <f>VLOOKUP(B15,'[2]TABULADOR ok'!$A$2:$I$424,9,FALSE)</f>
        <v>95</v>
      </c>
    </row>
    <row r="16" spans="1:15" x14ac:dyDescent="0.25">
      <c r="A16" s="4">
        <v>2023</v>
      </c>
      <c r="B16" s="11" t="s">
        <v>55</v>
      </c>
      <c r="C16" s="11" t="s">
        <v>56</v>
      </c>
      <c r="D16" s="11" t="s">
        <v>47</v>
      </c>
      <c r="E16" s="12" t="s">
        <v>57</v>
      </c>
      <c r="F16" s="5"/>
      <c r="G16" s="5"/>
      <c r="H16" s="5"/>
      <c r="I16" s="5"/>
      <c r="J16" s="5"/>
      <c r="K16" s="6">
        <f t="shared" si="0"/>
        <v>0</v>
      </c>
      <c r="M16" t="str">
        <f>VLOOKUP(B16,'[2]TABULADOR ok'!$A$2:$I$424,7,FALSE)</f>
        <v>T4</v>
      </c>
      <c r="N16" t="str">
        <f>VLOOKUP(B16,'[2]TABULADOR ok'!$A$2:$I$424,8,FALSE)</f>
        <v>S01895</v>
      </c>
      <c r="O16">
        <f>VLOOKUP(B16,'[2]TABULADOR ok'!$A$2:$I$424,9,FALSE)</f>
        <v>95</v>
      </c>
    </row>
    <row r="17" spans="1:15" x14ac:dyDescent="0.25">
      <c r="A17" s="4">
        <v>2023</v>
      </c>
      <c r="B17" s="11" t="s">
        <v>58</v>
      </c>
      <c r="C17" s="11" t="s">
        <v>59</v>
      </c>
      <c r="D17" s="11" t="s">
        <v>47</v>
      </c>
      <c r="E17" s="12" t="s">
        <v>60</v>
      </c>
      <c r="F17" s="5"/>
      <c r="G17" s="5"/>
      <c r="H17" s="5"/>
      <c r="I17" s="5"/>
      <c r="J17" s="5"/>
      <c r="K17" s="6">
        <f t="shared" si="0"/>
        <v>0</v>
      </c>
      <c r="M17" t="str">
        <f>VLOOKUP(B17,'[2]TABULADOR ok'!$A$2:$I$424,7,FALSE)</f>
        <v>T4</v>
      </c>
      <c r="N17" t="str">
        <f>VLOOKUP(B17,'[2]TABULADOR ok'!$A$2:$I$424,8,FALSE)</f>
        <v>S03834</v>
      </c>
      <c r="O17">
        <f>VLOOKUP(B17,'[2]TABULADOR ok'!$A$2:$I$424,9,FALSE)</f>
        <v>95</v>
      </c>
    </row>
    <row r="18" spans="1:15" x14ac:dyDescent="0.25">
      <c r="A18" s="4">
        <v>2023</v>
      </c>
      <c r="B18" s="11" t="s">
        <v>61</v>
      </c>
      <c r="C18" s="11" t="s">
        <v>62</v>
      </c>
      <c r="D18" s="11" t="s">
        <v>47</v>
      </c>
      <c r="E18" s="12" t="s">
        <v>63</v>
      </c>
      <c r="F18" s="5"/>
      <c r="G18" s="5"/>
      <c r="H18" s="5"/>
      <c r="I18" s="5"/>
      <c r="J18" s="5"/>
      <c r="K18" s="6">
        <f t="shared" si="0"/>
        <v>0</v>
      </c>
      <c r="M18" t="str">
        <f>VLOOKUP(B18,'[2]TABULADOR ok'!$A$2:$I$424,7,FALSE)</f>
        <v>T4</v>
      </c>
      <c r="N18" t="str">
        <f>VLOOKUP(B18,'[2]TABULADOR ok'!$A$2:$I$424,8,FALSE)</f>
        <v>S12020</v>
      </c>
      <c r="O18">
        <f>VLOOKUP(B18,'[2]TABULADOR ok'!$A$2:$I$424,9,FALSE)</f>
        <v>95</v>
      </c>
    </row>
    <row r="19" spans="1:15" x14ac:dyDescent="0.25">
      <c r="A19" s="4">
        <v>2023</v>
      </c>
      <c r="B19" s="11" t="s">
        <v>64</v>
      </c>
      <c r="C19" s="11" t="s">
        <v>65</v>
      </c>
      <c r="D19" s="11" t="s">
        <v>47</v>
      </c>
      <c r="E19" s="12" t="s">
        <v>66</v>
      </c>
      <c r="F19" s="5"/>
      <c r="G19" s="5"/>
      <c r="H19" s="5"/>
      <c r="I19" s="5"/>
      <c r="J19" s="5"/>
      <c r="K19" s="6">
        <f t="shared" si="0"/>
        <v>0</v>
      </c>
      <c r="M19" t="str">
        <f>VLOOKUP(B19,'[2]TABULADOR ok'!$A$2:$I$424,7,FALSE)</f>
        <v>T4</v>
      </c>
      <c r="N19" t="str">
        <f>VLOOKUP(B19,'[2]TABULADOR ok'!$A$2:$I$424,8,FALSE)</f>
        <v>S12092</v>
      </c>
      <c r="O19">
        <f>VLOOKUP(B19,'[2]TABULADOR ok'!$A$2:$I$424,9,FALSE)</f>
        <v>95</v>
      </c>
    </row>
    <row r="20" spans="1:15" x14ac:dyDescent="0.25">
      <c r="A20" s="4">
        <v>2023</v>
      </c>
      <c r="B20" s="11" t="s">
        <v>67</v>
      </c>
      <c r="C20" s="11" t="s">
        <v>68</v>
      </c>
      <c r="D20" s="11" t="s">
        <v>47</v>
      </c>
      <c r="E20" s="12" t="s">
        <v>69</v>
      </c>
      <c r="F20" s="5"/>
      <c r="G20" s="5"/>
      <c r="H20" s="5"/>
      <c r="I20" s="5"/>
      <c r="J20" s="5"/>
      <c r="K20" s="6">
        <f t="shared" si="0"/>
        <v>0</v>
      </c>
      <c r="M20" t="str">
        <f>VLOOKUP(B20,'[2]TABULADOR ok'!$A$2:$I$424,7,FALSE)</f>
        <v>T4</v>
      </c>
      <c r="N20" t="str">
        <f>VLOOKUP(B20,'[2]TABULADOR ok'!$A$2:$I$424,8,FALSE)</f>
        <v>S12093</v>
      </c>
      <c r="O20">
        <f>VLOOKUP(B20,'[2]TABULADOR ok'!$A$2:$I$424,9,FALSE)</f>
        <v>95</v>
      </c>
    </row>
    <row r="21" spans="1:15" x14ac:dyDescent="0.25">
      <c r="A21" s="4">
        <v>2023</v>
      </c>
      <c r="B21" s="11" t="s">
        <v>70</v>
      </c>
      <c r="C21" s="11" t="s">
        <v>71</v>
      </c>
      <c r="D21" s="11" t="s">
        <v>47</v>
      </c>
      <c r="E21" s="12" t="s">
        <v>72</v>
      </c>
      <c r="F21" s="5"/>
      <c r="G21" s="5"/>
      <c r="H21" s="5"/>
      <c r="I21" s="5"/>
      <c r="J21" s="5"/>
      <c r="K21" s="6">
        <f t="shared" si="0"/>
        <v>0</v>
      </c>
      <c r="M21" t="str">
        <f>VLOOKUP(B21,'[2]TABULADOR ok'!$A$2:$I$424,7,FALSE)</f>
        <v>T4</v>
      </c>
      <c r="N21" t="str">
        <f>VLOOKUP(B21,'[2]TABULADOR ok'!$A$2:$I$424,8,FALSE)</f>
        <v>S12096</v>
      </c>
      <c r="O21">
        <f>VLOOKUP(B21,'[2]TABULADOR ok'!$A$2:$I$424,9,FALSE)</f>
        <v>95</v>
      </c>
    </row>
    <row r="22" spans="1:15" x14ac:dyDescent="0.25">
      <c r="A22" s="4">
        <v>2023</v>
      </c>
      <c r="B22" s="11" t="s">
        <v>73</v>
      </c>
      <c r="C22" s="11" t="s">
        <v>74</v>
      </c>
      <c r="D22" s="11" t="s">
        <v>47</v>
      </c>
      <c r="E22" s="12" t="s">
        <v>75</v>
      </c>
      <c r="F22" s="5"/>
      <c r="G22" s="5"/>
      <c r="H22" s="5"/>
      <c r="I22" s="5"/>
      <c r="J22" s="5"/>
      <c r="K22" s="6">
        <f t="shared" si="0"/>
        <v>0</v>
      </c>
      <c r="M22" t="str">
        <f>VLOOKUP(B22,'[2]TABULADOR ok'!$A$2:$I$424,7,FALSE)</f>
        <v>T4</v>
      </c>
      <c r="N22" t="str">
        <f>VLOOKUP(B22,'[2]TABULADOR ok'!$A$2:$I$424,8,FALSE)</f>
        <v>S12097</v>
      </c>
      <c r="O22">
        <f>VLOOKUP(B22,'[2]TABULADOR ok'!$A$2:$I$424,9,FALSE)</f>
        <v>95</v>
      </c>
    </row>
    <row r="23" spans="1:15" x14ac:dyDescent="0.25">
      <c r="A23" s="4">
        <v>2023</v>
      </c>
      <c r="B23" s="11" t="s">
        <v>76</v>
      </c>
      <c r="C23" s="11" t="s">
        <v>77</v>
      </c>
      <c r="D23" s="11" t="s">
        <v>47</v>
      </c>
      <c r="E23" s="12" t="s">
        <v>78</v>
      </c>
      <c r="F23" s="5"/>
      <c r="G23" s="5"/>
      <c r="H23" s="5"/>
      <c r="I23" s="5"/>
      <c r="J23" s="5"/>
      <c r="K23" s="6">
        <f t="shared" si="0"/>
        <v>0</v>
      </c>
      <c r="M23" t="str">
        <f>VLOOKUP(B23,'[2]TABULADOR ok'!$A$2:$I$424,7,FALSE)</f>
        <v>T4</v>
      </c>
      <c r="N23" t="str">
        <f>VLOOKUP(B23,'[2]TABULADOR ok'!$A$2:$I$424,8,FALSE)</f>
        <v>S12098</v>
      </c>
      <c r="O23">
        <f>VLOOKUP(B23,'[2]TABULADOR ok'!$A$2:$I$424,9,FALSE)</f>
        <v>95</v>
      </c>
    </row>
    <row r="24" spans="1:15" x14ac:dyDescent="0.25">
      <c r="A24" s="4">
        <v>2023</v>
      </c>
      <c r="B24" s="11" t="s">
        <v>79</v>
      </c>
      <c r="C24" s="11" t="s">
        <v>80</v>
      </c>
      <c r="D24" s="11" t="s">
        <v>47</v>
      </c>
      <c r="E24" s="12" t="s">
        <v>81</v>
      </c>
      <c r="F24" s="5"/>
      <c r="G24" s="5"/>
      <c r="H24" s="5"/>
      <c r="I24" s="5"/>
      <c r="J24" s="5"/>
      <c r="K24" s="6">
        <f t="shared" si="0"/>
        <v>0</v>
      </c>
      <c r="M24" t="str">
        <f>VLOOKUP(B24,'[2]TABULADOR ok'!$A$2:$I$424,7,FALSE)</f>
        <v>T4</v>
      </c>
      <c r="N24" t="str">
        <f>VLOOKUP(B24,'[2]TABULADOR ok'!$A$2:$I$424,8,FALSE)</f>
        <v>T06824</v>
      </c>
      <c r="O24">
        <f>VLOOKUP(B24,'[2]TABULADOR ok'!$A$2:$I$424,9,FALSE)</f>
        <v>95</v>
      </c>
    </row>
    <row r="25" spans="1:15" x14ac:dyDescent="0.25">
      <c r="A25" s="4">
        <v>2023</v>
      </c>
      <c r="B25" s="11" t="s">
        <v>82</v>
      </c>
      <c r="C25" s="11" t="s">
        <v>83</v>
      </c>
      <c r="D25" s="11" t="s">
        <v>84</v>
      </c>
      <c r="E25" s="12" t="s">
        <v>85</v>
      </c>
      <c r="F25" s="5"/>
      <c r="G25" s="5"/>
      <c r="H25" s="5"/>
      <c r="I25" s="5"/>
      <c r="J25" s="5"/>
      <c r="K25" s="6">
        <f t="shared" si="0"/>
        <v>0</v>
      </c>
      <c r="M25" t="str">
        <f>VLOOKUP(B25,'[2]TABULADOR ok'!$A$2:$I$424,7,FALSE)</f>
        <v>T5</v>
      </c>
      <c r="N25" t="str">
        <f>VLOOKUP(B25,'[2]TABULADOR ok'!$A$2:$I$424,8,FALSE)</f>
        <v>A01038</v>
      </c>
      <c r="O25">
        <f>VLOOKUP(B25,'[2]TABULADOR ok'!$A$2:$I$424,9,FALSE)</f>
        <v>95</v>
      </c>
    </row>
    <row r="26" spans="1:15" x14ac:dyDescent="0.25">
      <c r="A26" s="4">
        <v>2023</v>
      </c>
      <c r="B26" s="11" t="s">
        <v>86</v>
      </c>
      <c r="C26" s="11" t="s">
        <v>87</v>
      </c>
      <c r="D26" s="11" t="s">
        <v>84</v>
      </c>
      <c r="E26" s="12" t="s">
        <v>88</v>
      </c>
      <c r="F26" s="5"/>
      <c r="G26" s="5"/>
      <c r="H26" s="5"/>
      <c r="I26" s="5"/>
      <c r="J26" s="5"/>
      <c r="K26" s="6">
        <f t="shared" si="0"/>
        <v>0</v>
      </c>
      <c r="M26" t="str">
        <f>VLOOKUP(B26,'[2]TABULADOR ok'!$A$2:$I$424,7,FALSE)</f>
        <v>T5</v>
      </c>
      <c r="N26" t="str">
        <f>VLOOKUP(B26,'[2]TABULADOR ok'!$A$2:$I$424,8,FALSE)</f>
        <v>A03840</v>
      </c>
      <c r="O26">
        <f>VLOOKUP(B26,'[2]TABULADOR ok'!$A$2:$I$424,9,FALSE)</f>
        <v>95</v>
      </c>
    </row>
    <row r="27" spans="1:15" x14ac:dyDescent="0.25">
      <c r="A27" s="4">
        <v>2023</v>
      </c>
      <c r="B27" s="11" t="s">
        <v>89</v>
      </c>
      <c r="C27" s="11" t="s">
        <v>90</v>
      </c>
      <c r="D27" s="11" t="s">
        <v>84</v>
      </c>
      <c r="E27" s="12" t="s">
        <v>91</v>
      </c>
      <c r="F27" s="5"/>
      <c r="G27" s="5"/>
      <c r="H27" s="5"/>
      <c r="I27" s="5"/>
      <c r="J27" s="5"/>
      <c r="K27" s="6">
        <f t="shared" si="0"/>
        <v>0</v>
      </c>
      <c r="M27" t="str">
        <f>VLOOKUP(B27,'[2]TABULADOR ok'!$A$2:$I$424,7,FALSE)</f>
        <v>T5</v>
      </c>
      <c r="N27" t="str">
        <f>VLOOKUP(B27,'[2]TABULADOR ok'!$A$2:$I$424,8,FALSE)</f>
        <v>A05011</v>
      </c>
      <c r="O27">
        <f>VLOOKUP(B27,'[2]TABULADOR ok'!$A$2:$I$424,9,FALSE)</f>
        <v>95</v>
      </c>
    </row>
    <row r="28" spans="1:15" x14ac:dyDescent="0.25">
      <c r="A28" s="4">
        <v>2023</v>
      </c>
      <c r="B28" s="11" t="s">
        <v>92</v>
      </c>
      <c r="C28" s="11" t="s">
        <v>93</v>
      </c>
      <c r="D28" s="11" t="s">
        <v>84</v>
      </c>
      <c r="E28" s="12" t="s">
        <v>94</v>
      </c>
      <c r="F28" s="5"/>
      <c r="G28" s="5"/>
      <c r="H28" s="5"/>
      <c r="I28" s="5"/>
      <c r="J28" s="5"/>
      <c r="K28" s="6">
        <f t="shared" si="0"/>
        <v>0</v>
      </c>
      <c r="M28" t="str">
        <f>VLOOKUP(B28,'[2]TABULADOR ok'!$A$2:$I$424,7,FALSE)</f>
        <v>T5</v>
      </c>
      <c r="N28" t="str">
        <f>VLOOKUP(B28,'[2]TABULADOR ok'!$A$2:$I$424,8,FALSE)</f>
        <v>S01892</v>
      </c>
      <c r="O28">
        <f>VLOOKUP(B28,'[2]TABULADOR ok'!$A$2:$I$424,9,FALSE)</f>
        <v>95</v>
      </c>
    </row>
    <row r="29" spans="1:15" x14ac:dyDescent="0.25">
      <c r="A29" s="4">
        <v>2023</v>
      </c>
      <c r="B29" s="11" t="s">
        <v>95</v>
      </c>
      <c r="C29" s="11" t="s">
        <v>96</v>
      </c>
      <c r="D29" s="11" t="s">
        <v>84</v>
      </c>
      <c r="E29" s="12" t="s">
        <v>97</v>
      </c>
      <c r="F29" s="5"/>
      <c r="G29" s="5"/>
      <c r="H29" s="5"/>
      <c r="I29" s="5"/>
      <c r="J29" s="5"/>
      <c r="K29" s="6">
        <f t="shared" si="0"/>
        <v>0</v>
      </c>
      <c r="M29" t="str">
        <f>VLOOKUP(B29,'[2]TABULADOR ok'!$A$2:$I$424,7,FALSE)</f>
        <v>T5</v>
      </c>
      <c r="N29" t="str">
        <f>VLOOKUP(B29,'[2]TABULADOR ok'!$A$2:$I$424,8,FALSE)</f>
        <v>S01896</v>
      </c>
      <c r="O29">
        <f>VLOOKUP(B29,'[2]TABULADOR ok'!$A$2:$I$424,9,FALSE)</f>
        <v>95</v>
      </c>
    </row>
    <row r="30" spans="1:15" x14ac:dyDescent="0.25">
      <c r="A30" s="4">
        <v>2023</v>
      </c>
      <c r="B30" s="11" t="s">
        <v>98</v>
      </c>
      <c r="C30" s="11" t="s">
        <v>99</v>
      </c>
      <c r="D30" s="11" t="s">
        <v>84</v>
      </c>
      <c r="E30" s="12" t="s">
        <v>100</v>
      </c>
      <c r="F30" s="5"/>
      <c r="G30" s="5"/>
      <c r="H30" s="5"/>
      <c r="I30" s="5"/>
      <c r="J30" s="5"/>
      <c r="K30" s="6">
        <f t="shared" si="0"/>
        <v>0</v>
      </c>
      <c r="M30" t="str">
        <f>VLOOKUP(B30,'[2]TABULADOR ok'!$A$2:$I$424,7,FALSE)</f>
        <v>T5</v>
      </c>
      <c r="N30" t="str">
        <f>VLOOKUP(B30,'[2]TABULADOR ok'!$A$2:$I$424,8,FALSE)</f>
        <v>S12011</v>
      </c>
      <c r="O30">
        <f>VLOOKUP(B30,'[2]TABULADOR ok'!$A$2:$I$424,9,FALSE)</f>
        <v>95</v>
      </c>
    </row>
    <row r="31" spans="1:15" x14ac:dyDescent="0.25">
      <c r="A31" s="4">
        <v>2023</v>
      </c>
      <c r="B31" s="11" t="s">
        <v>101</v>
      </c>
      <c r="C31" s="11" t="s">
        <v>102</v>
      </c>
      <c r="D31" s="11" t="s">
        <v>84</v>
      </c>
      <c r="E31" s="12" t="s">
        <v>103</v>
      </c>
      <c r="F31" s="5"/>
      <c r="G31" s="5"/>
      <c r="H31" s="5"/>
      <c r="I31" s="5"/>
      <c r="J31" s="5"/>
      <c r="K31" s="6">
        <f t="shared" si="0"/>
        <v>0</v>
      </c>
      <c r="M31" t="str">
        <f>VLOOKUP(B31,'[2]TABULADOR ok'!$A$2:$I$424,7,FALSE)</f>
        <v>T5</v>
      </c>
      <c r="N31" t="str">
        <f>VLOOKUP(B31,'[2]TABULADOR ok'!$A$2:$I$424,8,FALSE)</f>
        <v>S12094</v>
      </c>
      <c r="O31">
        <f>VLOOKUP(B31,'[2]TABULADOR ok'!$A$2:$I$424,9,FALSE)</f>
        <v>95</v>
      </c>
    </row>
    <row r="32" spans="1:15" x14ac:dyDescent="0.25">
      <c r="A32" s="4">
        <v>2023</v>
      </c>
      <c r="B32" s="11" t="s">
        <v>104</v>
      </c>
      <c r="C32" s="11" t="s">
        <v>105</v>
      </c>
      <c r="D32" s="11" t="s">
        <v>84</v>
      </c>
      <c r="E32" s="12" t="s">
        <v>106</v>
      </c>
      <c r="F32" s="5"/>
      <c r="G32" s="5"/>
      <c r="H32" s="5"/>
      <c r="I32" s="5"/>
      <c r="J32" s="5"/>
      <c r="K32" s="6">
        <f t="shared" si="0"/>
        <v>0</v>
      </c>
      <c r="M32" t="str">
        <f>VLOOKUP(B32,'[2]TABULADOR ok'!$A$2:$I$424,7,FALSE)</f>
        <v>T5</v>
      </c>
      <c r="N32" t="str">
        <f>VLOOKUP(B32,'[2]TABULADOR ok'!$A$2:$I$424,8,FALSE)</f>
        <v>T03853</v>
      </c>
      <c r="O32">
        <f>VLOOKUP(B32,'[2]TABULADOR ok'!$A$2:$I$424,9,FALSE)</f>
        <v>95</v>
      </c>
    </row>
    <row r="33" spans="1:15" x14ac:dyDescent="0.25">
      <c r="A33" s="4">
        <v>2023</v>
      </c>
      <c r="B33" s="11" t="s">
        <v>107</v>
      </c>
      <c r="C33" s="11" t="s">
        <v>108</v>
      </c>
      <c r="D33" s="11" t="s">
        <v>84</v>
      </c>
      <c r="E33" s="12" t="s">
        <v>109</v>
      </c>
      <c r="F33" s="5"/>
      <c r="G33" s="5"/>
      <c r="H33" s="5"/>
      <c r="I33" s="5"/>
      <c r="J33" s="5"/>
      <c r="K33" s="6">
        <f t="shared" si="0"/>
        <v>0</v>
      </c>
      <c r="M33" t="str">
        <f>VLOOKUP(B33,'[2]TABULADOR ok'!$A$2:$I$424,7,FALSE)</f>
        <v>T5</v>
      </c>
      <c r="N33" t="str">
        <f>VLOOKUP(B33,'[2]TABULADOR ok'!$A$2:$I$424,8,FALSE)</f>
        <v>T13818</v>
      </c>
      <c r="O33">
        <f>VLOOKUP(B33,'[2]TABULADOR ok'!$A$2:$I$424,9,FALSE)</f>
        <v>95</v>
      </c>
    </row>
    <row r="34" spans="1:15" x14ac:dyDescent="0.25">
      <c r="A34" s="4">
        <v>2023</v>
      </c>
      <c r="B34" s="11" t="s">
        <v>110</v>
      </c>
      <c r="C34" s="11" t="s">
        <v>111</v>
      </c>
      <c r="D34" s="11" t="s">
        <v>84</v>
      </c>
      <c r="E34" s="12" t="s">
        <v>112</v>
      </c>
      <c r="F34" s="5"/>
      <c r="G34" s="5"/>
      <c r="H34" s="5"/>
      <c r="I34" s="5"/>
      <c r="J34" s="5"/>
      <c r="K34" s="6">
        <f t="shared" si="0"/>
        <v>0</v>
      </c>
      <c r="M34" t="str">
        <f>VLOOKUP(B34,'[2]TABULADOR ok'!$A$2:$I$424,7,FALSE)</f>
        <v>T5</v>
      </c>
      <c r="N34" t="str">
        <f>VLOOKUP(B34,'[2]TABULADOR ok'!$A$2:$I$424,8,FALSE)</f>
        <v>T14034</v>
      </c>
      <c r="O34">
        <f>VLOOKUP(B34,'[2]TABULADOR ok'!$A$2:$I$424,9,FALSE)</f>
        <v>95</v>
      </c>
    </row>
    <row r="35" spans="1:15" x14ac:dyDescent="0.25">
      <c r="A35" s="4">
        <v>2023</v>
      </c>
      <c r="B35" s="11" t="s">
        <v>113</v>
      </c>
      <c r="C35" s="11" t="s">
        <v>114</v>
      </c>
      <c r="D35" s="11" t="s">
        <v>115</v>
      </c>
      <c r="E35" s="12" t="s">
        <v>116</v>
      </c>
      <c r="F35" s="5"/>
      <c r="G35" s="5"/>
      <c r="H35" s="5"/>
      <c r="I35" s="5"/>
      <c r="J35" s="5"/>
      <c r="K35" s="6">
        <f t="shared" si="0"/>
        <v>0</v>
      </c>
      <c r="M35" t="str">
        <f>VLOOKUP(B35,'[2]TABULADOR ok'!$A$2:$I$424,7,FALSE)</f>
        <v>T6</v>
      </c>
      <c r="N35" t="str">
        <f>VLOOKUP(B35,'[2]TABULADOR ok'!$A$2:$I$424,8,FALSE)</f>
        <v>A03839</v>
      </c>
      <c r="O35">
        <f>VLOOKUP(B35,'[2]TABULADOR ok'!$A$2:$I$424,9,FALSE)</f>
        <v>95</v>
      </c>
    </row>
    <row r="36" spans="1:15" x14ac:dyDescent="0.25">
      <c r="A36" s="4">
        <v>2023</v>
      </c>
      <c r="B36" s="11" t="s">
        <v>117</v>
      </c>
      <c r="C36" s="11" t="s">
        <v>118</v>
      </c>
      <c r="D36" s="11" t="s">
        <v>115</v>
      </c>
      <c r="E36" s="12" t="s">
        <v>119</v>
      </c>
      <c r="F36" s="5"/>
      <c r="G36" s="5"/>
      <c r="H36" s="5"/>
      <c r="I36" s="5"/>
      <c r="J36" s="5"/>
      <c r="K36" s="6">
        <f t="shared" si="0"/>
        <v>0</v>
      </c>
      <c r="M36" t="str">
        <f>VLOOKUP(B36,'[2]TABULADOR ok'!$A$2:$I$424,7,FALSE)</f>
        <v>T6</v>
      </c>
      <c r="N36" t="str">
        <f>VLOOKUP(B36,'[2]TABULADOR ok'!$A$2:$I$424,8,FALSE)</f>
        <v>P07027</v>
      </c>
      <c r="O36">
        <f>VLOOKUP(B36,'[2]TABULADOR ok'!$A$2:$I$424,9,FALSE)</f>
        <v>95</v>
      </c>
    </row>
    <row r="37" spans="1:15" x14ac:dyDescent="0.25">
      <c r="A37" s="4">
        <v>2023</v>
      </c>
      <c r="B37" s="11" t="s">
        <v>120</v>
      </c>
      <c r="C37" s="11" t="s">
        <v>121</v>
      </c>
      <c r="D37" s="11" t="s">
        <v>115</v>
      </c>
      <c r="E37" s="12" t="s">
        <v>122</v>
      </c>
      <c r="F37" s="5"/>
      <c r="G37" s="5"/>
      <c r="H37" s="5"/>
      <c r="I37" s="5"/>
      <c r="J37" s="5"/>
      <c r="K37" s="6">
        <f t="shared" si="0"/>
        <v>0</v>
      </c>
      <c r="M37" t="str">
        <f>VLOOKUP(B37,'[2]TABULADOR ok'!$A$2:$I$424,7,FALSE)</f>
        <v>T6</v>
      </c>
      <c r="N37" t="str">
        <f>VLOOKUP(B37,'[2]TABULADOR ok'!$A$2:$I$424,8,FALSE)</f>
        <v>S03830</v>
      </c>
      <c r="O37">
        <f>VLOOKUP(B37,'[2]TABULADOR ok'!$A$2:$I$424,9,FALSE)</f>
        <v>95</v>
      </c>
    </row>
    <row r="38" spans="1:15" x14ac:dyDescent="0.25">
      <c r="A38" s="4">
        <v>2023</v>
      </c>
      <c r="B38" s="11" t="s">
        <v>123</v>
      </c>
      <c r="C38" s="11" t="s">
        <v>124</v>
      </c>
      <c r="D38" s="11" t="s">
        <v>115</v>
      </c>
      <c r="E38" s="12" t="s">
        <v>125</v>
      </c>
      <c r="F38" s="5"/>
      <c r="G38" s="5"/>
      <c r="H38" s="5"/>
      <c r="I38" s="5"/>
      <c r="J38" s="5"/>
      <c r="K38" s="6">
        <f t="shared" si="0"/>
        <v>0</v>
      </c>
      <c r="M38" t="str">
        <f>VLOOKUP(B38,'[2]TABULADOR ok'!$A$2:$I$424,7,FALSE)</f>
        <v>T6</v>
      </c>
      <c r="N38" t="str">
        <f>VLOOKUP(B38,'[2]TABULADOR ok'!$A$2:$I$424,8,FALSE)</f>
        <v>S03831</v>
      </c>
      <c r="O38">
        <f>VLOOKUP(B38,'[2]TABULADOR ok'!$A$2:$I$424,9,FALSE)</f>
        <v>95</v>
      </c>
    </row>
    <row r="39" spans="1:15" x14ac:dyDescent="0.25">
      <c r="A39" s="4">
        <v>2023</v>
      </c>
      <c r="B39" s="11" t="s">
        <v>126</v>
      </c>
      <c r="C39" s="11" t="s">
        <v>127</v>
      </c>
      <c r="D39" s="11" t="s">
        <v>115</v>
      </c>
      <c r="E39" s="12" t="s">
        <v>128</v>
      </c>
      <c r="F39" s="5"/>
      <c r="G39" s="5"/>
      <c r="H39" s="5"/>
      <c r="I39" s="5"/>
      <c r="J39" s="5"/>
      <c r="K39" s="6">
        <f t="shared" si="0"/>
        <v>0</v>
      </c>
      <c r="M39" t="str">
        <f>VLOOKUP(B39,'[2]TABULADOR ok'!$A$2:$I$424,7,FALSE)</f>
        <v>T6</v>
      </c>
      <c r="N39" t="str">
        <f>VLOOKUP(B39,'[2]TABULADOR ok'!$A$2:$I$424,8,FALSE)</f>
        <v>S09807</v>
      </c>
      <c r="O39">
        <f>VLOOKUP(B39,'[2]TABULADOR ok'!$A$2:$I$424,9,FALSE)</f>
        <v>95</v>
      </c>
    </row>
    <row r="40" spans="1:15" x14ac:dyDescent="0.25">
      <c r="A40" s="4">
        <v>2023</v>
      </c>
      <c r="B40" s="11" t="s">
        <v>129</v>
      </c>
      <c r="C40" s="11" t="s">
        <v>130</v>
      </c>
      <c r="D40" s="11" t="s">
        <v>115</v>
      </c>
      <c r="E40" s="12" t="s">
        <v>131</v>
      </c>
      <c r="F40" s="5"/>
      <c r="G40" s="5"/>
      <c r="H40" s="5"/>
      <c r="I40" s="5"/>
      <c r="J40" s="5"/>
      <c r="K40" s="6">
        <f t="shared" si="0"/>
        <v>0</v>
      </c>
      <c r="M40" t="str">
        <f>VLOOKUP(B40,'[2]TABULADOR ok'!$A$2:$I$424,7,FALSE)</f>
        <v>T6</v>
      </c>
      <c r="N40" t="str">
        <f>VLOOKUP(B40,'[2]TABULADOR ok'!$A$2:$I$424,8,FALSE)</f>
        <v>T06823</v>
      </c>
      <c r="O40">
        <f>VLOOKUP(B40,'[2]TABULADOR ok'!$A$2:$I$424,9,FALSE)</f>
        <v>95</v>
      </c>
    </row>
    <row r="41" spans="1:15" x14ac:dyDescent="0.25">
      <c r="A41" s="4">
        <v>2023</v>
      </c>
      <c r="B41" s="11" t="s">
        <v>132</v>
      </c>
      <c r="C41" s="11" t="s">
        <v>133</v>
      </c>
      <c r="D41" s="11" t="s">
        <v>115</v>
      </c>
      <c r="E41" s="12" t="s">
        <v>134</v>
      </c>
      <c r="F41" s="5"/>
      <c r="G41" s="5"/>
      <c r="H41" s="5"/>
      <c r="I41" s="5"/>
      <c r="J41" s="5"/>
      <c r="K41" s="6">
        <f t="shared" si="0"/>
        <v>0</v>
      </c>
      <c r="M41" t="str">
        <f>VLOOKUP(B41,'[2]TABULADOR ok'!$A$2:$I$424,7,FALSE)</f>
        <v>T6</v>
      </c>
      <c r="N41" t="str">
        <f>VLOOKUP(B41,'[2]TABULADOR ok'!$A$2:$I$424,8,FALSE)</f>
        <v>T08813</v>
      </c>
      <c r="O41">
        <f>VLOOKUP(B41,'[2]TABULADOR ok'!$A$2:$I$424,9,FALSE)</f>
        <v>95</v>
      </c>
    </row>
    <row r="42" spans="1:15" x14ac:dyDescent="0.25">
      <c r="A42" s="4">
        <v>2023</v>
      </c>
      <c r="B42" s="11" t="s">
        <v>135</v>
      </c>
      <c r="C42" s="11" t="s">
        <v>136</v>
      </c>
      <c r="D42" s="11" t="s">
        <v>137</v>
      </c>
      <c r="E42" s="12" t="s">
        <v>138</v>
      </c>
      <c r="F42" s="5"/>
      <c r="G42" s="5"/>
      <c r="H42" s="5"/>
      <c r="I42" s="5"/>
      <c r="J42" s="5"/>
      <c r="K42" s="6">
        <f t="shared" si="0"/>
        <v>0</v>
      </c>
      <c r="M42" t="str">
        <f>VLOOKUP(B42,'[2]TABULADOR ok'!$A$2:$I$424,7,FALSE)</f>
        <v>T7</v>
      </c>
      <c r="N42" t="str">
        <f>VLOOKUP(B42,'[2]TABULADOR ok'!$A$2:$I$424,8,FALSE)</f>
        <v>A01037</v>
      </c>
      <c r="O42">
        <f>VLOOKUP(B42,'[2]TABULADOR ok'!$A$2:$I$424,9,FALSE)</f>
        <v>95</v>
      </c>
    </row>
    <row r="43" spans="1:15" x14ac:dyDescent="0.25">
      <c r="A43" s="4">
        <v>2023</v>
      </c>
      <c r="B43" s="11" t="s">
        <v>139</v>
      </c>
      <c r="C43" s="11" t="s">
        <v>140</v>
      </c>
      <c r="D43" s="11" t="s">
        <v>137</v>
      </c>
      <c r="E43" s="12" t="s">
        <v>141</v>
      </c>
      <c r="F43" s="5"/>
      <c r="G43" s="5"/>
      <c r="H43" s="5"/>
      <c r="I43" s="5"/>
      <c r="J43" s="5"/>
      <c r="K43" s="6">
        <f t="shared" si="0"/>
        <v>0</v>
      </c>
      <c r="M43" t="str">
        <f>VLOOKUP(B43,'[2]TABULADOR ok'!$A$2:$I$424,7,FALSE)</f>
        <v>T7</v>
      </c>
      <c r="N43" t="str">
        <f>VLOOKUP(B43,'[2]TABULADOR ok'!$A$2:$I$424,8,FALSE)</f>
        <v>A02815</v>
      </c>
      <c r="O43">
        <f>VLOOKUP(B43,'[2]TABULADOR ok'!$A$2:$I$424,9,FALSE)</f>
        <v>95</v>
      </c>
    </row>
    <row r="44" spans="1:15" x14ac:dyDescent="0.25">
      <c r="A44" s="4">
        <v>2023</v>
      </c>
      <c r="B44" s="11" t="s">
        <v>142</v>
      </c>
      <c r="C44" s="11" t="s">
        <v>143</v>
      </c>
      <c r="D44" s="11" t="s">
        <v>137</v>
      </c>
      <c r="E44" s="12" t="s">
        <v>144</v>
      </c>
      <c r="F44" s="5"/>
      <c r="G44" s="5"/>
      <c r="H44" s="5"/>
      <c r="I44" s="5"/>
      <c r="J44" s="5"/>
      <c r="K44" s="6">
        <f t="shared" si="0"/>
        <v>0</v>
      </c>
      <c r="M44" t="str">
        <f>VLOOKUP(B44,'[2]TABULADOR ok'!$A$2:$I$424,7,FALSE)</f>
        <v>T7</v>
      </c>
      <c r="N44" t="str">
        <f>VLOOKUP(B44,'[2]TABULADOR ok'!$A$2:$I$424,8,FALSE)</f>
        <v>C01817</v>
      </c>
      <c r="O44">
        <f>VLOOKUP(B44,'[2]TABULADOR ok'!$A$2:$I$424,9,FALSE)</f>
        <v>95</v>
      </c>
    </row>
    <row r="45" spans="1:15" x14ac:dyDescent="0.25">
      <c r="A45" s="4">
        <v>2023</v>
      </c>
      <c r="B45" s="11" t="s">
        <v>145</v>
      </c>
      <c r="C45" s="11" t="s">
        <v>146</v>
      </c>
      <c r="D45" s="11" t="s">
        <v>137</v>
      </c>
      <c r="E45" s="12" t="s">
        <v>147</v>
      </c>
      <c r="F45" s="5"/>
      <c r="G45" s="5"/>
      <c r="H45" s="5"/>
      <c r="I45" s="5"/>
      <c r="J45" s="5"/>
      <c r="K45" s="6">
        <f t="shared" si="0"/>
        <v>0</v>
      </c>
      <c r="M45" t="str">
        <f>VLOOKUP(B45,'[2]TABULADOR ok'!$A$2:$I$424,7,FALSE)</f>
        <v>T7</v>
      </c>
      <c r="N45" t="str">
        <f>VLOOKUP(B45,'[2]TABULADOR ok'!$A$2:$I$424,8,FALSE)</f>
        <v>P07026</v>
      </c>
      <c r="O45">
        <f>VLOOKUP(B45,'[2]TABULADOR ok'!$A$2:$I$424,9,FALSE)</f>
        <v>95</v>
      </c>
    </row>
    <row r="46" spans="1:15" x14ac:dyDescent="0.25">
      <c r="A46" s="4">
        <v>2023</v>
      </c>
      <c r="B46" s="11" t="s">
        <v>148</v>
      </c>
      <c r="C46" s="11" t="s">
        <v>149</v>
      </c>
      <c r="D46" s="11" t="s">
        <v>137</v>
      </c>
      <c r="E46" s="12" t="s">
        <v>150</v>
      </c>
      <c r="F46" s="5"/>
      <c r="G46" s="5"/>
      <c r="H46" s="5"/>
      <c r="I46" s="5"/>
      <c r="J46" s="5"/>
      <c r="K46" s="6">
        <f t="shared" si="0"/>
        <v>0</v>
      </c>
      <c r="M46" t="str">
        <f>VLOOKUP(B46,'[2]TABULADOR ok'!$A$2:$I$424,7,FALSE)</f>
        <v>T7</v>
      </c>
      <c r="N46" t="str">
        <f>VLOOKUP(B46,'[2]TABULADOR ok'!$A$2:$I$424,8,FALSE)</f>
        <v>T05822</v>
      </c>
      <c r="O46">
        <f>VLOOKUP(B46,'[2]TABULADOR ok'!$A$2:$I$424,9,FALSE)</f>
        <v>95</v>
      </c>
    </row>
    <row r="47" spans="1:15" x14ac:dyDescent="0.25">
      <c r="A47" s="4">
        <v>2023</v>
      </c>
      <c r="B47" s="11" t="s">
        <v>151</v>
      </c>
      <c r="C47" s="11" t="s">
        <v>152</v>
      </c>
      <c r="D47" s="11" t="s">
        <v>137</v>
      </c>
      <c r="E47" s="12" t="s">
        <v>153</v>
      </c>
      <c r="F47" s="5"/>
      <c r="G47" s="5"/>
      <c r="H47" s="5"/>
      <c r="I47" s="5"/>
      <c r="J47" s="5"/>
      <c r="K47" s="6">
        <f t="shared" si="0"/>
        <v>0</v>
      </c>
      <c r="M47" t="str">
        <f>VLOOKUP(B47,'[2]TABULADOR ok'!$A$2:$I$424,7,FALSE)</f>
        <v>T7</v>
      </c>
      <c r="N47" t="str">
        <f>VLOOKUP(B47,'[2]TABULADOR ok'!$A$2:$I$424,8,FALSE)</f>
        <v>T09001</v>
      </c>
      <c r="O47">
        <f>VLOOKUP(B47,'[2]TABULADOR ok'!$A$2:$I$424,9,FALSE)</f>
        <v>95</v>
      </c>
    </row>
    <row r="48" spans="1:15" x14ac:dyDescent="0.25">
      <c r="A48" s="4">
        <v>2023</v>
      </c>
      <c r="B48" s="11" t="s">
        <v>154</v>
      </c>
      <c r="C48" s="11" t="s">
        <v>155</v>
      </c>
      <c r="D48" s="11" t="s">
        <v>137</v>
      </c>
      <c r="E48" s="12" t="s">
        <v>156</v>
      </c>
      <c r="F48" s="5"/>
      <c r="G48" s="5"/>
      <c r="H48" s="5"/>
      <c r="I48" s="5"/>
      <c r="J48" s="5"/>
      <c r="K48" s="6">
        <f t="shared" si="0"/>
        <v>0</v>
      </c>
      <c r="M48" t="str">
        <f>VLOOKUP(B48,'[2]TABULADOR ok'!$A$2:$I$424,7,FALSE)</f>
        <v>T7</v>
      </c>
      <c r="N48" t="str">
        <f>VLOOKUP(B48,'[2]TABULADOR ok'!$A$2:$I$424,8,FALSE)</f>
        <v>T13817</v>
      </c>
      <c r="O48">
        <f>VLOOKUP(B48,'[2]TABULADOR ok'!$A$2:$I$424,9,FALSE)</f>
        <v>95</v>
      </c>
    </row>
    <row r="49" spans="1:15" x14ac:dyDescent="0.25">
      <c r="A49" s="4">
        <v>2023</v>
      </c>
      <c r="B49" s="11" t="s">
        <v>157</v>
      </c>
      <c r="C49" s="11" t="s">
        <v>158</v>
      </c>
      <c r="D49" s="11" t="s">
        <v>137</v>
      </c>
      <c r="E49" s="12" t="s">
        <v>159</v>
      </c>
      <c r="F49" s="5"/>
      <c r="G49" s="5"/>
      <c r="H49" s="5"/>
      <c r="I49" s="5"/>
      <c r="J49" s="5"/>
      <c r="K49" s="6">
        <f t="shared" si="0"/>
        <v>0</v>
      </c>
      <c r="M49" t="str">
        <f>VLOOKUP(B49,'[2]TABULADOR ok'!$A$2:$I$424,7,FALSE)</f>
        <v>T7</v>
      </c>
      <c r="N49" t="str">
        <f>VLOOKUP(B49,'[2]TABULADOR ok'!$A$2:$I$424,8,FALSE)</f>
        <v>T14019</v>
      </c>
      <c r="O49">
        <f>VLOOKUP(B49,'[2]TABULADOR ok'!$A$2:$I$424,9,FALSE)</f>
        <v>95</v>
      </c>
    </row>
    <row r="50" spans="1:15" x14ac:dyDescent="0.25">
      <c r="A50" s="4">
        <v>2023</v>
      </c>
      <c r="B50" s="11" t="s">
        <v>160</v>
      </c>
      <c r="C50" s="11" t="s">
        <v>161</v>
      </c>
      <c r="D50" s="11" t="s">
        <v>137</v>
      </c>
      <c r="E50" s="12" t="s">
        <v>162</v>
      </c>
      <c r="F50" s="5"/>
      <c r="G50" s="5"/>
      <c r="H50" s="5"/>
      <c r="I50" s="5"/>
      <c r="J50" s="5"/>
      <c r="K50" s="6">
        <f t="shared" si="0"/>
        <v>0</v>
      </c>
      <c r="M50" t="str">
        <f>VLOOKUP(B50,'[2]TABULADOR ok'!$A$2:$I$424,7,FALSE)</f>
        <v>T7</v>
      </c>
      <c r="N50" t="str">
        <f>VLOOKUP(B50,'[2]TABULADOR ok'!$A$2:$I$424,8,FALSE)</f>
        <v>T16817</v>
      </c>
      <c r="O50">
        <f>VLOOKUP(B50,'[2]TABULADOR ok'!$A$2:$I$424,9,FALSE)</f>
        <v>95</v>
      </c>
    </row>
    <row r="51" spans="1:15" x14ac:dyDescent="0.25">
      <c r="A51" s="4">
        <v>2023</v>
      </c>
      <c r="B51" s="11" t="s">
        <v>163</v>
      </c>
      <c r="C51" s="11" t="s">
        <v>164</v>
      </c>
      <c r="D51" s="11" t="s">
        <v>165</v>
      </c>
      <c r="E51" s="12" t="s">
        <v>166</v>
      </c>
      <c r="F51" s="5"/>
      <c r="G51" s="5"/>
      <c r="H51" s="5"/>
      <c r="I51" s="5"/>
      <c r="J51" s="5"/>
      <c r="K51" s="6">
        <f t="shared" si="0"/>
        <v>0</v>
      </c>
      <c r="M51" t="str">
        <f>VLOOKUP(B51,'[2]TABULADOR ok'!$A$2:$I$424,7,FALSE)</f>
        <v>T8</v>
      </c>
      <c r="N51" t="str">
        <f>VLOOKUP(B51,'[2]TABULADOR ok'!$A$2:$I$424,8,FALSE)</f>
        <v>A01036</v>
      </c>
      <c r="O51">
        <f>VLOOKUP(B51,'[2]TABULADOR ok'!$A$2:$I$424,9,FALSE)</f>
        <v>95</v>
      </c>
    </row>
    <row r="52" spans="1:15" x14ac:dyDescent="0.25">
      <c r="A52" s="4">
        <v>2023</v>
      </c>
      <c r="B52" s="11" t="s">
        <v>167</v>
      </c>
      <c r="C52" s="11" t="s">
        <v>168</v>
      </c>
      <c r="D52" s="11" t="s">
        <v>165</v>
      </c>
      <c r="E52" s="12" t="s">
        <v>169</v>
      </c>
      <c r="F52" s="5"/>
      <c r="G52" s="5"/>
      <c r="H52" s="5"/>
      <c r="I52" s="5"/>
      <c r="J52" s="5"/>
      <c r="K52" s="6">
        <f t="shared" si="0"/>
        <v>0</v>
      </c>
      <c r="M52" t="str">
        <f>VLOOKUP(B52,'[2]TABULADOR ok'!$A$2:$I$424,7,FALSE)</f>
        <v>T8</v>
      </c>
      <c r="N52" t="str">
        <f>VLOOKUP(B52,'[2]TABULADOR ok'!$A$2:$I$424,8,FALSE)</f>
        <v>A06009</v>
      </c>
      <c r="O52">
        <f>VLOOKUP(B52,'[2]TABULADOR ok'!$A$2:$I$424,9,FALSE)</f>
        <v>95</v>
      </c>
    </row>
    <row r="53" spans="1:15" x14ac:dyDescent="0.25">
      <c r="A53" s="4">
        <v>2023</v>
      </c>
      <c r="B53" s="11" t="s">
        <v>170</v>
      </c>
      <c r="C53" s="11" t="s">
        <v>171</v>
      </c>
      <c r="D53" s="11" t="s">
        <v>165</v>
      </c>
      <c r="E53" s="12" t="s">
        <v>172</v>
      </c>
      <c r="F53" s="5"/>
      <c r="G53" s="5"/>
      <c r="H53" s="5"/>
      <c r="I53" s="5"/>
      <c r="J53" s="5"/>
      <c r="K53" s="6">
        <f t="shared" si="0"/>
        <v>0</v>
      </c>
      <c r="M53" t="str">
        <f>VLOOKUP(B53,'[2]TABULADOR ok'!$A$2:$I$424,7,FALSE)</f>
        <v>T8</v>
      </c>
      <c r="N53" t="str">
        <f>VLOOKUP(B53,'[2]TABULADOR ok'!$A$2:$I$424,8,FALSE)</f>
        <v>C01818</v>
      </c>
      <c r="O53">
        <f>VLOOKUP(B53,'[2]TABULADOR ok'!$A$2:$I$424,9,FALSE)</f>
        <v>95</v>
      </c>
    </row>
    <row r="54" spans="1:15" x14ac:dyDescent="0.25">
      <c r="A54" s="4">
        <v>2023</v>
      </c>
      <c r="B54" s="11" t="s">
        <v>173</v>
      </c>
      <c r="C54" s="11" t="s">
        <v>174</v>
      </c>
      <c r="D54" s="11" t="s">
        <v>165</v>
      </c>
      <c r="E54" s="12" t="s">
        <v>175</v>
      </c>
      <c r="F54" s="5"/>
      <c r="G54" s="5"/>
      <c r="H54" s="5"/>
      <c r="I54" s="5"/>
      <c r="J54" s="5"/>
      <c r="K54" s="6">
        <f t="shared" si="0"/>
        <v>0</v>
      </c>
      <c r="M54" t="str">
        <f>VLOOKUP(B54,'[2]TABULADOR ok'!$A$2:$I$424,7,FALSE)</f>
        <v>T8</v>
      </c>
      <c r="N54" t="str">
        <f>VLOOKUP(B54,'[2]TABULADOR ok'!$A$2:$I$424,8,FALSE)</f>
        <v>T03854</v>
      </c>
      <c r="O54">
        <f>VLOOKUP(B54,'[2]TABULADOR ok'!$A$2:$I$424,9,FALSE)</f>
        <v>95</v>
      </c>
    </row>
    <row r="55" spans="1:15" x14ac:dyDescent="0.25">
      <c r="A55" s="4">
        <v>2023</v>
      </c>
      <c r="B55" s="11" t="s">
        <v>176</v>
      </c>
      <c r="C55" s="11" t="s">
        <v>177</v>
      </c>
      <c r="D55" s="11" t="s">
        <v>165</v>
      </c>
      <c r="E55" s="12" t="s">
        <v>178</v>
      </c>
      <c r="F55" s="5"/>
      <c r="G55" s="5"/>
      <c r="H55" s="5"/>
      <c r="I55" s="5"/>
      <c r="J55" s="5"/>
      <c r="K55" s="6">
        <f t="shared" si="0"/>
        <v>0</v>
      </c>
      <c r="M55" t="str">
        <f>VLOOKUP(B55,'[2]TABULADOR ok'!$A$2:$I$424,7,FALSE)</f>
        <v>T8</v>
      </c>
      <c r="N55" t="str">
        <f>VLOOKUP(B55,'[2]TABULADOR ok'!$A$2:$I$424,8,FALSE)</f>
        <v>T04875</v>
      </c>
      <c r="O55">
        <f>VLOOKUP(B55,'[2]TABULADOR ok'!$A$2:$I$424,9,FALSE)</f>
        <v>95</v>
      </c>
    </row>
    <row r="56" spans="1:15" x14ac:dyDescent="0.25">
      <c r="A56" s="4">
        <v>2023</v>
      </c>
      <c r="B56" s="11" t="s">
        <v>179</v>
      </c>
      <c r="C56" s="11" t="s">
        <v>180</v>
      </c>
      <c r="D56" s="11" t="s">
        <v>165</v>
      </c>
      <c r="E56" s="12" t="s">
        <v>181</v>
      </c>
      <c r="F56" s="5"/>
      <c r="G56" s="5"/>
      <c r="H56" s="5"/>
      <c r="I56" s="5"/>
      <c r="J56" s="5"/>
      <c r="K56" s="6">
        <f t="shared" si="0"/>
        <v>0</v>
      </c>
      <c r="M56" t="str">
        <f>VLOOKUP(B56,'[2]TABULADOR ok'!$A$2:$I$424,7,FALSE)</f>
        <v>T8</v>
      </c>
      <c r="N56" t="str">
        <f>VLOOKUP(B56,'[2]TABULADOR ok'!$A$2:$I$424,8,FALSE)</f>
        <v>T08812</v>
      </c>
      <c r="O56">
        <f>VLOOKUP(B56,'[2]TABULADOR ok'!$A$2:$I$424,9,FALSE)</f>
        <v>95</v>
      </c>
    </row>
    <row r="57" spans="1:15" x14ac:dyDescent="0.25">
      <c r="A57" s="4">
        <v>2023</v>
      </c>
      <c r="B57" s="11" t="s">
        <v>182</v>
      </c>
      <c r="C57" s="11" t="s">
        <v>183</v>
      </c>
      <c r="D57" s="11" t="s">
        <v>184</v>
      </c>
      <c r="E57" s="12" t="s">
        <v>185</v>
      </c>
      <c r="F57" s="5"/>
      <c r="G57" s="5"/>
      <c r="H57" s="5"/>
      <c r="I57" s="5"/>
      <c r="J57" s="5"/>
      <c r="K57" s="6">
        <f t="shared" si="0"/>
        <v>0</v>
      </c>
      <c r="M57" t="str">
        <f>VLOOKUP(B57,'[2]TABULADOR ok'!$A$2:$I$424,7,FALSE)</f>
        <v>T9</v>
      </c>
      <c r="N57" t="str">
        <f>VLOOKUP(B57,'[2]TABULADOR ok'!$A$2:$I$424,8,FALSE)</f>
        <v>P02809</v>
      </c>
      <c r="O57">
        <f>VLOOKUP(B57,'[2]TABULADOR ok'!$A$2:$I$424,9,FALSE)</f>
        <v>95</v>
      </c>
    </row>
    <row r="58" spans="1:15" x14ac:dyDescent="0.25">
      <c r="A58" s="4">
        <v>2023</v>
      </c>
      <c r="B58" s="11" t="s">
        <v>186</v>
      </c>
      <c r="C58" s="11" t="s">
        <v>187</v>
      </c>
      <c r="D58" s="11" t="s">
        <v>184</v>
      </c>
      <c r="E58" s="12" t="s">
        <v>188</v>
      </c>
      <c r="F58" s="5"/>
      <c r="G58" s="5"/>
      <c r="H58" s="5"/>
      <c r="I58" s="5"/>
      <c r="J58" s="5"/>
      <c r="K58" s="6">
        <f t="shared" si="0"/>
        <v>0</v>
      </c>
      <c r="M58" t="str">
        <f>VLOOKUP(B58,'[2]TABULADOR ok'!$A$2:$I$424,7,FALSE)</f>
        <v>T9</v>
      </c>
      <c r="N58" t="str">
        <f>VLOOKUP(B58,'[2]TABULADOR ok'!$A$2:$I$424,8,FALSE)</f>
        <v>P04806</v>
      </c>
      <c r="O58">
        <f>VLOOKUP(B58,'[2]TABULADOR ok'!$A$2:$I$424,9,FALSE)</f>
        <v>95</v>
      </c>
    </row>
    <row r="59" spans="1:15" x14ac:dyDescent="0.25">
      <c r="A59" s="4">
        <v>2023</v>
      </c>
      <c r="B59" s="11" t="s">
        <v>189</v>
      </c>
      <c r="C59" s="11" t="s">
        <v>190</v>
      </c>
      <c r="D59" s="11" t="s">
        <v>184</v>
      </c>
      <c r="E59" s="12" t="s">
        <v>191</v>
      </c>
      <c r="F59" s="5"/>
      <c r="G59" s="5"/>
      <c r="H59" s="5"/>
      <c r="I59" s="5"/>
      <c r="J59" s="5"/>
      <c r="K59" s="6">
        <f t="shared" si="0"/>
        <v>0</v>
      </c>
      <c r="M59" t="str">
        <f>VLOOKUP(B59,'[2]TABULADOR ok'!$A$2:$I$424,7,FALSE)</f>
        <v>T9</v>
      </c>
      <c r="N59" t="str">
        <f>VLOOKUP(B59,'[2]TABULADOR ok'!$A$2:$I$424,8,FALSE)</f>
        <v>P05808</v>
      </c>
      <c r="O59">
        <f>VLOOKUP(B59,'[2]TABULADOR ok'!$A$2:$I$424,9,FALSE)</f>
        <v>95</v>
      </c>
    </row>
    <row r="60" spans="1:15" x14ac:dyDescent="0.25">
      <c r="A60" s="4">
        <v>2023</v>
      </c>
      <c r="B60" s="11" t="s">
        <v>192</v>
      </c>
      <c r="C60" s="11" t="s">
        <v>193</v>
      </c>
      <c r="D60" s="11" t="s">
        <v>184</v>
      </c>
      <c r="E60" s="12" t="s">
        <v>194</v>
      </c>
      <c r="F60" s="5"/>
      <c r="G60" s="5"/>
      <c r="H60" s="5"/>
      <c r="I60" s="5"/>
      <c r="J60" s="5"/>
      <c r="K60" s="6">
        <f t="shared" si="0"/>
        <v>0</v>
      </c>
      <c r="M60" t="str">
        <f>VLOOKUP(B60,'[2]TABULADOR ok'!$A$2:$I$424,7,FALSE)</f>
        <v>T9</v>
      </c>
      <c r="N60" t="str">
        <f>VLOOKUP(B60,'[2]TABULADOR ok'!$A$2:$I$424,8,FALSE)</f>
        <v>T03850</v>
      </c>
      <c r="O60">
        <f>VLOOKUP(B60,'[2]TABULADOR ok'!$A$2:$I$424,9,FALSE)</f>
        <v>95</v>
      </c>
    </row>
    <row r="61" spans="1:15" x14ac:dyDescent="0.25">
      <c r="A61" s="4">
        <v>2023</v>
      </c>
      <c r="B61" s="11" t="s">
        <v>195</v>
      </c>
      <c r="C61" s="11" t="s">
        <v>196</v>
      </c>
      <c r="D61" s="11" t="s">
        <v>184</v>
      </c>
      <c r="E61" s="12" t="s">
        <v>197</v>
      </c>
      <c r="F61" s="5"/>
      <c r="G61" s="5"/>
      <c r="H61" s="5"/>
      <c r="I61" s="5"/>
      <c r="J61" s="5"/>
      <c r="K61" s="6">
        <f t="shared" si="0"/>
        <v>0</v>
      </c>
      <c r="M61" t="str">
        <f>VLOOKUP(B61,'[2]TABULADOR ok'!$A$2:$I$424,7,FALSE)</f>
        <v>T9</v>
      </c>
      <c r="N61" t="str">
        <f>VLOOKUP(B61,'[2]TABULADOR ok'!$A$2:$I$424,8,FALSE)</f>
        <v>T03851</v>
      </c>
      <c r="O61">
        <f>VLOOKUP(B61,'[2]TABULADOR ok'!$A$2:$I$424,9,FALSE)</f>
        <v>95</v>
      </c>
    </row>
    <row r="62" spans="1:15" x14ac:dyDescent="0.25">
      <c r="A62" s="4">
        <v>2023</v>
      </c>
      <c r="B62" s="11" t="s">
        <v>198</v>
      </c>
      <c r="C62" s="11" t="s">
        <v>199</v>
      </c>
      <c r="D62" s="11" t="s">
        <v>184</v>
      </c>
      <c r="E62" s="12" t="s">
        <v>200</v>
      </c>
      <c r="F62" s="5"/>
      <c r="G62" s="5"/>
      <c r="H62" s="5"/>
      <c r="I62" s="5"/>
      <c r="J62" s="5"/>
      <c r="K62" s="6">
        <f t="shared" si="0"/>
        <v>0</v>
      </c>
      <c r="M62" t="str">
        <f>VLOOKUP(B62,'[2]TABULADOR ok'!$A$2:$I$424,7,FALSE)</f>
        <v>T9</v>
      </c>
      <c r="N62" t="str">
        <f>VLOOKUP(B62,'[2]TABULADOR ok'!$A$2:$I$424,8,FALSE)</f>
        <v>T03855</v>
      </c>
      <c r="O62">
        <f>VLOOKUP(B62,'[2]TABULADOR ok'!$A$2:$I$424,9,FALSE)</f>
        <v>95</v>
      </c>
    </row>
    <row r="63" spans="1:15" x14ac:dyDescent="0.25">
      <c r="A63" s="4">
        <v>2023</v>
      </c>
      <c r="B63" s="11" t="s">
        <v>201</v>
      </c>
      <c r="C63" s="11" t="s">
        <v>202</v>
      </c>
      <c r="D63" s="11" t="s">
        <v>184</v>
      </c>
      <c r="E63" s="12" t="s">
        <v>203</v>
      </c>
      <c r="F63" s="5"/>
      <c r="G63" s="5"/>
      <c r="H63" s="5"/>
      <c r="I63" s="5"/>
      <c r="J63" s="5"/>
      <c r="K63" s="6">
        <f t="shared" si="0"/>
        <v>0</v>
      </c>
      <c r="M63" t="str">
        <f>VLOOKUP(B63,'[2]TABULADOR ok'!$A$2:$I$424,7,FALSE)</f>
        <v>T9</v>
      </c>
      <c r="N63" t="str">
        <f>VLOOKUP(B63,'[2]TABULADOR ok'!$A$2:$I$424,8,FALSE)</f>
        <v>T04873</v>
      </c>
      <c r="O63">
        <f>VLOOKUP(B63,'[2]TABULADOR ok'!$A$2:$I$424,9,FALSE)</f>
        <v>95</v>
      </c>
    </row>
    <row r="64" spans="1:15" x14ac:dyDescent="0.25">
      <c r="A64" s="4">
        <v>2023</v>
      </c>
      <c r="B64" s="11" t="s">
        <v>204</v>
      </c>
      <c r="C64" s="11" t="s">
        <v>205</v>
      </c>
      <c r="D64" s="11" t="s">
        <v>184</v>
      </c>
      <c r="E64" s="12" t="s">
        <v>206</v>
      </c>
      <c r="F64" s="5"/>
      <c r="G64" s="5"/>
      <c r="H64" s="5"/>
      <c r="I64" s="5"/>
      <c r="J64" s="5"/>
      <c r="K64" s="6">
        <f t="shared" si="0"/>
        <v>0</v>
      </c>
      <c r="M64" t="str">
        <f>VLOOKUP(B64,'[2]TABULADOR ok'!$A$2:$I$424,7,FALSE)</f>
        <v>T9</v>
      </c>
      <c r="N64" t="str">
        <f>VLOOKUP(B64,'[2]TABULADOR ok'!$A$2:$I$424,8,FALSE)</f>
        <v>T14007</v>
      </c>
      <c r="O64">
        <f>VLOOKUP(B64,'[2]TABULADOR ok'!$A$2:$I$424,9,FALSE)</f>
        <v>95</v>
      </c>
    </row>
    <row r="65" spans="1:15" x14ac:dyDescent="0.25">
      <c r="A65" s="4">
        <v>2023</v>
      </c>
      <c r="B65" s="11" t="s">
        <v>207</v>
      </c>
      <c r="C65" s="11" t="s">
        <v>208</v>
      </c>
      <c r="D65" s="11" t="s">
        <v>184</v>
      </c>
      <c r="E65" s="12" t="s">
        <v>209</v>
      </c>
      <c r="F65" s="5"/>
      <c r="G65" s="5"/>
      <c r="H65" s="5"/>
      <c r="I65" s="5"/>
      <c r="J65" s="5"/>
      <c r="K65" s="6">
        <f t="shared" si="0"/>
        <v>0</v>
      </c>
      <c r="M65" t="str">
        <f>VLOOKUP(B65,'[2]TABULADOR ok'!$A$2:$I$424,7,FALSE)</f>
        <v>T9</v>
      </c>
      <c r="N65" t="str">
        <f>VLOOKUP(B65,'[2]TABULADOR ok'!$A$2:$I$424,8,FALSE)</f>
        <v>T26806</v>
      </c>
      <c r="O65">
        <f>VLOOKUP(B65,'[2]TABULADOR ok'!$A$2:$I$424,9,FALSE)</f>
        <v>95</v>
      </c>
    </row>
    <row r="66" spans="1:15" x14ac:dyDescent="0.25">
      <c r="A66" s="7">
        <v>2022</v>
      </c>
      <c r="B66" s="8" t="s">
        <v>10</v>
      </c>
      <c r="C66" s="8" t="s">
        <v>11</v>
      </c>
      <c r="D66" s="8" t="s">
        <v>12</v>
      </c>
      <c r="E66" s="9" t="s">
        <v>13</v>
      </c>
      <c r="F66" s="10">
        <f>VLOOKUP(D66,[1]ATM!$A$91:$G$175,5,FALSE)</f>
        <v>9249.7999999999993</v>
      </c>
      <c r="G66" s="10">
        <f>VLOOKUP(D66,[1]ATM!$A$91:$G$175,7,FALSE)</f>
        <v>459.35</v>
      </c>
      <c r="H66" s="10">
        <v>1440</v>
      </c>
      <c r="I66" s="10">
        <v>80</v>
      </c>
      <c r="J66" s="10">
        <v>350</v>
      </c>
      <c r="K66" s="6">
        <f>SUM(F66:J66)</f>
        <v>11579.15</v>
      </c>
      <c r="M66" t="str">
        <f>VLOOKUP(B66,'[2]TABULADOR ok'!$A$2:$I$424,7,FALSE)</f>
        <v>T1</v>
      </c>
      <c r="N66" t="str">
        <f>VLOOKUP(B66,'[2]TABULADOR ok'!$A$2:$I$424,8,FALSE)</f>
        <v>S01893</v>
      </c>
      <c r="O66">
        <f>VLOOKUP(B66,'[2]TABULADOR ok'!$A$2:$I$424,9,FALSE)</f>
        <v>95</v>
      </c>
    </row>
    <row r="67" spans="1:15" x14ac:dyDescent="0.25">
      <c r="A67" s="7">
        <v>2022</v>
      </c>
      <c r="B67" s="8" t="s">
        <v>14</v>
      </c>
      <c r="C67" s="8" t="s">
        <v>15</v>
      </c>
      <c r="D67" s="8" t="s">
        <v>16</v>
      </c>
      <c r="E67" s="9" t="s">
        <v>17</v>
      </c>
      <c r="F67" s="10">
        <f>VLOOKUP(D67,[1]ATM!$A$91:$G$175,5,FALSE)</f>
        <v>9685.5499999999993</v>
      </c>
      <c r="G67" s="10">
        <f>VLOOKUP(D67,[1]ATM!$A$91:$G$175,7,FALSE)</f>
        <v>463.6</v>
      </c>
      <c r="H67" s="10">
        <v>1440</v>
      </c>
      <c r="I67" s="10">
        <v>80</v>
      </c>
      <c r="J67" s="10">
        <v>350</v>
      </c>
      <c r="K67" s="6">
        <f t="shared" ref="K67:K129" si="1">SUM(F67:J67)</f>
        <v>12019.15</v>
      </c>
      <c r="M67" t="str">
        <f>VLOOKUP(B67,'[2]TABULADOR ok'!$A$2:$I$424,7,FALSE)</f>
        <v>T2</v>
      </c>
      <c r="N67" t="str">
        <f>VLOOKUP(B67,'[2]TABULADOR ok'!$A$2:$I$424,8,FALSE)</f>
        <v>S01891</v>
      </c>
      <c r="O67">
        <f>VLOOKUP(B67,'[2]TABULADOR ok'!$A$2:$I$424,9,FALSE)</f>
        <v>95</v>
      </c>
    </row>
    <row r="68" spans="1:15" x14ac:dyDescent="0.25">
      <c r="A68" s="7">
        <v>2022</v>
      </c>
      <c r="B68" s="8" t="s">
        <v>18</v>
      </c>
      <c r="C68" s="8" t="s">
        <v>19</v>
      </c>
      <c r="D68" s="8" t="s">
        <v>16</v>
      </c>
      <c r="E68" s="9" t="s">
        <v>20</v>
      </c>
      <c r="F68" s="10">
        <f>VLOOKUP(D68,[1]ATM!$A$91:$G$175,5,FALSE)</f>
        <v>9685.5499999999993</v>
      </c>
      <c r="G68" s="10">
        <f>VLOOKUP(D68,[1]ATM!$A$91:$G$175,7,FALSE)</f>
        <v>463.6</v>
      </c>
      <c r="H68" s="10">
        <v>1440</v>
      </c>
      <c r="I68" s="10">
        <v>80</v>
      </c>
      <c r="J68" s="10">
        <v>350</v>
      </c>
      <c r="K68" s="6">
        <f t="shared" si="1"/>
        <v>12019.15</v>
      </c>
      <c r="M68" t="str">
        <f>VLOOKUP(B68,'[2]TABULADOR ok'!$A$2:$I$424,7,FALSE)</f>
        <v>T2</v>
      </c>
      <c r="N68" t="str">
        <f>VLOOKUP(B68,'[2]TABULADOR ok'!$A$2:$I$424,8,FALSE)</f>
        <v>S03833</v>
      </c>
      <c r="O68">
        <f>VLOOKUP(B68,'[2]TABULADOR ok'!$A$2:$I$424,9,FALSE)</f>
        <v>95</v>
      </c>
    </row>
    <row r="69" spans="1:15" x14ac:dyDescent="0.25">
      <c r="A69" s="7">
        <v>2022</v>
      </c>
      <c r="B69" s="8" t="s">
        <v>21</v>
      </c>
      <c r="C69" s="8" t="s">
        <v>22</v>
      </c>
      <c r="D69" s="8" t="s">
        <v>16</v>
      </c>
      <c r="E69" s="9" t="s">
        <v>23</v>
      </c>
      <c r="F69" s="10">
        <f>VLOOKUP(D69,[1]ATM!$A$91:$G$175,5,FALSE)</f>
        <v>9685.5499999999993</v>
      </c>
      <c r="G69" s="10">
        <f>VLOOKUP(D69,[1]ATM!$A$91:$G$175,7,FALSE)</f>
        <v>463.6</v>
      </c>
      <c r="H69" s="10">
        <v>1440</v>
      </c>
      <c r="I69" s="10">
        <v>80</v>
      </c>
      <c r="J69" s="10">
        <v>350</v>
      </c>
      <c r="K69" s="6">
        <f t="shared" si="1"/>
        <v>12019.15</v>
      </c>
      <c r="M69" t="str">
        <f>VLOOKUP(B69,'[2]TABULADOR ok'!$A$2:$I$424,7,FALSE)</f>
        <v>T2</v>
      </c>
      <c r="N69" t="str">
        <f>VLOOKUP(B69,'[2]TABULADOR ok'!$A$2:$I$424,8,FALSE)</f>
        <v>S12091</v>
      </c>
      <c r="O69">
        <f>VLOOKUP(B69,'[2]TABULADOR ok'!$A$2:$I$424,9,FALSE)</f>
        <v>95</v>
      </c>
    </row>
    <row r="70" spans="1:15" x14ac:dyDescent="0.25">
      <c r="A70" s="7">
        <v>2022</v>
      </c>
      <c r="B70" s="8" t="s">
        <v>24</v>
      </c>
      <c r="C70" s="8" t="s">
        <v>24</v>
      </c>
      <c r="D70" s="8" t="s">
        <v>25</v>
      </c>
      <c r="E70" s="9" t="s">
        <v>26</v>
      </c>
      <c r="F70" s="10">
        <f>VLOOKUP(D70,[1]ATM!$A$91:$G$175,5,FALSE)</f>
        <v>10137.299999999999</v>
      </c>
      <c r="G70" s="10">
        <f>VLOOKUP(D70,[1]ATM!$A$91:$G$175,7,FALSE)</f>
        <v>467.95</v>
      </c>
      <c r="H70" s="10">
        <v>1440</v>
      </c>
      <c r="I70" s="10">
        <v>80</v>
      </c>
      <c r="J70" s="10">
        <v>350</v>
      </c>
      <c r="K70" s="6">
        <f t="shared" si="1"/>
        <v>12475.25</v>
      </c>
      <c r="M70" t="str">
        <f>VLOOKUP(B70,'[2]TABULADOR ok'!$A$2:$I$424,7,FALSE)</f>
        <v>T3</v>
      </c>
      <c r="N70" t="str">
        <f>VLOOKUP(B70,'[2]TABULADOR ok'!$A$2:$I$424,8,FALSE)</f>
        <v>A01023</v>
      </c>
      <c r="O70">
        <f>VLOOKUP(B70,'[2]TABULADOR ok'!$A$2:$I$424,9,FALSE)</f>
        <v>95</v>
      </c>
    </row>
    <row r="71" spans="1:15" x14ac:dyDescent="0.25">
      <c r="A71" s="7">
        <v>2022</v>
      </c>
      <c r="B71" s="8" t="s">
        <v>27</v>
      </c>
      <c r="C71" s="8" t="s">
        <v>28</v>
      </c>
      <c r="D71" s="8" t="s">
        <v>25</v>
      </c>
      <c r="E71" s="9" t="s">
        <v>29</v>
      </c>
      <c r="F71" s="10">
        <f>VLOOKUP(D71,[1]ATM!$A$91:$G$175,5,FALSE)</f>
        <v>10137.299999999999</v>
      </c>
      <c r="G71" s="10">
        <f>VLOOKUP(D71,[1]ATM!$A$91:$G$175,7,FALSE)</f>
        <v>467.95</v>
      </c>
      <c r="H71" s="10">
        <v>1440</v>
      </c>
      <c r="I71" s="10">
        <v>80</v>
      </c>
      <c r="J71" s="10">
        <v>350</v>
      </c>
      <c r="K71" s="6">
        <f t="shared" si="1"/>
        <v>12475.25</v>
      </c>
      <c r="M71" t="str">
        <f>VLOOKUP(B71,'[2]TABULADOR ok'!$A$2:$I$424,7,FALSE)</f>
        <v>T3</v>
      </c>
      <c r="N71" t="str">
        <f>VLOOKUP(B71,'[2]TABULADOR ok'!$A$2:$I$424,8,FALSE)</f>
        <v>A01040</v>
      </c>
      <c r="O71">
        <f>VLOOKUP(B71,'[2]TABULADOR ok'!$A$2:$I$424,9,FALSE)</f>
        <v>95</v>
      </c>
    </row>
    <row r="72" spans="1:15" x14ac:dyDescent="0.25">
      <c r="A72" s="7">
        <v>2022</v>
      </c>
      <c r="B72" s="8" t="s">
        <v>30</v>
      </c>
      <c r="C72" s="8" t="s">
        <v>31</v>
      </c>
      <c r="D72" s="8" t="s">
        <v>25</v>
      </c>
      <c r="E72" s="9" t="s">
        <v>32</v>
      </c>
      <c r="F72" s="10">
        <f>VLOOKUP(D72,[1]ATM!$A$91:$G$175,5,FALSE)</f>
        <v>10137.299999999999</v>
      </c>
      <c r="G72" s="10">
        <f>VLOOKUP(D72,[1]ATM!$A$91:$G$175,7,FALSE)</f>
        <v>467.95</v>
      </c>
      <c r="H72" s="10">
        <v>1440</v>
      </c>
      <c r="I72" s="10">
        <v>80</v>
      </c>
      <c r="J72" s="10">
        <v>350</v>
      </c>
      <c r="K72" s="6">
        <f t="shared" si="1"/>
        <v>12475.25</v>
      </c>
      <c r="M72" t="str">
        <f>VLOOKUP(B72,'[2]TABULADOR ok'!$A$2:$I$424,7,FALSE)</f>
        <v>T3</v>
      </c>
      <c r="N72" t="str">
        <f>VLOOKUP(B72,'[2]TABULADOR ok'!$A$2:$I$424,8,FALSE)</f>
        <v>A02813</v>
      </c>
      <c r="O72">
        <f>VLOOKUP(B72,'[2]TABULADOR ok'!$A$2:$I$424,9,FALSE)</f>
        <v>95</v>
      </c>
    </row>
    <row r="73" spans="1:15" x14ac:dyDescent="0.25">
      <c r="A73" s="7">
        <v>2022</v>
      </c>
      <c r="B73" s="8" t="s">
        <v>33</v>
      </c>
      <c r="C73" s="8" t="s">
        <v>34</v>
      </c>
      <c r="D73" s="8" t="s">
        <v>25</v>
      </c>
      <c r="E73" s="9" t="s">
        <v>35</v>
      </c>
      <c r="F73" s="10">
        <f>VLOOKUP(D73,[1]ATM!$A$91:$G$175,5,FALSE)</f>
        <v>10137.299999999999</v>
      </c>
      <c r="G73" s="10">
        <f>VLOOKUP(D73,[1]ATM!$A$91:$G$175,7,FALSE)</f>
        <v>467.95</v>
      </c>
      <c r="H73" s="10">
        <v>1440</v>
      </c>
      <c r="I73" s="10">
        <v>80</v>
      </c>
      <c r="J73" s="10">
        <v>350</v>
      </c>
      <c r="K73" s="6">
        <f t="shared" si="1"/>
        <v>12475.25</v>
      </c>
      <c r="M73" t="str">
        <f>VLOOKUP(B73,'[2]TABULADOR ok'!$A$2:$I$424,7,FALSE)</f>
        <v>T3</v>
      </c>
      <c r="N73" t="str">
        <f>VLOOKUP(B73,'[2]TABULADOR ok'!$A$2:$I$424,8,FALSE)</f>
        <v>A03832</v>
      </c>
      <c r="O73">
        <f>VLOOKUP(B73,'[2]TABULADOR ok'!$A$2:$I$424,9,FALSE)</f>
        <v>95</v>
      </c>
    </row>
    <row r="74" spans="1:15" x14ac:dyDescent="0.25">
      <c r="A74" s="7">
        <v>2022</v>
      </c>
      <c r="B74" s="8" t="s">
        <v>36</v>
      </c>
      <c r="C74" s="8" t="s">
        <v>37</v>
      </c>
      <c r="D74" s="8" t="s">
        <v>25</v>
      </c>
      <c r="E74" s="9" t="s">
        <v>38</v>
      </c>
      <c r="F74" s="10">
        <f>VLOOKUP(D74,[1]ATM!$A$91:$G$175,5,FALSE)</f>
        <v>10137.299999999999</v>
      </c>
      <c r="G74" s="10">
        <f>VLOOKUP(D74,[1]ATM!$A$91:$G$175,7,FALSE)</f>
        <v>467.95</v>
      </c>
      <c r="H74" s="10">
        <v>1440</v>
      </c>
      <c r="I74" s="10">
        <v>80</v>
      </c>
      <c r="J74" s="10">
        <v>350</v>
      </c>
      <c r="K74" s="6">
        <f t="shared" si="1"/>
        <v>12475.25</v>
      </c>
      <c r="M74" t="str">
        <f>VLOOKUP(B74,'[2]TABULADOR ok'!$A$2:$I$424,7,FALSE)</f>
        <v>T3</v>
      </c>
      <c r="N74" t="str">
        <f>VLOOKUP(B74,'[2]TABULADOR ok'!$A$2:$I$424,8,FALSE)</f>
        <v>A05012</v>
      </c>
      <c r="O74">
        <f>VLOOKUP(B74,'[2]TABULADOR ok'!$A$2:$I$424,9,FALSE)</f>
        <v>95</v>
      </c>
    </row>
    <row r="75" spans="1:15" x14ac:dyDescent="0.25">
      <c r="A75" s="7">
        <v>2022</v>
      </c>
      <c r="B75" s="8" t="s">
        <v>39</v>
      </c>
      <c r="C75" s="8" t="s">
        <v>40</v>
      </c>
      <c r="D75" s="8" t="s">
        <v>25</v>
      </c>
      <c r="E75" s="9" t="s">
        <v>41</v>
      </c>
      <c r="F75" s="10">
        <f>VLOOKUP(D75,[1]ATM!$A$91:$G$175,5,FALSE)</f>
        <v>10137.299999999999</v>
      </c>
      <c r="G75" s="10">
        <f>VLOOKUP(D75,[1]ATM!$A$91:$G$175,7,FALSE)</f>
        <v>467.95</v>
      </c>
      <c r="H75" s="10">
        <v>1440</v>
      </c>
      <c r="I75" s="10">
        <v>80</v>
      </c>
      <c r="J75" s="10">
        <v>350</v>
      </c>
      <c r="K75" s="6">
        <f t="shared" si="1"/>
        <v>12475.25</v>
      </c>
      <c r="M75" t="str">
        <f>VLOOKUP(B75,'[2]TABULADOR ok'!$A$2:$I$424,7,FALSE)</f>
        <v>T3</v>
      </c>
      <c r="N75" t="str">
        <f>VLOOKUP(B75,'[2]TABULADOR ok'!$A$2:$I$424,8,FALSE)</f>
        <v>S01890</v>
      </c>
      <c r="O75">
        <f>VLOOKUP(B75,'[2]TABULADOR ok'!$A$2:$I$424,9,FALSE)</f>
        <v>95</v>
      </c>
    </row>
    <row r="76" spans="1:15" x14ac:dyDescent="0.25">
      <c r="A76" s="7">
        <v>2022</v>
      </c>
      <c r="B76" s="8" t="s">
        <v>42</v>
      </c>
      <c r="C76" s="8" t="s">
        <v>43</v>
      </c>
      <c r="D76" s="8" t="s">
        <v>25</v>
      </c>
      <c r="E76" s="9" t="s">
        <v>44</v>
      </c>
      <c r="F76" s="10">
        <f>VLOOKUP(D76,[1]ATM!$A$91:$G$175,5,FALSE)</f>
        <v>10137.299999999999</v>
      </c>
      <c r="G76" s="10">
        <f>VLOOKUP(D76,[1]ATM!$A$91:$G$175,7,FALSE)</f>
        <v>467.95</v>
      </c>
      <c r="H76" s="10">
        <v>1440</v>
      </c>
      <c r="I76" s="10">
        <v>80</v>
      </c>
      <c r="J76" s="10">
        <v>350</v>
      </c>
      <c r="K76" s="6">
        <f t="shared" si="1"/>
        <v>12475.25</v>
      </c>
      <c r="M76" t="str">
        <f>VLOOKUP(B76,'[2]TABULADOR ok'!$A$2:$I$424,7,FALSE)</f>
        <v>T3</v>
      </c>
      <c r="N76" t="str">
        <f>VLOOKUP(B76,'[2]TABULADOR ok'!$A$2:$I$424,8,FALSE)</f>
        <v>S01894</v>
      </c>
      <c r="O76">
        <f>VLOOKUP(B76,'[2]TABULADOR ok'!$A$2:$I$424,9,FALSE)</f>
        <v>95</v>
      </c>
    </row>
    <row r="77" spans="1:15" x14ac:dyDescent="0.25">
      <c r="A77" s="7">
        <v>2022</v>
      </c>
      <c r="B77" s="8" t="s">
        <v>45</v>
      </c>
      <c r="C77" s="8" t="s">
        <v>46</v>
      </c>
      <c r="D77" s="8" t="s">
        <v>47</v>
      </c>
      <c r="E77" s="9" t="s">
        <v>48</v>
      </c>
      <c r="F77" s="10">
        <f>VLOOKUP(D77,[1]ATM!$A$91:$G$175,5,FALSE)</f>
        <v>11111.75</v>
      </c>
      <c r="G77" s="10">
        <f>VLOOKUP(D77,[1]ATM!$A$91:$G$175,7,FALSE)</f>
        <v>507.35</v>
      </c>
      <c r="H77" s="10">
        <v>1440</v>
      </c>
      <c r="I77" s="10">
        <v>80</v>
      </c>
      <c r="J77" s="10">
        <v>350</v>
      </c>
      <c r="K77" s="6">
        <f t="shared" si="1"/>
        <v>13489.1</v>
      </c>
      <c r="M77" t="str">
        <f>VLOOKUP(B77,'[2]TABULADOR ok'!$A$2:$I$424,7,FALSE)</f>
        <v>T4</v>
      </c>
      <c r="N77" t="str">
        <f>VLOOKUP(B77,'[2]TABULADOR ok'!$A$2:$I$424,8,FALSE)</f>
        <v>A03841</v>
      </c>
      <c r="O77">
        <f>VLOOKUP(B77,'[2]TABULADOR ok'!$A$2:$I$424,9,FALSE)</f>
        <v>95</v>
      </c>
    </row>
    <row r="78" spans="1:15" x14ac:dyDescent="0.25">
      <c r="A78" s="7">
        <v>2022</v>
      </c>
      <c r="B78" s="8" t="s">
        <v>49</v>
      </c>
      <c r="C78" s="8" t="s">
        <v>50</v>
      </c>
      <c r="D78" s="8" t="s">
        <v>47</v>
      </c>
      <c r="E78" s="9" t="s">
        <v>51</v>
      </c>
      <c r="F78" s="10">
        <f>VLOOKUP(D78,[1]ATM!$A$91:$G$175,5,FALSE)</f>
        <v>11111.75</v>
      </c>
      <c r="G78" s="10">
        <f>VLOOKUP(D78,[1]ATM!$A$91:$G$175,7,FALSE)</f>
        <v>507.35</v>
      </c>
      <c r="H78" s="10">
        <v>1440</v>
      </c>
      <c r="I78" s="10">
        <v>80</v>
      </c>
      <c r="J78" s="10">
        <v>350</v>
      </c>
      <c r="K78" s="6">
        <f t="shared" si="1"/>
        <v>13489.1</v>
      </c>
      <c r="M78" t="str">
        <f>VLOOKUP(B78,'[2]TABULADOR ok'!$A$2:$I$424,7,FALSE)</f>
        <v>T4</v>
      </c>
      <c r="N78" t="str">
        <f>VLOOKUP(B78,'[2]TABULADOR ok'!$A$2:$I$424,8,FALSE)</f>
        <v>C02810</v>
      </c>
      <c r="O78">
        <f>VLOOKUP(B78,'[2]TABULADOR ok'!$A$2:$I$424,9,FALSE)</f>
        <v>95</v>
      </c>
    </row>
    <row r="79" spans="1:15" x14ac:dyDescent="0.25">
      <c r="A79" s="7">
        <v>2022</v>
      </c>
      <c r="B79" s="8" t="s">
        <v>52</v>
      </c>
      <c r="C79" s="8" t="s">
        <v>53</v>
      </c>
      <c r="D79" s="8" t="s">
        <v>47</v>
      </c>
      <c r="E79" s="9" t="s">
        <v>54</v>
      </c>
      <c r="F79" s="10">
        <f>VLOOKUP(D79,[1]ATM!$A$91:$G$175,5,FALSE)</f>
        <v>11111.75</v>
      </c>
      <c r="G79" s="10">
        <f>VLOOKUP(D79,[1]ATM!$A$91:$G$175,7,FALSE)</f>
        <v>507.35</v>
      </c>
      <c r="H79" s="10">
        <v>1440</v>
      </c>
      <c r="I79" s="10">
        <v>80</v>
      </c>
      <c r="J79" s="10">
        <v>350</v>
      </c>
      <c r="K79" s="6">
        <f t="shared" si="1"/>
        <v>13489.1</v>
      </c>
      <c r="M79" t="str">
        <f>VLOOKUP(B79,'[2]TABULADOR ok'!$A$2:$I$424,7,FALSE)</f>
        <v>T4</v>
      </c>
      <c r="N79" t="str">
        <f>VLOOKUP(B79,'[2]TABULADOR ok'!$A$2:$I$424,8,FALSE)</f>
        <v>S01889</v>
      </c>
      <c r="O79">
        <f>VLOOKUP(B79,'[2]TABULADOR ok'!$A$2:$I$424,9,FALSE)</f>
        <v>95</v>
      </c>
    </row>
    <row r="80" spans="1:15" x14ac:dyDescent="0.25">
      <c r="A80" s="7">
        <v>2022</v>
      </c>
      <c r="B80" s="8" t="s">
        <v>55</v>
      </c>
      <c r="C80" s="8" t="s">
        <v>56</v>
      </c>
      <c r="D80" s="8" t="s">
        <v>47</v>
      </c>
      <c r="E80" s="9" t="s">
        <v>57</v>
      </c>
      <c r="F80" s="10">
        <f>VLOOKUP(D80,[1]ATM!$A$91:$G$175,5,FALSE)</f>
        <v>11111.75</v>
      </c>
      <c r="G80" s="10">
        <f>VLOOKUP(D80,[1]ATM!$A$91:$G$175,7,FALSE)</f>
        <v>507.35</v>
      </c>
      <c r="H80" s="10">
        <v>1440</v>
      </c>
      <c r="I80" s="10">
        <v>80</v>
      </c>
      <c r="J80" s="10">
        <v>350</v>
      </c>
      <c r="K80" s="6">
        <f t="shared" si="1"/>
        <v>13489.1</v>
      </c>
      <c r="M80" t="str">
        <f>VLOOKUP(B80,'[2]TABULADOR ok'!$A$2:$I$424,7,FALSE)</f>
        <v>T4</v>
      </c>
      <c r="N80" t="str">
        <f>VLOOKUP(B80,'[2]TABULADOR ok'!$A$2:$I$424,8,FALSE)</f>
        <v>S01895</v>
      </c>
      <c r="O80">
        <f>VLOOKUP(B80,'[2]TABULADOR ok'!$A$2:$I$424,9,FALSE)</f>
        <v>95</v>
      </c>
    </row>
    <row r="81" spans="1:15" x14ac:dyDescent="0.25">
      <c r="A81" s="7">
        <v>2022</v>
      </c>
      <c r="B81" s="8" t="s">
        <v>58</v>
      </c>
      <c r="C81" s="8" t="s">
        <v>59</v>
      </c>
      <c r="D81" s="8" t="s">
        <v>47</v>
      </c>
      <c r="E81" s="9" t="s">
        <v>60</v>
      </c>
      <c r="F81" s="10">
        <f>VLOOKUP(D81,[1]ATM!$A$91:$G$175,5,FALSE)</f>
        <v>11111.75</v>
      </c>
      <c r="G81" s="10">
        <f>VLOOKUP(D81,[1]ATM!$A$91:$G$175,7,FALSE)</f>
        <v>507.35</v>
      </c>
      <c r="H81" s="10">
        <v>1440</v>
      </c>
      <c r="I81" s="10">
        <v>80</v>
      </c>
      <c r="J81" s="10">
        <v>350</v>
      </c>
      <c r="K81" s="6">
        <f t="shared" si="1"/>
        <v>13489.1</v>
      </c>
      <c r="M81" t="str">
        <f>VLOOKUP(B81,'[2]TABULADOR ok'!$A$2:$I$424,7,FALSE)</f>
        <v>T4</v>
      </c>
      <c r="N81" t="str">
        <f>VLOOKUP(B81,'[2]TABULADOR ok'!$A$2:$I$424,8,FALSE)</f>
        <v>S03834</v>
      </c>
      <c r="O81">
        <f>VLOOKUP(B81,'[2]TABULADOR ok'!$A$2:$I$424,9,FALSE)</f>
        <v>95</v>
      </c>
    </row>
    <row r="82" spans="1:15" x14ac:dyDescent="0.25">
      <c r="A82" s="7">
        <v>2022</v>
      </c>
      <c r="B82" s="8" t="s">
        <v>61</v>
      </c>
      <c r="C82" s="8" t="s">
        <v>62</v>
      </c>
      <c r="D82" s="8" t="s">
        <v>47</v>
      </c>
      <c r="E82" s="9" t="s">
        <v>63</v>
      </c>
      <c r="F82" s="10">
        <f>VLOOKUP(D82,[1]ATM!$A$91:$G$175,5,FALSE)</f>
        <v>11111.75</v>
      </c>
      <c r="G82" s="10">
        <f>VLOOKUP(D82,[1]ATM!$A$91:$G$175,7,FALSE)</f>
        <v>507.35</v>
      </c>
      <c r="H82" s="10">
        <v>1440</v>
      </c>
      <c r="I82" s="10">
        <v>80</v>
      </c>
      <c r="J82" s="10">
        <v>350</v>
      </c>
      <c r="K82" s="6">
        <f t="shared" si="1"/>
        <v>13489.1</v>
      </c>
      <c r="M82" t="str">
        <f>VLOOKUP(B82,'[2]TABULADOR ok'!$A$2:$I$424,7,FALSE)</f>
        <v>T4</v>
      </c>
      <c r="N82" t="str">
        <f>VLOOKUP(B82,'[2]TABULADOR ok'!$A$2:$I$424,8,FALSE)</f>
        <v>S12020</v>
      </c>
      <c r="O82">
        <f>VLOOKUP(B82,'[2]TABULADOR ok'!$A$2:$I$424,9,FALSE)</f>
        <v>95</v>
      </c>
    </row>
    <row r="83" spans="1:15" x14ac:dyDescent="0.25">
      <c r="A83" s="7">
        <v>2022</v>
      </c>
      <c r="B83" s="8" t="s">
        <v>64</v>
      </c>
      <c r="C83" s="8" t="s">
        <v>65</v>
      </c>
      <c r="D83" s="8" t="s">
        <v>47</v>
      </c>
      <c r="E83" s="9" t="s">
        <v>66</v>
      </c>
      <c r="F83" s="10">
        <f>VLOOKUP(D83,[1]ATM!$A$91:$G$175,5,FALSE)</f>
        <v>11111.75</v>
      </c>
      <c r="G83" s="10">
        <f>VLOOKUP(D83,[1]ATM!$A$91:$G$175,7,FALSE)</f>
        <v>507.35</v>
      </c>
      <c r="H83" s="10">
        <v>1440</v>
      </c>
      <c r="I83" s="10">
        <v>80</v>
      </c>
      <c r="J83" s="10">
        <v>350</v>
      </c>
      <c r="K83" s="6">
        <f t="shared" si="1"/>
        <v>13489.1</v>
      </c>
      <c r="M83" t="str">
        <f>VLOOKUP(B83,'[2]TABULADOR ok'!$A$2:$I$424,7,FALSE)</f>
        <v>T4</v>
      </c>
      <c r="N83" t="str">
        <f>VLOOKUP(B83,'[2]TABULADOR ok'!$A$2:$I$424,8,FALSE)</f>
        <v>S12092</v>
      </c>
      <c r="O83">
        <f>VLOOKUP(B83,'[2]TABULADOR ok'!$A$2:$I$424,9,FALSE)</f>
        <v>95</v>
      </c>
    </row>
    <row r="84" spans="1:15" x14ac:dyDescent="0.25">
      <c r="A84" s="7">
        <v>2022</v>
      </c>
      <c r="B84" s="8" t="s">
        <v>67</v>
      </c>
      <c r="C84" s="8" t="s">
        <v>68</v>
      </c>
      <c r="D84" s="8" t="s">
        <v>47</v>
      </c>
      <c r="E84" s="9" t="s">
        <v>69</v>
      </c>
      <c r="F84" s="10">
        <f>VLOOKUP(D84,[1]ATM!$A$91:$G$175,5,FALSE)</f>
        <v>11111.75</v>
      </c>
      <c r="G84" s="10">
        <f>VLOOKUP(D84,[1]ATM!$A$91:$G$175,7,FALSE)</f>
        <v>507.35</v>
      </c>
      <c r="H84" s="10">
        <v>1440</v>
      </c>
      <c r="I84" s="10">
        <v>80</v>
      </c>
      <c r="J84" s="10">
        <v>350</v>
      </c>
      <c r="K84" s="6">
        <f t="shared" si="1"/>
        <v>13489.1</v>
      </c>
      <c r="M84" t="str">
        <f>VLOOKUP(B84,'[2]TABULADOR ok'!$A$2:$I$424,7,FALSE)</f>
        <v>T4</v>
      </c>
      <c r="N84" t="str">
        <f>VLOOKUP(B84,'[2]TABULADOR ok'!$A$2:$I$424,8,FALSE)</f>
        <v>S12093</v>
      </c>
      <c r="O84">
        <f>VLOOKUP(B84,'[2]TABULADOR ok'!$A$2:$I$424,9,FALSE)</f>
        <v>95</v>
      </c>
    </row>
    <row r="85" spans="1:15" x14ac:dyDescent="0.25">
      <c r="A85" s="7">
        <v>2022</v>
      </c>
      <c r="B85" s="8" t="s">
        <v>70</v>
      </c>
      <c r="C85" s="8" t="s">
        <v>71</v>
      </c>
      <c r="D85" s="8" t="s">
        <v>47</v>
      </c>
      <c r="E85" s="9" t="s">
        <v>72</v>
      </c>
      <c r="F85" s="10">
        <f>VLOOKUP(D85,[1]ATM!$A$91:$G$175,5,FALSE)</f>
        <v>11111.75</v>
      </c>
      <c r="G85" s="10">
        <f>VLOOKUP(D85,[1]ATM!$A$91:$G$175,7,FALSE)</f>
        <v>507.35</v>
      </c>
      <c r="H85" s="10">
        <v>1440</v>
      </c>
      <c r="I85" s="10">
        <v>80</v>
      </c>
      <c r="J85" s="10">
        <v>350</v>
      </c>
      <c r="K85" s="6">
        <f t="shared" si="1"/>
        <v>13489.1</v>
      </c>
      <c r="M85" t="str">
        <f>VLOOKUP(B85,'[2]TABULADOR ok'!$A$2:$I$424,7,FALSE)</f>
        <v>T4</v>
      </c>
      <c r="N85" t="str">
        <f>VLOOKUP(B85,'[2]TABULADOR ok'!$A$2:$I$424,8,FALSE)</f>
        <v>S12096</v>
      </c>
      <c r="O85">
        <f>VLOOKUP(B85,'[2]TABULADOR ok'!$A$2:$I$424,9,FALSE)</f>
        <v>95</v>
      </c>
    </row>
    <row r="86" spans="1:15" x14ac:dyDescent="0.25">
      <c r="A86" s="7">
        <v>2022</v>
      </c>
      <c r="B86" s="8" t="s">
        <v>73</v>
      </c>
      <c r="C86" s="8" t="s">
        <v>74</v>
      </c>
      <c r="D86" s="8" t="s">
        <v>47</v>
      </c>
      <c r="E86" s="9" t="s">
        <v>75</v>
      </c>
      <c r="F86" s="10">
        <f>VLOOKUP(D86,[1]ATM!$A$91:$G$175,5,FALSE)</f>
        <v>11111.75</v>
      </c>
      <c r="G86" s="10">
        <f>VLOOKUP(D86,[1]ATM!$A$91:$G$175,7,FALSE)</f>
        <v>507.35</v>
      </c>
      <c r="H86" s="10">
        <v>1440</v>
      </c>
      <c r="I86" s="10">
        <v>80</v>
      </c>
      <c r="J86" s="10">
        <v>350</v>
      </c>
      <c r="K86" s="6">
        <f t="shared" si="1"/>
        <v>13489.1</v>
      </c>
      <c r="M86" t="str">
        <f>VLOOKUP(B86,'[2]TABULADOR ok'!$A$2:$I$424,7,FALSE)</f>
        <v>T4</v>
      </c>
      <c r="N86" t="str">
        <f>VLOOKUP(B86,'[2]TABULADOR ok'!$A$2:$I$424,8,FALSE)</f>
        <v>S12097</v>
      </c>
      <c r="O86">
        <f>VLOOKUP(B86,'[2]TABULADOR ok'!$A$2:$I$424,9,FALSE)</f>
        <v>95</v>
      </c>
    </row>
    <row r="87" spans="1:15" x14ac:dyDescent="0.25">
      <c r="A87" s="7">
        <v>2022</v>
      </c>
      <c r="B87" s="8" t="s">
        <v>76</v>
      </c>
      <c r="C87" s="8" t="s">
        <v>77</v>
      </c>
      <c r="D87" s="8" t="s">
        <v>47</v>
      </c>
      <c r="E87" s="9" t="s">
        <v>78</v>
      </c>
      <c r="F87" s="10">
        <f>VLOOKUP(D87,[1]ATM!$A$91:$G$175,5,FALSE)</f>
        <v>11111.75</v>
      </c>
      <c r="G87" s="10">
        <f>VLOOKUP(D87,[1]ATM!$A$91:$G$175,7,FALSE)</f>
        <v>507.35</v>
      </c>
      <c r="H87" s="10">
        <v>1440</v>
      </c>
      <c r="I87" s="10">
        <v>80</v>
      </c>
      <c r="J87" s="10">
        <v>350</v>
      </c>
      <c r="K87" s="6">
        <f t="shared" si="1"/>
        <v>13489.1</v>
      </c>
      <c r="M87" t="str">
        <f>VLOOKUP(B87,'[2]TABULADOR ok'!$A$2:$I$424,7,FALSE)</f>
        <v>T4</v>
      </c>
      <c r="N87" t="str">
        <f>VLOOKUP(B87,'[2]TABULADOR ok'!$A$2:$I$424,8,FALSE)</f>
        <v>S12098</v>
      </c>
      <c r="O87">
        <f>VLOOKUP(B87,'[2]TABULADOR ok'!$A$2:$I$424,9,FALSE)</f>
        <v>95</v>
      </c>
    </row>
    <row r="88" spans="1:15" x14ac:dyDescent="0.25">
      <c r="A88" s="7">
        <v>2022</v>
      </c>
      <c r="B88" s="8" t="s">
        <v>79</v>
      </c>
      <c r="C88" s="8" t="s">
        <v>80</v>
      </c>
      <c r="D88" s="8" t="s">
        <v>47</v>
      </c>
      <c r="E88" s="9" t="s">
        <v>81</v>
      </c>
      <c r="F88" s="10">
        <f>VLOOKUP(D88,[1]ATM!$A$91:$G$175,5,FALSE)</f>
        <v>11111.75</v>
      </c>
      <c r="G88" s="10">
        <f>VLOOKUP(D88,[1]ATM!$A$91:$G$175,7,FALSE)</f>
        <v>507.35</v>
      </c>
      <c r="H88" s="10">
        <v>1440</v>
      </c>
      <c r="I88" s="10">
        <v>80</v>
      </c>
      <c r="J88" s="10">
        <v>350</v>
      </c>
      <c r="K88" s="6">
        <f t="shared" si="1"/>
        <v>13489.1</v>
      </c>
      <c r="M88" t="str">
        <f>VLOOKUP(B88,'[2]TABULADOR ok'!$A$2:$I$424,7,FALSE)</f>
        <v>T4</v>
      </c>
      <c r="N88" t="str">
        <f>VLOOKUP(B88,'[2]TABULADOR ok'!$A$2:$I$424,8,FALSE)</f>
        <v>T06824</v>
      </c>
      <c r="O88">
        <f>VLOOKUP(B88,'[2]TABULADOR ok'!$A$2:$I$424,9,FALSE)</f>
        <v>95</v>
      </c>
    </row>
    <row r="89" spans="1:15" x14ac:dyDescent="0.25">
      <c r="A89" s="7">
        <v>2022</v>
      </c>
      <c r="B89" s="8" t="s">
        <v>82</v>
      </c>
      <c r="C89" s="8" t="s">
        <v>83</v>
      </c>
      <c r="D89" s="8" t="s">
        <v>84</v>
      </c>
      <c r="E89" s="9" t="s">
        <v>85</v>
      </c>
      <c r="F89" s="10">
        <f>VLOOKUP(D89,[1]ATM!$A$91:$G$175,5,FALSE)</f>
        <v>12225.95</v>
      </c>
      <c r="G89" s="10">
        <f>VLOOKUP(D89,[1]ATM!$A$91:$G$175,7,FALSE)</f>
        <v>458.15</v>
      </c>
      <c r="H89" s="10">
        <v>1440</v>
      </c>
      <c r="I89" s="10">
        <v>80</v>
      </c>
      <c r="J89" s="10">
        <v>350</v>
      </c>
      <c r="K89" s="6">
        <f t="shared" si="1"/>
        <v>14554.1</v>
      </c>
      <c r="M89" t="str">
        <f>VLOOKUP(B89,'[2]TABULADOR ok'!$A$2:$I$424,7,FALSE)</f>
        <v>T5</v>
      </c>
      <c r="N89" t="str">
        <f>VLOOKUP(B89,'[2]TABULADOR ok'!$A$2:$I$424,8,FALSE)</f>
        <v>A01038</v>
      </c>
      <c r="O89">
        <f>VLOOKUP(B89,'[2]TABULADOR ok'!$A$2:$I$424,9,FALSE)</f>
        <v>95</v>
      </c>
    </row>
    <row r="90" spans="1:15" x14ac:dyDescent="0.25">
      <c r="A90" s="7">
        <v>2022</v>
      </c>
      <c r="B90" s="8" t="s">
        <v>86</v>
      </c>
      <c r="C90" s="8" t="s">
        <v>87</v>
      </c>
      <c r="D90" s="8" t="s">
        <v>84</v>
      </c>
      <c r="E90" s="9" t="s">
        <v>88</v>
      </c>
      <c r="F90" s="10">
        <f>VLOOKUP(D90,[1]ATM!$A$91:$G$175,5,FALSE)</f>
        <v>12225.95</v>
      </c>
      <c r="G90" s="10">
        <f>VLOOKUP(D90,[1]ATM!$A$91:$G$175,7,FALSE)</f>
        <v>458.15</v>
      </c>
      <c r="H90" s="10">
        <v>1440</v>
      </c>
      <c r="I90" s="10">
        <v>80</v>
      </c>
      <c r="J90" s="10">
        <v>350</v>
      </c>
      <c r="K90" s="6">
        <f t="shared" si="1"/>
        <v>14554.1</v>
      </c>
      <c r="M90" t="str">
        <f>VLOOKUP(B90,'[2]TABULADOR ok'!$A$2:$I$424,7,FALSE)</f>
        <v>T5</v>
      </c>
      <c r="N90" t="str">
        <f>VLOOKUP(B90,'[2]TABULADOR ok'!$A$2:$I$424,8,FALSE)</f>
        <v>A03840</v>
      </c>
      <c r="O90">
        <f>VLOOKUP(B90,'[2]TABULADOR ok'!$A$2:$I$424,9,FALSE)</f>
        <v>95</v>
      </c>
    </row>
    <row r="91" spans="1:15" x14ac:dyDescent="0.25">
      <c r="A91" s="7">
        <v>2022</v>
      </c>
      <c r="B91" s="8" t="s">
        <v>89</v>
      </c>
      <c r="C91" s="8" t="s">
        <v>90</v>
      </c>
      <c r="D91" s="8" t="s">
        <v>84</v>
      </c>
      <c r="E91" s="9" t="s">
        <v>91</v>
      </c>
      <c r="F91" s="10">
        <f>VLOOKUP(D91,[1]ATM!$A$91:$G$175,5,FALSE)</f>
        <v>12225.95</v>
      </c>
      <c r="G91" s="10">
        <f>VLOOKUP(D91,[1]ATM!$A$91:$G$175,7,FALSE)</f>
        <v>458.15</v>
      </c>
      <c r="H91" s="10">
        <v>1440</v>
      </c>
      <c r="I91" s="10">
        <v>80</v>
      </c>
      <c r="J91" s="10">
        <v>350</v>
      </c>
      <c r="K91" s="6">
        <f t="shared" si="1"/>
        <v>14554.1</v>
      </c>
      <c r="M91" t="str">
        <f>VLOOKUP(B91,'[2]TABULADOR ok'!$A$2:$I$424,7,FALSE)</f>
        <v>T5</v>
      </c>
      <c r="N91" t="str">
        <f>VLOOKUP(B91,'[2]TABULADOR ok'!$A$2:$I$424,8,FALSE)</f>
        <v>A05011</v>
      </c>
      <c r="O91">
        <f>VLOOKUP(B91,'[2]TABULADOR ok'!$A$2:$I$424,9,FALSE)</f>
        <v>95</v>
      </c>
    </row>
    <row r="92" spans="1:15" x14ac:dyDescent="0.25">
      <c r="A92" s="7">
        <v>2022</v>
      </c>
      <c r="B92" s="8" t="s">
        <v>92</v>
      </c>
      <c r="C92" s="8" t="s">
        <v>93</v>
      </c>
      <c r="D92" s="8" t="s">
        <v>84</v>
      </c>
      <c r="E92" s="9" t="s">
        <v>94</v>
      </c>
      <c r="F92" s="10">
        <f>VLOOKUP(D92,[1]ATM!$A$91:$G$175,5,FALSE)</f>
        <v>12225.95</v>
      </c>
      <c r="G92" s="10">
        <f>VLOOKUP(D92,[1]ATM!$A$91:$G$175,7,FALSE)</f>
        <v>458.15</v>
      </c>
      <c r="H92" s="10">
        <v>1440</v>
      </c>
      <c r="I92" s="10">
        <v>80</v>
      </c>
      <c r="J92" s="10">
        <v>350</v>
      </c>
      <c r="K92" s="6">
        <f t="shared" si="1"/>
        <v>14554.1</v>
      </c>
      <c r="M92" t="str">
        <f>VLOOKUP(B92,'[2]TABULADOR ok'!$A$2:$I$424,7,FALSE)</f>
        <v>T5</v>
      </c>
      <c r="N92" t="str">
        <f>VLOOKUP(B92,'[2]TABULADOR ok'!$A$2:$I$424,8,FALSE)</f>
        <v>S01892</v>
      </c>
      <c r="O92">
        <f>VLOOKUP(B92,'[2]TABULADOR ok'!$A$2:$I$424,9,FALSE)</f>
        <v>95</v>
      </c>
    </row>
    <row r="93" spans="1:15" x14ac:dyDescent="0.25">
      <c r="A93" s="7">
        <v>2022</v>
      </c>
      <c r="B93" s="8" t="s">
        <v>95</v>
      </c>
      <c r="C93" s="8" t="s">
        <v>96</v>
      </c>
      <c r="D93" s="8" t="s">
        <v>84</v>
      </c>
      <c r="E93" s="9" t="s">
        <v>97</v>
      </c>
      <c r="F93" s="10">
        <f>VLOOKUP(D93,[1]ATM!$A$91:$G$175,5,FALSE)</f>
        <v>12225.95</v>
      </c>
      <c r="G93" s="10">
        <f>VLOOKUP(D93,[1]ATM!$A$91:$G$175,7,FALSE)</f>
        <v>458.15</v>
      </c>
      <c r="H93" s="10">
        <v>1440</v>
      </c>
      <c r="I93" s="10">
        <v>80</v>
      </c>
      <c r="J93" s="10">
        <v>350</v>
      </c>
      <c r="K93" s="6">
        <f t="shared" si="1"/>
        <v>14554.1</v>
      </c>
      <c r="M93" t="str">
        <f>VLOOKUP(B93,'[2]TABULADOR ok'!$A$2:$I$424,7,FALSE)</f>
        <v>T5</v>
      </c>
      <c r="N93" t="str">
        <f>VLOOKUP(B93,'[2]TABULADOR ok'!$A$2:$I$424,8,FALSE)</f>
        <v>S01896</v>
      </c>
      <c r="O93">
        <f>VLOOKUP(B93,'[2]TABULADOR ok'!$A$2:$I$424,9,FALSE)</f>
        <v>95</v>
      </c>
    </row>
    <row r="94" spans="1:15" x14ac:dyDescent="0.25">
      <c r="A94" s="7">
        <v>2022</v>
      </c>
      <c r="B94" s="8" t="s">
        <v>98</v>
      </c>
      <c r="C94" s="8" t="s">
        <v>99</v>
      </c>
      <c r="D94" s="8" t="s">
        <v>84</v>
      </c>
      <c r="E94" s="9" t="s">
        <v>100</v>
      </c>
      <c r="F94" s="10">
        <f>VLOOKUP(D94,[1]ATM!$A$91:$G$175,5,FALSE)</f>
        <v>12225.95</v>
      </c>
      <c r="G94" s="10">
        <f>VLOOKUP(D94,[1]ATM!$A$91:$G$175,7,FALSE)</f>
        <v>458.15</v>
      </c>
      <c r="H94" s="10">
        <v>1440</v>
      </c>
      <c r="I94" s="10">
        <v>80</v>
      </c>
      <c r="J94" s="10">
        <v>350</v>
      </c>
      <c r="K94" s="6">
        <f t="shared" si="1"/>
        <v>14554.1</v>
      </c>
      <c r="M94" t="str">
        <f>VLOOKUP(B94,'[2]TABULADOR ok'!$A$2:$I$424,7,FALSE)</f>
        <v>T5</v>
      </c>
      <c r="N94" t="str">
        <f>VLOOKUP(B94,'[2]TABULADOR ok'!$A$2:$I$424,8,FALSE)</f>
        <v>S12011</v>
      </c>
      <c r="O94">
        <f>VLOOKUP(B94,'[2]TABULADOR ok'!$A$2:$I$424,9,FALSE)</f>
        <v>95</v>
      </c>
    </row>
    <row r="95" spans="1:15" x14ac:dyDescent="0.25">
      <c r="A95" s="7">
        <v>2022</v>
      </c>
      <c r="B95" s="8" t="s">
        <v>101</v>
      </c>
      <c r="C95" s="8" t="s">
        <v>102</v>
      </c>
      <c r="D95" s="8" t="s">
        <v>84</v>
      </c>
      <c r="E95" s="9" t="s">
        <v>103</v>
      </c>
      <c r="F95" s="10">
        <f>VLOOKUP(D95,[1]ATM!$A$91:$G$175,5,FALSE)</f>
        <v>12225.95</v>
      </c>
      <c r="G95" s="10">
        <f>VLOOKUP(D95,[1]ATM!$A$91:$G$175,7,FALSE)</f>
        <v>458.15</v>
      </c>
      <c r="H95" s="10">
        <v>1440</v>
      </c>
      <c r="I95" s="10">
        <v>80</v>
      </c>
      <c r="J95" s="10">
        <v>350</v>
      </c>
      <c r="K95" s="6">
        <f t="shared" si="1"/>
        <v>14554.1</v>
      </c>
      <c r="M95" t="str">
        <f>VLOOKUP(B95,'[2]TABULADOR ok'!$A$2:$I$424,7,FALSE)</f>
        <v>T5</v>
      </c>
      <c r="N95" t="str">
        <f>VLOOKUP(B95,'[2]TABULADOR ok'!$A$2:$I$424,8,FALSE)</f>
        <v>S12094</v>
      </c>
      <c r="O95">
        <f>VLOOKUP(B95,'[2]TABULADOR ok'!$A$2:$I$424,9,FALSE)</f>
        <v>95</v>
      </c>
    </row>
    <row r="96" spans="1:15" x14ac:dyDescent="0.25">
      <c r="A96" s="7">
        <v>2022</v>
      </c>
      <c r="B96" s="8" t="s">
        <v>104</v>
      </c>
      <c r="C96" s="8" t="s">
        <v>105</v>
      </c>
      <c r="D96" s="8" t="s">
        <v>84</v>
      </c>
      <c r="E96" s="9" t="s">
        <v>106</v>
      </c>
      <c r="F96" s="10">
        <f>VLOOKUP(D96,[1]ATM!$A$91:$G$175,5,FALSE)</f>
        <v>12225.95</v>
      </c>
      <c r="G96" s="10">
        <f>VLOOKUP(D96,[1]ATM!$A$91:$G$175,7,FALSE)</f>
        <v>458.15</v>
      </c>
      <c r="H96" s="10">
        <v>1440</v>
      </c>
      <c r="I96" s="10">
        <v>80</v>
      </c>
      <c r="J96" s="10">
        <v>350</v>
      </c>
      <c r="K96" s="6">
        <f t="shared" si="1"/>
        <v>14554.1</v>
      </c>
      <c r="M96" t="str">
        <f>VLOOKUP(B96,'[2]TABULADOR ok'!$A$2:$I$424,7,FALSE)</f>
        <v>T5</v>
      </c>
      <c r="N96" t="str">
        <f>VLOOKUP(B96,'[2]TABULADOR ok'!$A$2:$I$424,8,FALSE)</f>
        <v>T03853</v>
      </c>
      <c r="O96">
        <f>VLOOKUP(B96,'[2]TABULADOR ok'!$A$2:$I$424,9,FALSE)</f>
        <v>95</v>
      </c>
    </row>
    <row r="97" spans="1:15" x14ac:dyDescent="0.25">
      <c r="A97" s="7">
        <v>2022</v>
      </c>
      <c r="B97" s="8" t="s">
        <v>107</v>
      </c>
      <c r="C97" s="8" t="s">
        <v>108</v>
      </c>
      <c r="D97" s="8" t="s">
        <v>84</v>
      </c>
      <c r="E97" s="9" t="s">
        <v>109</v>
      </c>
      <c r="F97" s="10">
        <f>VLOOKUP(D97,[1]ATM!$A$91:$G$175,5,FALSE)</f>
        <v>12225.95</v>
      </c>
      <c r="G97" s="10">
        <f>VLOOKUP(D97,[1]ATM!$A$91:$G$175,7,FALSE)</f>
        <v>458.15</v>
      </c>
      <c r="H97" s="10">
        <v>1440</v>
      </c>
      <c r="I97" s="10">
        <v>80</v>
      </c>
      <c r="J97" s="10">
        <v>350</v>
      </c>
      <c r="K97" s="6">
        <f t="shared" si="1"/>
        <v>14554.1</v>
      </c>
      <c r="M97" t="str">
        <f>VLOOKUP(B97,'[2]TABULADOR ok'!$A$2:$I$424,7,FALSE)</f>
        <v>T5</v>
      </c>
      <c r="N97" t="str">
        <f>VLOOKUP(B97,'[2]TABULADOR ok'!$A$2:$I$424,8,FALSE)</f>
        <v>T13818</v>
      </c>
      <c r="O97">
        <f>VLOOKUP(B97,'[2]TABULADOR ok'!$A$2:$I$424,9,FALSE)</f>
        <v>95</v>
      </c>
    </row>
    <row r="98" spans="1:15" x14ac:dyDescent="0.25">
      <c r="A98" s="7">
        <v>2022</v>
      </c>
      <c r="B98" s="8" t="s">
        <v>110</v>
      </c>
      <c r="C98" s="8" t="s">
        <v>111</v>
      </c>
      <c r="D98" s="8" t="s">
        <v>84</v>
      </c>
      <c r="E98" s="9" t="s">
        <v>112</v>
      </c>
      <c r="F98" s="10">
        <f>VLOOKUP(D98,[1]ATM!$A$91:$G$175,5,FALSE)</f>
        <v>12225.95</v>
      </c>
      <c r="G98" s="10">
        <f>VLOOKUP(D98,[1]ATM!$A$91:$G$175,7,FALSE)</f>
        <v>458.15</v>
      </c>
      <c r="H98" s="10">
        <v>1440</v>
      </c>
      <c r="I98" s="10">
        <v>80</v>
      </c>
      <c r="J98" s="10">
        <v>350</v>
      </c>
      <c r="K98" s="6">
        <f t="shared" si="1"/>
        <v>14554.1</v>
      </c>
      <c r="M98" t="str">
        <f>VLOOKUP(B98,'[2]TABULADOR ok'!$A$2:$I$424,7,FALSE)</f>
        <v>T5</v>
      </c>
      <c r="N98" t="str">
        <f>VLOOKUP(B98,'[2]TABULADOR ok'!$A$2:$I$424,8,FALSE)</f>
        <v>T14034</v>
      </c>
      <c r="O98">
        <f>VLOOKUP(B98,'[2]TABULADOR ok'!$A$2:$I$424,9,FALSE)</f>
        <v>95</v>
      </c>
    </row>
    <row r="99" spans="1:15" x14ac:dyDescent="0.25">
      <c r="A99" s="7">
        <v>2022</v>
      </c>
      <c r="B99" s="8" t="s">
        <v>113</v>
      </c>
      <c r="C99" s="8" t="s">
        <v>114</v>
      </c>
      <c r="D99" s="8" t="s">
        <v>115</v>
      </c>
      <c r="E99" s="9" t="s">
        <v>116</v>
      </c>
      <c r="F99" s="10">
        <f>VLOOKUP(D99,[1]ATM!$A$91:$G$175,5,FALSE)</f>
        <v>13596.8</v>
      </c>
      <c r="G99" s="10">
        <f>VLOOKUP(D99,[1]ATM!$A$91:$G$175,7,FALSE)</f>
        <v>471.35</v>
      </c>
      <c r="H99" s="10">
        <v>1440</v>
      </c>
      <c r="I99" s="10">
        <v>80</v>
      </c>
      <c r="J99" s="10">
        <v>350</v>
      </c>
      <c r="K99" s="6">
        <f t="shared" si="1"/>
        <v>15938.15</v>
      </c>
      <c r="M99" t="str">
        <f>VLOOKUP(B99,'[2]TABULADOR ok'!$A$2:$I$424,7,FALSE)</f>
        <v>T6</v>
      </c>
      <c r="N99" t="str">
        <f>VLOOKUP(B99,'[2]TABULADOR ok'!$A$2:$I$424,8,FALSE)</f>
        <v>A03839</v>
      </c>
      <c r="O99">
        <f>VLOOKUP(B99,'[2]TABULADOR ok'!$A$2:$I$424,9,FALSE)</f>
        <v>95</v>
      </c>
    </row>
    <row r="100" spans="1:15" x14ac:dyDescent="0.25">
      <c r="A100" s="7">
        <v>2022</v>
      </c>
      <c r="B100" s="8" t="s">
        <v>117</v>
      </c>
      <c r="C100" s="8" t="s">
        <v>118</v>
      </c>
      <c r="D100" s="8" t="s">
        <v>115</v>
      </c>
      <c r="E100" s="9" t="s">
        <v>119</v>
      </c>
      <c r="F100" s="10">
        <f>VLOOKUP(D100,[1]ATM!$A$91:$G$175,5,FALSE)</f>
        <v>13596.8</v>
      </c>
      <c r="G100" s="10">
        <f>VLOOKUP(D100,[1]ATM!$A$91:$G$175,7,FALSE)</f>
        <v>471.35</v>
      </c>
      <c r="H100" s="10">
        <v>1440</v>
      </c>
      <c r="I100" s="10">
        <v>80</v>
      </c>
      <c r="J100" s="10">
        <v>350</v>
      </c>
      <c r="K100" s="6">
        <f t="shared" si="1"/>
        <v>15938.15</v>
      </c>
      <c r="M100" t="str">
        <f>VLOOKUP(B100,'[2]TABULADOR ok'!$A$2:$I$424,7,FALSE)</f>
        <v>T6</v>
      </c>
      <c r="N100" t="str">
        <f>VLOOKUP(B100,'[2]TABULADOR ok'!$A$2:$I$424,8,FALSE)</f>
        <v>P07027</v>
      </c>
      <c r="O100">
        <f>VLOOKUP(B100,'[2]TABULADOR ok'!$A$2:$I$424,9,FALSE)</f>
        <v>95</v>
      </c>
    </row>
    <row r="101" spans="1:15" x14ac:dyDescent="0.25">
      <c r="A101" s="7">
        <v>2022</v>
      </c>
      <c r="B101" s="8" t="s">
        <v>120</v>
      </c>
      <c r="C101" s="8" t="s">
        <v>121</v>
      </c>
      <c r="D101" s="8" t="s">
        <v>115</v>
      </c>
      <c r="E101" s="9" t="s">
        <v>122</v>
      </c>
      <c r="F101" s="10">
        <f>VLOOKUP(D101,[1]ATM!$A$91:$G$175,5,FALSE)</f>
        <v>13596.8</v>
      </c>
      <c r="G101" s="10">
        <f>VLOOKUP(D101,[1]ATM!$A$91:$G$175,7,FALSE)</f>
        <v>471.35</v>
      </c>
      <c r="H101" s="10">
        <v>1440</v>
      </c>
      <c r="I101" s="10">
        <v>80</v>
      </c>
      <c r="J101" s="10">
        <v>350</v>
      </c>
      <c r="K101" s="6">
        <f t="shared" si="1"/>
        <v>15938.15</v>
      </c>
      <c r="M101" t="str">
        <f>VLOOKUP(B101,'[2]TABULADOR ok'!$A$2:$I$424,7,FALSE)</f>
        <v>T6</v>
      </c>
      <c r="N101" t="str">
        <f>VLOOKUP(B101,'[2]TABULADOR ok'!$A$2:$I$424,8,FALSE)</f>
        <v>S03830</v>
      </c>
      <c r="O101">
        <f>VLOOKUP(B101,'[2]TABULADOR ok'!$A$2:$I$424,9,FALSE)</f>
        <v>95</v>
      </c>
    </row>
    <row r="102" spans="1:15" x14ac:dyDescent="0.25">
      <c r="A102" s="7">
        <v>2022</v>
      </c>
      <c r="B102" s="8" t="s">
        <v>123</v>
      </c>
      <c r="C102" s="8" t="s">
        <v>124</v>
      </c>
      <c r="D102" s="8" t="s">
        <v>115</v>
      </c>
      <c r="E102" s="9" t="s">
        <v>125</v>
      </c>
      <c r="F102" s="10">
        <f>VLOOKUP(D102,[1]ATM!$A$91:$G$175,5,FALSE)</f>
        <v>13596.8</v>
      </c>
      <c r="G102" s="10">
        <f>VLOOKUP(D102,[1]ATM!$A$91:$G$175,7,FALSE)</f>
        <v>471.35</v>
      </c>
      <c r="H102" s="10">
        <v>1440</v>
      </c>
      <c r="I102" s="10">
        <v>80</v>
      </c>
      <c r="J102" s="10">
        <v>350</v>
      </c>
      <c r="K102" s="6">
        <f t="shared" si="1"/>
        <v>15938.15</v>
      </c>
      <c r="M102" t="str">
        <f>VLOOKUP(B102,'[2]TABULADOR ok'!$A$2:$I$424,7,FALSE)</f>
        <v>T6</v>
      </c>
      <c r="N102" t="str">
        <f>VLOOKUP(B102,'[2]TABULADOR ok'!$A$2:$I$424,8,FALSE)</f>
        <v>S03831</v>
      </c>
      <c r="O102">
        <f>VLOOKUP(B102,'[2]TABULADOR ok'!$A$2:$I$424,9,FALSE)</f>
        <v>95</v>
      </c>
    </row>
    <row r="103" spans="1:15" x14ac:dyDescent="0.25">
      <c r="A103" s="7">
        <v>2022</v>
      </c>
      <c r="B103" s="8" t="s">
        <v>126</v>
      </c>
      <c r="C103" s="8" t="s">
        <v>127</v>
      </c>
      <c r="D103" s="8" t="s">
        <v>115</v>
      </c>
      <c r="E103" s="9" t="s">
        <v>128</v>
      </c>
      <c r="F103" s="10">
        <f>VLOOKUP(D103,[1]ATM!$A$91:$G$175,5,FALSE)</f>
        <v>13596.8</v>
      </c>
      <c r="G103" s="10">
        <f>VLOOKUP(D103,[1]ATM!$A$91:$G$175,7,FALSE)</f>
        <v>471.35</v>
      </c>
      <c r="H103" s="10">
        <v>1440</v>
      </c>
      <c r="I103" s="10">
        <v>80</v>
      </c>
      <c r="J103" s="10">
        <v>350</v>
      </c>
      <c r="K103" s="6">
        <f t="shared" si="1"/>
        <v>15938.15</v>
      </c>
      <c r="M103" t="str">
        <f>VLOOKUP(B103,'[2]TABULADOR ok'!$A$2:$I$424,7,FALSE)</f>
        <v>T6</v>
      </c>
      <c r="N103" t="str">
        <f>VLOOKUP(B103,'[2]TABULADOR ok'!$A$2:$I$424,8,FALSE)</f>
        <v>S09807</v>
      </c>
      <c r="O103">
        <f>VLOOKUP(B103,'[2]TABULADOR ok'!$A$2:$I$424,9,FALSE)</f>
        <v>95</v>
      </c>
    </row>
    <row r="104" spans="1:15" x14ac:dyDescent="0.25">
      <c r="A104" s="7">
        <v>2022</v>
      </c>
      <c r="B104" s="8" t="s">
        <v>129</v>
      </c>
      <c r="C104" s="8" t="s">
        <v>130</v>
      </c>
      <c r="D104" s="8" t="s">
        <v>115</v>
      </c>
      <c r="E104" s="9" t="s">
        <v>131</v>
      </c>
      <c r="F104" s="10">
        <f>VLOOKUP(D104,[1]ATM!$A$91:$G$175,5,FALSE)</f>
        <v>13596.8</v>
      </c>
      <c r="G104" s="10">
        <f>VLOOKUP(D104,[1]ATM!$A$91:$G$175,7,FALSE)</f>
        <v>471.35</v>
      </c>
      <c r="H104" s="10">
        <v>1440</v>
      </c>
      <c r="I104" s="10">
        <v>80</v>
      </c>
      <c r="J104" s="10">
        <v>350</v>
      </c>
      <c r="K104" s="6">
        <f t="shared" si="1"/>
        <v>15938.15</v>
      </c>
      <c r="M104" t="str">
        <f>VLOOKUP(B104,'[2]TABULADOR ok'!$A$2:$I$424,7,FALSE)</f>
        <v>T6</v>
      </c>
      <c r="N104" t="str">
        <f>VLOOKUP(B104,'[2]TABULADOR ok'!$A$2:$I$424,8,FALSE)</f>
        <v>T06823</v>
      </c>
      <c r="O104">
        <f>VLOOKUP(B104,'[2]TABULADOR ok'!$A$2:$I$424,9,FALSE)</f>
        <v>95</v>
      </c>
    </row>
    <row r="105" spans="1:15" x14ac:dyDescent="0.25">
      <c r="A105" s="7">
        <v>2022</v>
      </c>
      <c r="B105" s="8" t="s">
        <v>132</v>
      </c>
      <c r="C105" s="8" t="s">
        <v>133</v>
      </c>
      <c r="D105" s="8" t="s">
        <v>115</v>
      </c>
      <c r="E105" s="9" t="s">
        <v>134</v>
      </c>
      <c r="F105" s="10">
        <f>VLOOKUP(D105,[1]ATM!$A$91:$G$175,5,FALSE)</f>
        <v>13596.8</v>
      </c>
      <c r="G105" s="10">
        <f>VLOOKUP(D105,[1]ATM!$A$91:$G$175,7,FALSE)</f>
        <v>471.35</v>
      </c>
      <c r="H105" s="10">
        <v>1440</v>
      </c>
      <c r="I105" s="10">
        <v>80</v>
      </c>
      <c r="J105" s="10">
        <v>350</v>
      </c>
      <c r="K105" s="6">
        <f t="shared" si="1"/>
        <v>15938.15</v>
      </c>
      <c r="M105" t="str">
        <f>VLOOKUP(B105,'[2]TABULADOR ok'!$A$2:$I$424,7,FALSE)</f>
        <v>T6</v>
      </c>
      <c r="N105" t="str">
        <f>VLOOKUP(B105,'[2]TABULADOR ok'!$A$2:$I$424,8,FALSE)</f>
        <v>T08813</v>
      </c>
      <c r="O105">
        <f>VLOOKUP(B105,'[2]TABULADOR ok'!$A$2:$I$424,9,FALSE)</f>
        <v>95</v>
      </c>
    </row>
    <row r="106" spans="1:15" x14ac:dyDescent="0.25">
      <c r="A106" s="7">
        <v>2022</v>
      </c>
      <c r="B106" s="8" t="s">
        <v>135</v>
      </c>
      <c r="C106" s="8" t="s">
        <v>136</v>
      </c>
      <c r="D106" s="8" t="s">
        <v>137</v>
      </c>
      <c r="E106" s="9" t="s">
        <v>138</v>
      </c>
      <c r="F106" s="10">
        <f>VLOOKUP(D106,[1]ATM!$A$91:$G$175,5,FALSE)</f>
        <v>14781.35</v>
      </c>
      <c r="G106" s="10">
        <f>VLOOKUP(D106,[1]ATM!$A$91:$G$175,7,FALSE)</f>
        <v>512.79999999999995</v>
      </c>
      <c r="H106" s="10">
        <v>1440</v>
      </c>
      <c r="I106" s="10">
        <v>80</v>
      </c>
      <c r="J106" s="10">
        <v>350</v>
      </c>
      <c r="K106" s="6">
        <f t="shared" si="1"/>
        <v>17164.150000000001</v>
      </c>
      <c r="M106" t="str">
        <f>VLOOKUP(B106,'[2]TABULADOR ok'!$A$2:$I$424,7,FALSE)</f>
        <v>T7</v>
      </c>
      <c r="N106" t="str">
        <f>VLOOKUP(B106,'[2]TABULADOR ok'!$A$2:$I$424,8,FALSE)</f>
        <v>A01037</v>
      </c>
      <c r="O106">
        <f>VLOOKUP(B106,'[2]TABULADOR ok'!$A$2:$I$424,9,FALSE)</f>
        <v>95</v>
      </c>
    </row>
    <row r="107" spans="1:15" x14ac:dyDescent="0.25">
      <c r="A107" s="7">
        <v>2022</v>
      </c>
      <c r="B107" s="8" t="s">
        <v>139</v>
      </c>
      <c r="C107" s="8" t="s">
        <v>140</v>
      </c>
      <c r="D107" s="8" t="s">
        <v>137</v>
      </c>
      <c r="E107" s="9" t="s">
        <v>141</v>
      </c>
      <c r="F107" s="10">
        <f>VLOOKUP(D107,[1]ATM!$A$91:$G$175,5,FALSE)</f>
        <v>14781.35</v>
      </c>
      <c r="G107" s="10">
        <f>VLOOKUP(D107,[1]ATM!$A$91:$G$175,7,FALSE)</f>
        <v>512.79999999999995</v>
      </c>
      <c r="H107" s="10">
        <v>1440</v>
      </c>
      <c r="I107" s="10">
        <v>80</v>
      </c>
      <c r="J107" s="10">
        <v>350</v>
      </c>
      <c r="K107" s="6">
        <f t="shared" si="1"/>
        <v>17164.150000000001</v>
      </c>
      <c r="M107" t="str">
        <f>VLOOKUP(B107,'[2]TABULADOR ok'!$A$2:$I$424,7,FALSE)</f>
        <v>T7</v>
      </c>
      <c r="N107" t="str">
        <f>VLOOKUP(B107,'[2]TABULADOR ok'!$A$2:$I$424,8,FALSE)</f>
        <v>A02815</v>
      </c>
      <c r="O107">
        <f>VLOOKUP(B107,'[2]TABULADOR ok'!$A$2:$I$424,9,FALSE)</f>
        <v>95</v>
      </c>
    </row>
    <row r="108" spans="1:15" x14ac:dyDescent="0.25">
      <c r="A108" s="7">
        <v>2022</v>
      </c>
      <c r="B108" s="8" t="s">
        <v>142</v>
      </c>
      <c r="C108" s="8" t="s">
        <v>143</v>
      </c>
      <c r="D108" s="8" t="s">
        <v>137</v>
      </c>
      <c r="E108" s="9" t="s">
        <v>144</v>
      </c>
      <c r="F108" s="10">
        <f>VLOOKUP(D108,[1]ATM!$A$91:$G$175,5,FALSE)</f>
        <v>14781.35</v>
      </c>
      <c r="G108" s="10">
        <f>VLOOKUP(D108,[1]ATM!$A$91:$G$175,7,FALSE)</f>
        <v>512.79999999999995</v>
      </c>
      <c r="H108" s="10">
        <v>1440</v>
      </c>
      <c r="I108" s="10">
        <v>80</v>
      </c>
      <c r="J108" s="10">
        <v>350</v>
      </c>
      <c r="K108" s="6">
        <f t="shared" si="1"/>
        <v>17164.150000000001</v>
      </c>
      <c r="M108" t="str">
        <f>VLOOKUP(B108,'[2]TABULADOR ok'!$A$2:$I$424,7,FALSE)</f>
        <v>T7</v>
      </c>
      <c r="N108" t="str">
        <f>VLOOKUP(B108,'[2]TABULADOR ok'!$A$2:$I$424,8,FALSE)</f>
        <v>C01817</v>
      </c>
      <c r="O108">
        <f>VLOOKUP(B108,'[2]TABULADOR ok'!$A$2:$I$424,9,FALSE)</f>
        <v>95</v>
      </c>
    </row>
    <row r="109" spans="1:15" x14ac:dyDescent="0.25">
      <c r="A109" s="7">
        <v>2022</v>
      </c>
      <c r="B109" s="8" t="s">
        <v>145</v>
      </c>
      <c r="C109" s="8" t="s">
        <v>146</v>
      </c>
      <c r="D109" s="8" t="s">
        <v>137</v>
      </c>
      <c r="E109" s="9" t="s">
        <v>147</v>
      </c>
      <c r="F109" s="10">
        <f>VLOOKUP(D109,[1]ATM!$A$91:$G$175,5,FALSE)</f>
        <v>14781.35</v>
      </c>
      <c r="G109" s="10">
        <f>VLOOKUP(D109,[1]ATM!$A$91:$G$175,7,FALSE)</f>
        <v>512.79999999999995</v>
      </c>
      <c r="H109" s="10">
        <v>1440</v>
      </c>
      <c r="I109" s="10">
        <v>80</v>
      </c>
      <c r="J109" s="10">
        <v>350</v>
      </c>
      <c r="K109" s="6">
        <f t="shared" si="1"/>
        <v>17164.150000000001</v>
      </c>
      <c r="M109" t="str">
        <f>VLOOKUP(B109,'[2]TABULADOR ok'!$A$2:$I$424,7,FALSE)</f>
        <v>T7</v>
      </c>
      <c r="N109" t="str">
        <f>VLOOKUP(B109,'[2]TABULADOR ok'!$A$2:$I$424,8,FALSE)</f>
        <v>P07026</v>
      </c>
      <c r="O109">
        <f>VLOOKUP(B109,'[2]TABULADOR ok'!$A$2:$I$424,9,FALSE)</f>
        <v>95</v>
      </c>
    </row>
    <row r="110" spans="1:15" x14ac:dyDescent="0.25">
      <c r="A110" s="7">
        <v>2022</v>
      </c>
      <c r="B110" s="8" t="s">
        <v>148</v>
      </c>
      <c r="C110" s="8" t="s">
        <v>149</v>
      </c>
      <c r="D110" s="8" t="s">
        <v>137</v>
      </c>
      <c r="E110" s="9" t="s">
        <v>150</v>
      </c>
      <c r="F110" s="10">
        <f>VLOOKUP(D110,[1]ATM!$A$91:$G$175,5,FALSE)</f>
        <v>14781.35</v>
      </c>
      <c r="G110" s="10">
        <f>VLOOKUP(D110,[1]ATM!$A$91:$G$175,7,FALSE)</f>
        <v>512.79999999999995</v>
      </c>
      <c r="H110" s="10">
        <v>1440</v>
      </c>
      <c r="I110" s="10">
        <v>80</v>
      </c>
      <c r="J110" s="10">
        <v>350</v>
      </c>
      <c r="K110" s="6">
        <f t="shared" si="1"/>
        <v>17164.150000000001</v>
      </c>
      <c r="M110" t="str">
        <f>VLOOKUP(B110,'[2]TABULADOR ok'!$A$2:$I$424,7,FALSE)</f>
        <v>T7</v>
      </c>
      <c r="N110" t="str">
        <f>VLOOKUP(B110,'[2]TABULADOR ok'!$A$2:$I$424,8,FALSE)</f>
        <v>T05822</v>
      </c>
      <c r="O110">
        <f>VLOOKUP(B110,'[2]TABULADOR ok'!$A$2:$I$424,9,FALSE)</f>
        <v>95</v>
      </c>
    </row>
    <row r="111" spans="1:15" x14ac:dyDescent="0.25">
      <c r="A111" s="7">
        <v>2022</v>
      </c>
      <c r="B111" s="8" t="s">
        <v>151</v>
      </c>
      <c r="C111" s="8" t="s">
        <v>152</v>
      </c>
      <c r="D111" s="8" t="s">
        <v>137</v>
      </c>
      <c r="E111" s="9" t="s">
        <v>153</v>
      </c>
      <c r="F111" s="10">
        <f>VLOOKUP(D111,[1]ATM!$A$91:$G$175,5,FALSE)</f>
        <v>14781.35</v>
      </c>
      <c r="G111" s="10">
        <f>VLOOKUP(D111,[1]ATM!$A$91:$G$175,7,FALSE)</f>
        <v>512.79999999999995</v>
      </c>
      <c r="H111" s="10">
        <v>1440</v>
      </c>
      <c r="I111" s="10">
        <v>80</v>
      </c>
      <c r="J111" s="10">
        <v>350</v>
      </c>
      <c r="K111" s="6">
        <f t="shared" si="1"/>
        <v>17164.150000000001</v>
      </c>
      <c r="M111" t="str">
        <f>VLOOKUP(B111,'[2]TABULADOR ok'!$A$2:$I$424,7,FALSE)</f>
        <v>T7</v>
      </c>
      <c r="N111" t="str">
        <f>VLOOKUP(B111,'[2]TABULADOR ok'!$A$2:$I$424,8,FALSE)</f>
        <v>T09001</v>
      </c>
      <c r="O111">
        <f>VLOOKUP(B111,'[2]TABULADOR ok'!$A$2:$I$424,9,FALSE)</f>
        <v>95</v>
      </c>
    </row>
    <row r="112" spans="1:15" x14ac:dyDescent="0.25">
      <c r="A112" s="7">
        <v>2022</v>
      </c>
      <c r="B112" s="8" t="s">
        <v>154</v>
      </c>
      <c r="C112" s="8" t="s">
        <v>155</v>
      </c>
      <c r="D112" s="8" t="s">
        <v>137</v>
      </c>
      <c r="E112" s="9" t="s">
        <v>156</v>
      </c>
      <c r="F112" s="10">
        <f>VLOOKUP(D112,[1]ATM!$A$91:$G$175,5,FALSE)</f>
        <v>14781.35</v>
      </c>
      <c r="G112" s="10">
        <f>VLOOKUP(D112,[1]ATM!$A$91:$G$175,7,FALSE)</f>
        <v>512.79999999999995</v>
      </c>
      <c r="H112" s="10">
        <v>1440</v>
      </c>
      <c r="I112" s="10">
        <v>80</v>
      </c>
      <c r="J112" s="10">
        <v>350</v>
      </c>
      <c r="K112" s="6">
        <f t="shared" si="1"/>
        <v>17164.150000000001</v>
      </c>
      <c r="M112" t="str">
        <f>VLOOKUP(B112,'[2]TABULADOR ok'!$A$2:$I$424,7,FALSE)</f>
        <v>T7</v>
      </c>
      <c r="N112" t="str">
        <f>VLOOKUP(B112,'[2]TABULADOR ok'!$A$2:$I$424,8,FALSE)</f>
        <v>T13817</v>
      </c>
      <c r="O112">
        <f>VLOOKUP(B112,'[2]TABULADOR ok'!$A$2:$I$424,9,FALSE)</f>
        <v>95</v>
      </c>
    </row>
    <row r="113" spans="1:15" x14ac:dyDescent="0.25">
      <c r="A113" s="7">
        <v>2022</v>
      </c>
      <c r="B113" s="8" t="s">
        <v>157</v>
      </c>
      <c r="C113" s="8" t="s">
        <v>158</v>
      </c>
      <c r="D113" s="8" t="s">
        <v>137</v>
      </c>
      <c r="E113" s="9" t="s">
        <v>159</v>
      </c>
      <c r="F113" s="10">
        <f>VLOOKUP(D113,[1]ATM!$A$91:$G$175,5,FALSE)</f>
        <v>14781.35</v>
      </c>
      <c r="G113" s="10">
        <f>VLOOKUP(D113,[1]ATM!$A$91:$G$175,7,FALSE)</f>
        <v>512.79999999999995</v>
      </c>
      <c r="H113" s="10">
        <v>1440</v>
      </c>
      <c r="I113" s="10">
        <v>80</v>
      </c>
      <c r="J113" s="10">
        <v>350</v>
      </c>
      <c r="K113" s="6">
        <f t="shared" si="1"/>
        <v>17164.150000000001</v>
      </c>
      <c r="M113" t="str">
        <f>VLOOKUP(B113,'[2]TABULADOR ok'!$A$2:$I$424,7,FALSE)</f>
        <v>T7</v>
      </c>
      <c r="N113" t="str">
        <f>VLOOKUP(B113,'[2]TABULADOR ok'!$A$2:$I$424,8,FALSE)</f>
        <v>T14019</v>
      </c>
      <c r="O113">
        <f>VLOOKUP(B113,'[2]TABULADOR ok'!$A$2:$I$424,9,FALSE)</f>
        <v>95</v>
      </c>
    </row>
    <row r="114" spans="1:15" x14ac:dyDescent="0.25">
      <c r="A114" s="7">
        <v>2022</v>
      </c>
      <c r="B114" s="8" t="s">
        <v>160</v>
      </c>
      <c r="C114" s="8" t="s">
        <v>161</v>
      </c>
      <c r="D114" s="8" t="s">
        <v>137</v>
      </c>
      <c r="E114" s="9" t="s">
        <v>162</v>
      </c>
      <c r="F114" s="10">
        <f>VLOOKUP(D114,[1]ATM!$A$91:$G$175,5,FALSE)</f>
        <v>14781.35</v>
      </c>
      <c r="G114" s="10">
        <f>VLOOKUP(D114,[1]ATM!$A$91:$G$175,7,FALSE)</f>
        <v>512.79999999999995</v>
      </c>
      <c r="H114" s="10">
        <v>1440</v>
      </c>
      <c r="I114" s="10">
        <v>80</v>
      </c>
      <c r="J114" s="10">
        <v>350</v>
      </c>
      <c r="K114" s="6">
        <f t="shared" si="1"/>
        <v>17164.150000000001</v>
      </c>
      <c r="M114" t="str">
        <f>VLOOKUP(B114,'[2]TABULADOR ok'!$A$2:$I$424,7,FALSE)</f>
        <v>T7</v>
      </c>
      <c r="N114" t="str">
        <f>VLOOKUP(B114,'[2]TABULADOR ok'!$A$2:$I$424,8,FALSE)</f>
        <v>T16817</v>
      </c>
      <c r="O114">
        <f>VLOOKUP(B114,'[2]TABULADOR ok'!$A$2:$I$424,9,FALSE)</f>
        <v>95</v>
      </c>
    </row>
    <row r="115" spans="1:15" x14ac:dyDescent="0.25">
      <c r="A115" s="7">
        <v>2022</v>
      </c>
      <c r="B115" s="8" t="s">
        <v>163</v>
      </c>
      <c r="C115" s="8" t="s">
        <v>164</v>
      </c>
      <c r="D115" s="8" t="s">
        <v>165</v>
      </c>
      <c r="E115" s="9" t="s">
        <v>166</v>
      </c>
      <c r="F115" s="10">
        <f>VLOOKUP(D115,[1]ATM!$A$91:$G$175,5,FALSE)</f>
        <v>16332.3</v>
      </c>
      <c r="G115" s="10">
        <f>VLOOKUP(D115,[1]ATM!$A$91:$G$175,7,FALSE)</f>
        <v>527.79999999999995</v>
      </c>
      <c r="H115" s="10">
        <v>1440</v>
      </c>
      <c r="I115" s="10">
        <v>80</v>
      </c>
      <c r="J115" s="10">
        <v>350</v>
      </c>
      <c r="K115" s="6">
        <f t="shared" si="1"/>
        <v>18730.099999999999</v>
      </c>
      <c r="M115" t="str">
        <f>VLOOKUP(B115,'[2]TABULADOR ok'!$A$2:$I$424,7,FALSE)</f>
        <v>T8</v>
      </c>
      <c r="N115" t="str">
        <f>VLOOKUP(B115,'[2]TABULADOR ok'!$A$2:$I$424,8,FALSE)</f>
        <v>A01036</v>
      </c>
      <c r="O115">
        <f>VLOOKUP(B115,'[2]TABULADOR ok'!$A$2:$I$424,9,FALSE)</f>
        <v>95</v>
      </c>
    </row>
    <row r="116" spans="1:15" x14ac:dyDescent="0.25">
      <c r="A116" s="7">
        <v>2022</v>
      </c>
      <c r="B116" s="8" t="s">
        <v>167</v>
      </c>
      <c r="C116" s="8" t="s">
        <v>168</v>
      </c>
      <c r="D116" s="8" t="s">
        <v>165</v>
      </c>
      <c r="E116" s="9" t="s">
        <v>169</v>
      </c>
      <c r="F116" s="10">
        <f>VLOOKUP(D116,[1]ATM!$A$91:$G$175,5,FALSE)</f>
        <v>16332.3</v>
      </c>
      <c r="G116" s="10">
        <f>VLOOKUP(D116,[1]ATM!$A$91:$G$175,7,FALSE)</f>
        <v>527.79999999999995</v>
      </c>
      <c r="H116" s="10">
        <v>1440</v>
      </c>
      <c r="I116" s="10">
        <v>80</v>
      </c>
      <c r="J116" s="10">
        <v>350</v>
      </c>
      <c r="K116" s="6">
        <f t="shared" si="1"/>
        <v>18730.099999999999</v>
      </c>
      <c r="M116" t="str">
        <f>VLOOKUP(B116,'[2]TABULADOR ok'!$A$2:$I$424,7,FALSE)</f>
        <v>T8</v>
      </c>
      <c r="N116" t="str">
        <f>VLOOKUP(B116,'[2]TABULADOR ok'!$A$2:$I$424,8,FALSE)</f>
        <v>A06009</v>
      </c>
      <c r="O116">
        <f>VLOOKUP(B116,'[2]TABULADOR ok'!$A$2:$I$424,9,FALSE)</f>
        <v>95</v>
      </c>
    </row>
    <row r="117" spans="1:15" x14ac:dyDescent="0.25">
      <c r="A117" s="7">
        <v>2022</v>
      </c>
      <c r="B117" s="8" t="s">
        <v>170</v>
      </c>
      <c r="C117" s="8" t="s">
        <v>171</v>
      </c>
      <c r="D117" s="8" t="s">
        <v>165</v>
      </c>
      <c r="E117" s="9" t="s">
        <v>172</v>
      </c>
      <c r="F117" s="10">
        <f>VLOOKUP(D117,[1]ATM!$A$91:$G$175,5,FALSE)</f>
        <v>16332.3</v>
      </c>
      <c r="G117" s="10">
        <f>VLOOKUP(D117,[1]ATM!$A$91:$G$175,7,FALSE)</f>
        <v>527.79999999999995</v>
      </c>
      <c r="H117" s="10">
        <v>1440</v>
      </c>
      <c r="I117" s="10">
        <v>80</v>
      </c>
      <c r="J117" s="10">
        <v>350</v>
      </c>
      <c r="K117" s="6">
        <f t="shared" si="1"/>
        <v>18730.099999999999</v>
      </c>
      <c r="M117" t="str">
        <f>VLOOKUP(B117,'[2]TABULADOR ok'!$A$2:$I$424,7,FALSE)</f>
        <v>T8</v>
      </c>
      <c r="N117" t="str">
        <f>VLOOKUP(B117,'[2]TABULADOR ok'!$A$2:$I$424,8,FALSE)</f>
        <v>C01818</v>
      </c>
      <c r="O117">
        <f>VLOOKUP(B117,'[2]TABULADOR ok'!$A$2:$I$424,9,FALSE)</f>
        <v>95</v>
      </c>
    </row>
    <row r="118" spans="1:15" x14ac:dyDescent="0.25">
      <c r="A118" s="7">
        <v>2022</v>
      </c>
      <c r="B118" s="8" t="s">
        <v>173</v>
      </c>
      <c r="C118" s="8" t="s">
        <v>174</v>
      </c>
      <c r="D118" s="8" t="s">
        <v>165</v>
      </c>
      <c r="E118" s="9" t="s">
        <v>175</v>
      </c>
      <c r="F118" s="10">
        <f>VLOOKUP(D118,[1]ATM!$A$91:$G$175,5,FALSE)</f>
        <v>16332.3</v>
      </c>
      <c r="G118" s="10">
        <f>VLOOKUP(D118,[1]ATM!$A$91:$G$175,7,FALSE)</f>
        <v>527.79999999999995</v>
      </c>
      <c r="H118" s="10">
        <v>1440</v>
      </c>
      <c r="I118" s="10">
        <v>80</v>
      </c>
      <c r="J118" s="10">
        <v>350</v>
      </c>
      <c r="K118" s="6">
        <f t="shared" si="1"/>
        <v>18730.099999999999</v>
      </c>
      <c r="M118" t="str">
        <f>VLOOKUP(B118,'[2]TABULADOR ok'!$A$2:$I$424,7,FALSE)</f>
        <v>T8</v>
      </c>
      <c r="N118" t="str">
        <f>VLOOKUP(B118,'[2]TABULADOR ok'!$A$2:$I$424,8,FALSE)</f>
        <v>T03854</v>
      </c>
      <c r="O118">
        <f>VLOOKUP(B118,'[2]TABULADOR ok'!$A$2:$I$424,9,FALSE)</f>
        <v>95</v>
      </c>
    </row>
    <row r="119" spans="1:15" x14ac:dyDescent="0.25">
      <c r="A119" s="7">
        <v>2022</v>
      </c>
      <c r="B119" s="8" t="s">
        <v>176</v>
      </c>
      <c r="C119" s="8" t="s">
        <v>177</v>
      </c>
      <c r="D119" s="8" t="s">
        <v>165</v>
      </c>
      <c r="E119" s="9" t="s">
        <v>178</v>
      </c>
      <c r="F119" s="10">
        <f>VLOOKUP(D119,[1]ATM!$A$91:$G$175,5,FALSE)</f>
        <v>16332.3</v>
      </c>
      <c r="G119" s="10">
        <f>VLOOKUP(D119,[1]ATM!$A$91:$G$175,7,FALSE)</f>
        <v>527.79999999999995</v>
      </c>
      <c r="H119" s="10">
        <v>1440</v>
      </c>
      <c r="I119" s="10">
        <v>80</v>
      </c>
      <c r="J119" s="10">
        <v>350</v>
      </c>
      <c r="K119" s="6">
        <f t="shared" si="1"/>
        <v>18730.099999999999</v>
      </c>
      <c r="M119" t="str">
        <f>VLOOKUP(B119,'[2]TABULADOR ok'!$A$2:$I$424,7,FALSE)</f>
        <v>T8</v>
      </c>
      <c r="N119" t="str">
        <f>VLOOKUP(B119,'[2]TABULADOR ok'!$A$2:$I$424,8,FALSE)</f>
        <v>T04875</v>
      </c>
      <c r="O119">
        <f>VLOOKUP(B119,'[2]TABULADOR ok'!$A$2:$I$424,9,FALSE)</f>
        <v>95</v>
      </c>
    </row>
    <row r="120" spans="1:15" x14ac:dyDescent="0.25">
      <c r="A120" s="7">
        <v>2022</v>
      </c>
      <c r="B120" s="8" t="s">
        <v>179</v>
      </c>
      <c r="C120" s="8" t="s">
        <v>180</v>
      </c>
      <c r="D120" s="8" t="s">
        <v>165</v>
      </c>
      <c r="E120" s="9" t="s">
        <v>181</v>
      </c>
      <c r="F120" s="10">
        <f>VLOOKUP(D120,[1]ATM!$A$91:$G$175,5,FALSE)</f>
        <v>16332.3</v>
      </c>
      <c r="G120" s="10">
        <f>VLOOKUP(D120,[1]ATM!$A$91:$G$175,7,FALSE)</f>
        <v>527.79999999999995</v>
      </c>
      <c r="H120" s="10">
        <v>1440</v>
      </c>
      <c r="I120" s="10">
        <v>80</v>
      </c>
      <c r="J120" s="10">
        <v>350</v>
      </c>
      <c r="K120" s="6">
        <f t="shared" si="1"/>
        <v>18730.099999999999</v>
      </c>
      <c r="M120" t="str">
        <f>VLOOKUP(B120,'[2]TABULADOR ok'!$A$2:$I$424,7,FALSE)</f>
        <v>T8</v>
      </c>
      <c r="N120" t="str">
        <f>VLOOKUP(B120,'[2]TABULADOR ok'!$A$2:$I$424,8,FALSE)</f>
        <v>T08812</v>
      </c>
      <c r="O120">
        <f>VLOOKUP(B120,'[2]TABULADOR ok'!$A$2:$I$424,9,FALSE)</f>
        <v>95</v>
      </c>
    </row>
    <row r="121" spans="1:15" x14ac:dyDescent="0.25">
      <c r="A121" s="7">
        <v>2022</v>
      </c>
      <c r="B121" s="8" t="s">
        <v>182</v>
      </c>
      <c r="C121" s="8" t="s">
        <v>183</v>
      </c>
      <c r="D121" s="8" t="s">
        <v>184</v>
      </c>
      <c r="E121" s="9" t="s">
        <v>185</v>
      </c>
      <c r="F121" s="10">
        <f>VLOOKUP(D121,[1]ATM!$A$91:$G$175,5,FALSE)</f>
        <v>18254.3</v>
      </c>
      <c r="G121" s="10">
        <f>VLOOKUP(D121,[1]ATM!$A$91:$G$175,7,FALSE)</f>
        <v>576.35</v>
      </c>
      <c r="H121" s="10">
        <v>1440</v>
      </c>
      <c r="I121" s="10">
        <v>80</v>
      </c>
      <c r="J121" s="10">
        <v>350</v>
      </c>
      <c r="K121" s="6">
        <f t="shared" si="1"/>
        <v>20700.649999999998</v>
      </c>
      <c r="M121" t="str">
        <f>VLOOKUP(B121,'[2]TABULADOR ok'!$A$2:$I$424,7,FALSE)</f>
        <v>T9</v>
      </c>
      <c r="N121" t="str">
        <f>VLOOKUP(B121,'[2]TABULADOR ok'!$A$2:$I$424,8,FALSE)</f>
        <v>P02809</v>
      </c>
      <c r="O121">
        <f>VLOOKUP(B121,'[2]TABULADOR ok'!$A$2:$I$424,9,FALSE)</f>
        <v>95</v>
      </c>
    </row>
    <row r="122" spans="1:15" x14ac:dyDescent="0.25">
      <c r="A122" s="7">
        <v>2022</v>
      </c>
      <c r="B122" s="8" t="s">
        <v>186</v>
      </c>
      <c r="C122" s="8" t="s">
        <v>187</v>
      </c>
      <c r="D122" s="8" t="s">
        <v>184</v>
      </c>
      <c r="E122" s="9" t="s">
        <v>188</v>
      </c>
      <c r="F122" s="10">
        <f>VLOOKUP(D122,[1]ATM!$A$91:$G$175,5,FALSE)</f>
        <v>18254.3</v>
      </c>
      <c r="G122" s="10">
        <f>VLOOKUP(D122,[1]ATM!$A$91:$G$175,7,FALSE)</f>
        <v>576.35</v>
      </c>
      <c r="H122" s="10">
        <v>1440</v>
      </c>
      <c r="I122" s="10">
        <v>80</v>
      </c>
      <c r="J122" s="10">
        <v>350</v>
      </c>
      <c r="K122" s="6">
        <f t="shared" si="1"/>
        <v>20700.649999999998</v>
      </c>
      <c r="M122" t="str">
        <f>VLOOKUP(B122,'[2]TABULADOR ok'!$A$2:$I$424,7,FALSE)</f>
        <v>T9</v>
      </c>
      <c r="N122" t="str">
        <f>VLOOKUP(B122,'[2]TABULADOR ok'!$A$2:$I$424,8,FALSE)</f>
        <v>P04806</v>
      </c>
      <c r="O122">
        <f>VLOOKUP(B122,'[2]TABULADOR ok'!$A$2:$I$424,9,FALSE)</f>
        <v>95</v>
      </c>
    </row>
    <row r="123" spans="1:15" x14ac:dyDescent="0.25">
      <c r="A123" s="7">
        <v>2022</v>
      </c>
      <c r="B123" s="8" t="s">
        <v>189</v>
      </c>
      <c r="C123" s="8" t="s">
        <v>190</v>
      </c>
      <c r="D123" s="8" t="s">
        <v>184</v>
      </c>
      <c r="E123" s="9" t="s">
        <v>191</v>
      </c>
      <c r="F123" s="10">
        <f>VLOOKUP(D123,[1]ATM!$A$91:$G$175,5,FALSE)</f>
        <v>18254.3</v>
      </c>
      <c r="G123" s="10">
        <f>VLOOKUP(D123,[1]ATM!$A$91:$G$175,7,FALSE)</f>
        <v>576.35</v>
      </c>
      <c r="H123" s="10">
        <v>1440</v>
      </c>
      <c r="I123" s="10">
        <v>80</v>
      </c>
      <c r="J123" s="10">
        <v>350</v>
      </c>
      <c r="K123" s="6">
        <f t="shared" si="1"/>
        <v>20700.649999999998</v>
      </c>
      <c r="M123" t="str">
        <f>VLOOKUP(B123,'[2]TABULADOR ok'!$A$2:$I$424,7,FALSE)</f>
        <v>T9</v>
      </c>
      <c r="N123" t="str">
        <f>VLOOKUP(B123,'[2]TABULADOR ok'!$A$2:$I$424,8,FALSE)</f>
        <v>P05808</v>
      </c>
      <c r="O123">
        <f>VLOOKUP(B123,'[2]TABULADOR ok'!$A$2:$I$424,9,FALSE)</f>
        <v>95</v>
      </c>
    </row>
    <row r="124" spans="1:15" x14ac:dyDescent="0.25">
      <c r="A124" s="7">
        <v>2022</v>
      </c>
      <c r="B124" s="8" t="s">
        <v>192</v>
      </c>
      <c r="C124" s="8" t="s">
        <v>193</v>
      </c>
      <c r="D124" s="8" t="s">
        <v>184</v>
      </c>
      <c r="E124" s="9" t="s">
        <v>194</v>
      </c>
      <c r="F124" s="10">
        <f>VLOOKUP(D124,[1]ATM!$A$91:$G$175,5,FALSE)</f>
        <v>18254.3</v>
      </c>
      <c r="G124" s="10">
        <f>VLOOKUP(D124,[1]ATM!$A$91:$G$175,7,FALSE)</f>
        <v>576.35</v>
      </c>
      <c r="H124" s="10">
        <v>1440</v>
      </c>
      <c r="I124" s="10">
        <v>80</v>
      </c>
      <c r="J124" s="10">
        <v>350</v>
      </c>
      <c r="K124" s="6">
        <f t="shared" si="1"/>
        <v>20700.649999999998</v>
      </c>
      <c r="M124" t="str">
        <f>VLOOKUP(B124,'[2]TABULADOR ok'!$A$2:$I$424,7,FALSE)</f>
        <v>T9</v>
      </c>
      <c r="N124" t="str">
        <f>VLOOKUP(B124,'[2]TABULADOR ok'!$A$2:$I$424,8,FALSE)</f>
        <v>T03850</v>
      </c>
      <c r="O124">
        <f>VLOOKUP(B124,'[2]TABULADOR ok'!$A$2:$I$424,9,FALSE)</f>
        <v>95</v>
      </c>
    </row>
    <row r="125" spans="1:15" x14ac:dyDescent="0.25">
      <c r="A125" s="7">
        <v>2022</v>
      </c>
      <c r="B125" s="8" t="s">
        <v>195</v>
      </c>
      <c r="C125" s="8" t="s">
        <v>196</v>
      </c>
      <c r="D125" s="8" t="s">
        <v>184</v>
      </c>
      <c r="E125" s="9" t="s">
        <v>197</v>
      </c>
      <c r="F125" s="10">
        <f>VLOOKUP(D125,[1]ATM!$A$91:$G$175,5,FALSE)</f>
        <v>18254.3</v>
      </c>
      <c r="G125" s="10">
        <f>VLOOKUP(D125,[1]ATM!$A$91:$G$175,7,FALSE)</f>
        <v>576.35</v>
      </c>
      <c r="H125" s="10">
        <v>1440</v>
      </c>
      <c r="I125" s="10">
        <v>80</v>
      </c>
      <c r="J125" s="10">
        <v>350</v>
      </c>
      <c r="K125" s="6">
        <f t="shared" si="1"/>
        <v>20700.649999999998</v>
      </c>
      <c r="M125" t="str">
        <f>VLOOKUP(B125,'[2]TABULADOR ok'!$A$2:$I$424,7,FALSE)</f>
        <v>T9</v>
      </c>
      <c r="N125" t="str">
        <f>VLOOKUP(B125,'[2]TABULADOR ok'!$A$2:$I$424,8,FALSE)</f>
        <v>T03851</v>
      </c>
      <c r="O125">
        <f>VLOOKUP(B125,'[2]TABULADOR ok'!$A$2:$I$424,9,FALSE)</f>
        <v>95</v>
      </c>
    </row>
    <row r="126" spans="1:15" x14ac:dyDescent="0.25">
      <c r="A126" s="7">
        <v>2022</v>
      </c>
      <c r="B126" s="8" t="s">
        <v>198</v>
      </c>
      <c r="C126" s="8" t="s">
        <v>199</v>
      </c>
      <c r="D126" s="8" t="s">
        <v>184</v>
      </c>
      <c r="E126" s="9" t="s">
        <v>200</v>
      </c>
      <c r="F126" s="10">
        <f>VLOOKUP(D126,[1]ATM!$A$91:$G$175,5,FALSE)</f>
        <v>18254.3</v>
      </c>
      <c r="G126" s="10">
        <f>VLOOKUP(D126,[1]ATM!$A$91:$G$175,7,FALSE)</f>
        <v>576.35</v>
      </c>
      <c r="H126" s="10">
        <v>1440</v>
      </c>
      <c r="I126" s="10">
        <v>80</v>
      </c>
      <c r="J126" s="10">
        <v>350</v>
      </c>
      <c r="K126" s="6">
        <f t="shared" si="1"/>
        <v>20700.649999999998</v>
      </c>
      <c r="M126" t="str">
        <f>VLOOKUP(B126,'[2]TABULADOR ok'!$A$2:$I$424,7,FALSE)</f>
        <v>T9</v>
      </c>
      <c r="N126" t="str">
        <f>VLOOKUP(B126,'[2]TABULADOR ok'!$A$2:$I$424,8,FALSE)</f>
        <v>T03855</v>
      </c>
      <c r="O126">
        <f>VLOOKUP(B126,'[2]TABULADOR ok'!$A$2:$I$424,9,FALSE)</f>
        <v>95</v>
      </c>
    </row>
    <row r="127" spans="1:15" x14ac:dyDescent="0.25">
      <c r="A127" s="7">
        <v>2022</v>
      </c>
      <c r="B127" s="8" t="s">
        <v>201</v>
      </c>
      <c r="C127" s="8" t="s">
        <v>202</v>
      </c>
      <c r="D127" s="8" t="s">
        <v>184</v>
      </c>
      <c r="E127" s="9" t="s">
        <v>203</v>
      </c>
      <c r="F127" s="10">
        <f>VLOOKUP(D127,[1]ATM!$A$91:$G$175,5,FALSE)</f>
        <v>18254.3</v>
      </c>
      <c r="G127" s="10">
        <f>VLOOKUP(D127,[1]ATM!$A$91:$G$175,7,FALSE)</f>
        <v>576.35</v>
      </c>
      <c r="H127" s="10">
        <v>1440</v>
      </c>
      <c r="I127" s="10">
        <v>80</v>
      </c>
      <c r="J127" s="10">
        <v>350</v>
      </c>
      <c r="K127" s="6">
        <f t="shared" si="1"/>
        <v>20700.649999999998</v>
      </c>
      <c r="M127" t="str">
        <f>VLOOKUP(B127,'[2]TABULADOR ok'!$A$2:$I$424,7,FALSE)</f>
        <v>T9</v>
      </c>
      <c r="N127" t="str">
        <f>VLOOKUP(B127,'[2]TABULADOR ok'!$A$2:$I$424,8,FALSE)</f>
        <v>T04873</v>
      </c>
      <c r="O127">
        <f>VLOOKUP(B127,'[2]TABULADOR ok'!$A$2:$I$424,9,FALSE)</f>
        <v>95</v>
      </c>
    </row>
    <row r="128" spans="1:15" x14ac:dyDescent="0.25">
      <c r="A128" s="7">
        <v>2022</v>
      </c>
      <c r="B128" s="8" t="s">
        <v>204</v>
      </c>
      <c r="C128" s="8" t="s">
        <v>205</v>
      </c>
      <c r="D128" s="8" t="s">
        <v>184</v>
      </c>
      <c r="E128" s="9" t="s">
        <v>206</v>
      </c>
      <c r="F128" s="10">
        <f>VLOOKUP(D128,[1]ATM!$A$91:$G$175,5,FALSE)</f>
        <v>18254.3</v>
      </c>
      <c r="G128" s="10">
        <f>VLOOKUP(D128,[1]ATM!$A$91:$G$175,7,FALSE)</f>
        <v>576.35</v>
      </c>
      <c r="H128" s="10">
        <v>1440</v>
      </c>
      <c r="I128" s="10">
        <v>80</v>
      </c>
      <c r="J128" s="10">
        <v>350</v>
      </c>
      <c r="K128" s="6">
        <f t="shared" si="1"/>
        <v>20700.649999999998</v>
      </c>
      <c r="M128" t="str">
        <f>VLOOKUP(B128,'[2]TABULADOR ok'!$A$2:$I$424,7,FALSE)</f>
        <v>T9</v>
      </c>
      <c r="N128" t="str">
        <f>VLOOKUP(B128,'[2]TABULADOR ok'!$A$2:$I$424,8,FALSE)</f>
        <v>T14007</v>
      </c>
      <c r="O128">
        <f>VLOOKUP(B128,'[2]TABULADOR ok'!$A$2:$I$424,9,FALSE)</f>
        <v>95</v>
      </c>
    </row>
    <row r="129" spans="1:15" x14ac:dyDescent="0.25">
      <c r="A129" s="7">
        <v>2022</v>
      </c>
      <c r="B129" s="8" t="s">
        <v>207</v>
      </c>
      <c r="C129" s="8" t="s">
        <v>208</v>
      </c>
      <c r="D129" s="8" t="s">
        <v>184</v>
      </c>
      <c r="E129" s="9" t="s">
        <v>209</v>
      </c>
      <c r="F129" s="10">
        <f>VLOOKUP(D129,[1]ATM!$A$91:$G$175,5,FALSE)</f>
        <v>18254.3</v>
      </c>
      <c r="G129" s="10">
        <f>VLOOKUP(D129,[1]ATM!$A$91:$G$175,7,FALSE)</f>
        <v>576.35</v>
      </c>
      <c r="H129" s="10">
        <v>1440</v>
      </c>
      <c r="I129" s="10">
        <v>80</v>
      </c>
      <c r="J129" s="10">
        <v>350</v>
      </c>
      <c r="K129" s="6">
        <f t="shared" si="1"/>
        <v>20700.649999999998</v>
      </c>
      <c r="M129" t="str">
        <f>VLOOKUP(B129,'[2]TABULADOR ok'!$A$2:$I$424,7,FALSE)</f>
        <v>T9</v>
      </c>
      <c r="N129" t="str">
        <f>VLOOKUP(B129,'[2]TABULADOR ok'!$A$2:$I$424,8,FALSE)</f>
        <v>T26806</v>
      </c>
      <c r="O129">
        <f>VLOOKUP(B129,'[2]TABULADOR ok'!$A$2:$I$424,9,FALSE)</f>
        <v>95</v>
      </c>
    </row>
    <row r="130" spans="1:15" x14ac:dyDescent="0.25">
      <c r="A130" s="4">
        <v>2021</v>
      </c>
      <c r="B130" s="11" t="s">
        <v>10</v>
      </c>
      <c r="C130" s="11" t="s">
        <v>11</v>
      </c>
      <c r="D130" s="11" t="s">
        <v>12</v>
      </c>
      <c r="E130" s="12" t="s">
        <v>13</v>
      </c>
      <c r="F130" s="5">
        <v>8937</v>
      </c>
      <c r="G130" s="5">
        <v>0</v>
      </c>
      <c r="H130" s="5">
        <v>1440</v>
      </c>
      <c r="I130" s="5">
        <v>80</v>
      </c>
      <c r="J130" s="5">
        <v>350</v>
      </c>
      <c r="K130" s="6">
        <f>SUM(F130:J130)</f>
        <v>10807</v>
      </c>
      <c r="M130" t="str">
        <f>VLOOKUP(B130,'[2]TABULADOR ok'!$A$2:$I$424,7,FALSE)</f>
        <v>T1</v>
      </c>
      <c r="N130" t="str">
        <f>VLOOKUP(B130,'[2]TABULADOR ok'!$A$2:$I$424,8,FALSE)</f>
        <v>S01893</v>
      </c>
      <c r="O130">
        <f>VLOOKUP(B130,'[2]TABULADOR ok'!$A$2:$I$424,9,FALSE)</f>
        <v>95</v>
      </c>
    </row>
    <row r="131" spans="1:15" x14ac:dyDescent="0.25">
      <c r="A131" s="4">
        <v>2021</v>
      </c>
      <c r="B131" s="11" t="s">
        <v>14</v>
      </c>
      <c r="C131" s="11" t="s">
        <v>15</v>
      </c>
      <c r="D131" s="11" t="s">
        <v>16</v>
      </c>
      <c r="E131" s="12" t="s">
        <v>17</v>
      </c>
      <c r="F131" s="5">
        <v>9358</v>
      </c>
      <c r="G131" s="5">
        <v>0</v>
      </c>
      <c r="H131" s="5">
        <v>1440</v>
      </c>
      <c r="I131" s="5">
        <v>80</v>
      </c>
      <c r="J131" s="5">
        <v>350</v>
      </c>
      <c r="K131" s="6">
        <f t="shared" ref="K131:K193" si="2">SUM(F131:J131)</f>
        <v>11228</v>
      </c>
      <c r="M131" t="str">
        <f>VLOOKUP(B131,'[2]TABULADOR ok'!$A$2:$I$424,7,FALSE)</f>
        <v>T2</v>
      </c>
      <c r="N131" t="str">
        <f>VLOOKUP(B131,'[2]TABULADOR ok'!$A$2:$I$424,8,FALSE)</f>
        <v>S01891</v>
      </c>
      <c r="O131">
        <f>VLOOKUP(B131,'[2]TABULADOR ok'!$A$2:$I$424,9,FALSE)</f>
        <v>95</v>
      </c>
    </row>
    <row r="132" spans="1:15" x14ac:dyDescent="0.25">
      <c r="A132" s="4">
        <v>2021</v>
      </c>
      <c r="B132" s="11" t="s">
        <v>18</v>
      </c>
      <c r="C132" s="11" t="s">
        <v>19</v>
      </c>
      <c r="D132" s="11" t="s">
        <v>16</v>
      </c>
      <c r="E132" s="12" t="s">
        <v>20</v>
      </c>
      <c r="F132" s="5">
        <v>9358</v>
      </c>
      <c r="G132" s="5">
        <v>0</v>
      </c>
      <c r="H132" s="5">
        <v>1440</v>
      </c>
      <c r="I132" s="5">
        <v>80</v>
      </c>
      <c r="J132" s="5">
        <v>350</v>
      </c>
      <c r="K132" s="6">
        <f t="shared" si="2"/>
        <v>11228</v>
      </c>
      <c r="M132" t="str">
        <f>VLOOKUP(B132,'[2]TABULADOR ok'!$A$2:$I$424,7,FALSE)</f>
        <v>T2</v>
      </c>
      <c r="N132" t="str">
        <f>VLOOKUP(B132,'[2]TABULADOR ok'!$A$2:$I$424,8,FALSE)</f>
        <v>S03833</v>
      </c>
      <c r="O132">
        <f>VLOOKUP(B132,'[2]TABULADOR ok'!$A$2:$I$424,9,FALSE)</f>
        <v>95</v>
      </c>
    </row>
    <row r="133" spans="1:15" x14ac:dyDescent="0.25">
      <c r="A133" s="4">
        <v>2021</v>
      </c>
      <c r="B133" s="11" t="s">
        <v>21</v>
      </c>
      <c r="C133" s="11" t="s">
        <v>22</v>
      </c>
      <c r="D133" s="11" t="s">
        <v>16</v>
      </c>
      <c r="E133" s="12" t="s">
        <v>23</v>
      </c>
      <c r="F133" s="5">
        <v>9358</v>
      </c>
      <c r="G133" s="5">
        <v>0</v>
      </c>
      <c r="H133" s="5">
        <v>1440</v>
      </c>
      <c r="I133" s="5">
        <v>80</v>
      </c>
      <c r="J133" s="5">
        <v>350</v>
      </c>
      <c r="K133" s="6">
        <f t="shared" si="2"/>
        <v>11228</v>
      </c>
      <c r="M133" t="str">
        <f>VLOOKUP(B133,'[2]TABULADOR ok'!$A$2:$I$424,7,FALSE)</f>
        <v>T2</v>
      </c>
      <c r="N133" t="str">
        <f>VLOOKUP(B133,'[2]TABULADOR ok'!$A$2:$I$424,8,FALSE)</f>
        <v>S12091</v>
      </c>
      <c r="O133">
        <f>VLOOKUP(B133,'[2]TABULADOR ok'!$A$2:$I$424,9,FALSE)</f>
        <v>95</v>
      </c>
    </row>
    <row r="134" spans="1:15" x14ac:dyDescent="0.25">
      <c r="A134" s="4">
        <v>2021</v>
      </c>
      <c r="B134" s="11" t="s">
        <v>24</v>
      </c>
      <c r="C134" s="11" t="s">
        <v>24</v>
      </c>
      <c r="D134" s="11" t="s">
        <v>25</v>
      </c>
      <c r="E134" s="12" t="s">
        <v>26</v>
      </c>
      <c r="F134" s="5">
        <v>9794.5</v>
      </c>
      <c r="G134" s="5">
        <v>0</v>
      </c>
      <c r="H134" s="5">
        <v>1440</v>
      </c>
      <c r="I134" s="5">
        <v>80</v>
      </c>
      <c r="J134" s="5">
        <v>350</v>
      </c>
      <c r="K134" s="6">
        <f t="shared" si="2"/>
        <v>11664.5</v>
      </c>
      <c r="M134" t="str">
        <f>VLOOKUP(B134,'[2]TABULADOR ok'!$A$2:$I$424,7,FALSE)</f>
        <v>T3</v>
      </c>
      <c r="N134" t="str">
        <f>VLOOKUP(B134,'[2]TABULADOR ok'!$A$2:$I$424,8,FALSE)</f>
        <v>A01023</v>
      </c>
      <c r="O134">
        <f>VLOOKUP(B134,'[2]TABULADOR ok'!$A$2:$I$424,9,FALSE)</f>
        <v>95</v>
      </c>
    </row>
    <row r="135" spans="1:15" x14ac:dyDescent="0.25">
      <c r="A135" s="4">
        <v>2021</v>
      </c>
      <c r="B135" s="11" t="s">
        <v>27</v>
      </c>
      <c r="C135" s="11" t="s">
        <v>28</v>
      </c>
      <c r="D135" s="11" t="s">
        <v>25</v>
      </c>
      <c r="E135" s="12" t="s">
        <v>29</v>
      </c>
      <c r="F135" s="5">
        <v>9794.5</v>
      </c>
      <c r="G135" s="5">
        <v>0</v>
      </c>
      <c r="H135" s="5">
        <v>1440</v>
      </c>
      <c r="I135" s="5">
        <v>80</v>
      </c>
      <c r="J135" s="5">
        <v>350</v>
      </c>
      <c r="K135" s="6">
        <f t="shared" si="2"/>
        <v>11664.5</v>
      </c>
      <c r="M135" t="str">
        <f>VLOOKUP(B135,'[2]TABULADOR ok'!$A$2:$I$424,7,FALSE)</f>
        <v>T3</v>
      </c>
      <c r="N135" t="str">
        <f>VLOOKUP(B135,'[2]TABULADOR ok'!$A$2:$I$424,8,FALSE)</f>
        <v>A01040</v>
      </c>
      <c r="O135">
        <f>VLOOKUP(B135,'[2]TABULADOR ok'!$A$2:$I$424,9,FALSE)</f>
        <v>95</v>
      </c>
    </row>
    <row r="136" spans="1:15" x14ac:dyDescent="0.25">
      <c r="A136" s="4">
        <v>2021</v>
      </c>
      <c r="B136" s="11" t="s">
        <v>30</v>
      </c>
      <c r="C136" s="11" t="s">
        <v>31</v>
      </c>
      <c r="D136" s="11" t="s">
        <v>25</v>
      </c>
      <c r="E136" s="12" t="s">
        <v>32</v>
      </c>
      <c r="F136" s="5">
        <v>9794.5</v>
      </c>
      <c r="G136" s="5">
        <v>0</v>
      </c>
      <c r="H136" s="5">
        <v>1440</v>
      </c>
      <c r="I136" s="5">
        <v>80</v>
      </c>
      <c r="J136" s="5">
        <v>350</v>
      </c>
      <c r="K136" s="6">
        <f t="shared" si="2"/>
        <v>11664.5</v>
      </c>
      <c r="M136" t="str">
        <f>VLOOKUP(B136,'[2]TABULADOR ok'!$A$2:$I$424,7,FALSE)</f>
        <v>T3</v>
      </c>
      <c r="N136" t="str">
        <f>VLOOKUP(B136,'[2]TABULADOR ok'!$A$2:$I$424,8,FALSE)</f>
        <v>A02813</v>
      </c>
      <c r="O136">
        <f>VLOOKUP(B136,'[2]TABULADOR ok'!$A$2:$I$424,9,FALSE)</f>
        <v>95</v>
      </c>
    </row>
    <row r="137" spans="1:15" x14ac:dyDescent="0.25">
      <c r="A137" s="4">
        <v>2021</v>
      </c>
      <c r="B137" s="11" t="s">
        <v>33</v>
      </c>
      <c r="C137" s="11" t="s">
        <v>34</v>
      </c>
      <c r="D137" s="11" t="s">
        <v>25</v>
      </c>
      <c r="E137" s="12" t="s">
        <v>35</v>
      </c>
      <c r="F137" s="5">
        <v>9794.5</v>
      </c>
      <c r="G137" s="5">
        <v>0</v>
      </c>
      <c r="H137" s="5">
        <v>1440</v>
      </c>
      <c r="I137" s="5">
        <v>80</v>
      </c>
      <c r="J137" s="5">
        <v>350</v>
      </c>
      <c r="K137" s="6">
        <f t="shared" si="2"/>
        <v>11664.5</v>
      </c>
      <c r="M137" t="str">
        <f>VLOOKUP(B137,'[2]TABULADOR ok'!$A$2:$I$424,7,FALSE)</f>
        <v>T3</v>
      </c>
      <c r="N137" t="str">
        <f>VLOOKUP(B137,'[2]TABULADOR ok'!$A$2:$I$424,8,FALSE)</f>
        <v>A03832</v>
      </c>
      <c r="O137">
        <f>VLOOKUP(B137,'[2]TABULADOR ok'!$A$2:$I$424,9,FALSE)</f>
        <v>95</v>
      </c>
    </row>
    <row r="138" spans="1:15" x14ac:dyDescent="0.25">
      <c r="A138" s="4">
        <v>2021</v>
      </c>
      <c r="B138" s="11" t="s">
        <v>36</v>
      </c>
      <c r="C138" s="11" t="s">
        <v>37</v>
      </c>
      <c r="D138" s="11" t="s">
        <v>25</v>
      </c>
      <c r="E138" s="12" t="s">
        <v>38</v>
      </c>
      <c r="F138" s="5">
        <v>9794.5</v>
      </c>
      <c r="G138" s="5">
        <v>0</v>
      </c>
      <c r="H138" s="5">
        <v>1440</v>
      </c>
      <c r="I138" s="5">
        <v>80</v>
      </c>
      <c r="J138" s="5">
        <v>350</v>
      </c>
      <c r="K138" s="6">
        <f t="shared" si="2"/>
        <v>11664.5</v>
      </c>
      <c r="M138" t="str">
        <f>VLOOKUP(B138,'[2]TABULADOR ok'!$A$2:$I$424,7,FALSE)</f>
        <v>T3</v>
      </c>
      <c r="N138" t="str">
        <f>VLOOKUP(B138,'[2]TABULADOR ok'!$A$2:$I$424,8,FALSE)</f>
        <v>A05012</v>
      </c>
      <c r="O138">
        <f>VLOOKUP(B138,'[2]TABULADOR ok'!$A$2:$I$424,9,FALSE)</f>
        <v>95</v>
      </c>
    </row>
    <row r="139" spans="1:15" x14ac:dyDescent="0.25">
      <c r="A139" s="4">
        <v>2021</v>
      </c>
      <c r="B139" s="11" t="s">
        <v>39</v>
      </c>
      <c r="C139" s="11" t="s">
        <v>40</v>
      </c>
      <c r="D139" s="11" t="s">
        <v>25</v>
      </c>
      <c r="E139" s="12" t="s">
        <v>41</v>
      </c>
      <c r="F139" s="5">
        <v>9794.5</v>
      </c>
      <c r="G139" s="5">
        <v>0</v>
      </c>
      <c r="H139" s="5">
        <v>1440</v>
      </c>
      <c r="I139" s="5">
        <v>80</v>
      </c>
      <c r="J139" s="5">
        <v>350</v>
      </c>
      <c r="K139" s="6">
        <f t="shared" si="2"/>
        <v>11664.5</v>
      </c>
      <c r="M139" t="str">
        <f>VLOOKUP(B139,'[2]TABULADOR ok'!$A$2:$I$424,7,FALSE)</f>
        <v>T3</v>
      </c>
      <c r="N139" t="str">
        <f>VLOOKUP(B139,'[2]TABULADOR ok'!$A$2:$I$424,8,FALSE)</f>
        <v>S01890</v>
      </c>
      <c r="O139">
        <f>VLOOKUP(B139,'[2]TABULADOR ok'!$A$2:$I$424,9,FALSE)</f>
        <v>95</v>
      </c>
    </row>
    <row r="140" spans="1:15" x14ac:dyDescent="0.25">
      <c r="A140" s="4">
        <v>2021</v>
      </c>
      <c r="B140" s="11" t="s">
        <v>42</v>
      </c>
      <c r="C140" s="11" t="s">
        <v>43</v>
      </c>
      <c r="D140" s="11" t="s">
        <v>25</v>
      </c>
      <c r="E140" s="12" t="s">
        <v>44</v>
      </c>
      <c r="F140" s="5">
        <v>9794.5</v>
      </c>
      <c r="G140" s="5">
        <v>0</v>
      </c>
      <c r="H140" s="5">
        <v>1440</v>
      </c>
      <c r="I140" s="5">
        <v>80</v>
      </c>
      <c r="J140" s="5">
        <v>350</v>
      </c>
      <c r="K140" s="6">
        <f t="shared" si="2"/>
        <v>11664.5</v>
      </c>
      <c r="M140" t="str">
        <f>VLOOKUP(B140,'[2]TABULADOR ok'!$A$2:$I$424,7,FALSE)</f>
        <v>T3</v>
      </c>
      <c r="N140" t="str">
        <f>VLOOKUP(B140,'[2]TABULADOR ok'!$A$2:$I$424,8,FALSE)</f>
        <v>S01894</v>
      </c>
      <c r="O140">
        <f>VLOOKUP(B140,'[2]TABULADOR ok'!$A$2:$I$424,9,FALSE)</f>
        <v>95</v>
      </c>
    </row>
    <row r="141" spans="1:15" x14ac:dyDescent="0.25">
      <c r="A141" s="4">
        <v>2021</v>
      </c>
      <c r="B141" s="11" t="s">
        <v>45</v>
      </c>
      <c r="C141" s="11" t="s">
        <v>46</v>
      </c>
      <c r="D141" s="11" t="s">
        <v>47</v>
      </c>
      <c r="E141" s="12" t="s">
        <v>48</v>
      </c>
      <c r="F141" s="5">
        <v>10736</v>
      </c>
      <c r="G141" s="5">
        <v>0</v>
      </c>
      <c r="H141" s="5">
        <v>1440</v>
      </c>
      <c r="I141" s="5">
        <v>80</v>
      </c>
      <c r="J141" s="5">
        <v>350</v>
      </c>
      <c r="K141" s="6">
        <f t="shared" si="2"/>
        <v>12606</v>
      </c>
      <c r="M141" t="str">
        <f>VLOOKUP(B141,'[2]TABULADOR ok'!$A$2:$I$424,7,FALSE)</f>
        <v>T4</v>
      </c>
      <c r="N141" t="str">
        <f>VLOOKUP(B141,'[2]TABULADOR ok'!$A$2:$I$424,8,FALSE)</f>
        <v>A03841</v>
      </c>
      <c r="O141">
        <f>VLOOKUP(B141,'[2]TABULADOR ok'!$A$2:$I$424,9,FALSE)</f>
        <v>95</v>
      </c>
    </row>
    <row r="142" spans="1:15" x14ac:dyDescent="0.25">
      <c r="A142" s="4">
        <v>2021</v>
      </c>
      <c r="B142" s="11" t="s">
        <v>49</v>
      </c>
      <c r="C142" s="11" t="s">
        <v>50</v>
      </c>
      <c r="D142" s="11" t="s">
        <v>47</v>
      </c>
      <c r="E142" s="12" t="s">
        <v>51</v>
      </c>
      <c r="F142" s="5">
        <v>10736</v>
      </c>
      <c r="G142" s="5">
        <v>0</v>
      </c>
      <c r="H142" s="5">
        <v>1440</v>
      </c>
      <c r="I142" s="5">
        <v>80</v>
      </c>
      <c r="J142" s="5">
        <v>350</v>
      </c>
      <c r="K142" s="6">
        <f t="shared" si="2"/>
        <v>12606</v>
      </c>
      <c r="M142" t="str">
        <f>VLOOKUP(B142,'[2]TABULADOR ok'!$A$2:$I$424,7,FALSE)</f>
        <v>T4</v>
      </c>
      <c r="N142" t="str">
        <f>VLOOKUP(B142,'[2]TABULADOR ok'!$A$2:$I$424,8,FALSE)</f>
        <v>C02810</v>
      </c>
      <c r="O142">
        <f>VLOOKUP(B142,'[2]TABULADOR ok'!$A$2:$I$424,9,FALSE)</f>
        <v>95</v>
      </c>
    </row>
    <row r="143" spans="1:15" x14ac:dyDescent="0.25">
      <c r="A143" s="4">
        <v>2021</v>
      </c>
      <c r="B143" s="11" t="s">
        <v>52</v>
      </c>
      <c r="C143" s="11" t="s">
        <v>53</v>
      </c>
      <c r="D143" s="11" t="s">
        <v>47</v>
      </c>
      <c r="E143" s="12" t="s">
        <v>54</v>
      </c>
      <c r="F143" s="5">
        <v>10736</v>
      </c>
      <c r="G143" s="5">
        <v>0</v>
      </c>
      <c r="H143" s="5">
        <v>1440</v>
      </c>
      <c r="I143" s="5">
        <v>80</v>
      </c>
      <c r="J143" s="5">
        <v>350</v>
      </c>
      <c r="K143" s="6">
        <f t="shared" si="2"/>
        <v>12606</v>
      </c>
      <c r="M143" t="str">
        <f>VLOOKUP(B143,'[2]TABULADOR ok'!$A$2:$I$424,7,FALSE)</f>
        <v>T4</v>
      </c>
      <c r="N143" t="str">
        <f>VLOOKUP(B143,'[2]TABULADOR ok'!$A$2:$I$424,8,FALSE)</f>
        <v>S01889</v>
      </c>
      <c r="O143">
        <f>VLOOKUP(B143,'[2]TABULADOR ok'!$A$2:$I$424,9,FALSE)</f>
        <v>95</v>
      </c>
    </row>
    <row r="144" spans="1:15" x14ac:dyDescent="0.25">
      <c r="A144" s="4">
        <v>2021</v>
      </c>
      <c r="B144" s="11" t="s">
        <v>55</v>
      </c>
      <c r="C144" s="11" t="s">
        <v>56</v>
      </c>
      <c r="D144" s="11" t="s">
        <v>47</v>
      </c>
      <c r="E144" s="12" t="s">
        <v>57</v>
      </c>
      <c r="F144" s="5">
        <v>10736</v>
      </c>
      <c r="G144" s="5">
        <v>0</v>
      </c>
      <c r="H144" s="5">
        <v>1440</v>
      </c>
      <c r="I144" s="5">
        <v>80</v>
      </c>
      <c r="J144" s="5">
        <v>350</v>
      </c>
      <c r="K144" s="6">
        <f t="shared" si="2"/>
        <v>12606</v>
      </c>
      <c r="M144" t="str">
        <f>VLOOKUP(B144,'[2]TABULADOR ok'!$A$2:$I$424,7,FALSE)</f>
        <v>T4</v>
      </c>
      <c r="N144" t="str">
        <f>VLOOKUP(B144,'[2]TABULADOR ok'!$A$2:$I$424,8,FALSE)</f>
        <v>S01895</v>
      </c>
      <c r="O144">
        <f>VLOOKUP(B144,'[2]TABULADOR ok'!$A$2:$I$424,9,FALSE)</f>
        <v>95</v>
      </c>
    </row>
    <row r="145" spans="1:15" x14ac:dyDescent="0.25">
      <c r="A145" s="4">
        <v>2021</v>
      </c>
      <c r="B145" s="11" t="s">
        <v>58</v>
      </c>
      <c r="C145" s="11" t="s">
        <v>59</v>
      </c>
      <c r="D145" s="11" t="s">
        <v>47</v>
      </c>
      <c r="E145" s="12" t="s">
        <v>60</v>
      </c>
      <c r="F145" s="5">
        <v>10736</v>
      </c>
      <c r="G145" s="5">
        <v>0</v>
      </c>
      <c r="H145" s="5">
        <v>1440</v>
      </c>
      <c r="I145" s="5">
        <v>80</v>
      </c>
      <c r="J145" s="5">
        <v>350</v>
      </c>
      <c r="K145" s="6">
        <f t="shared" si="2"/>
        <v>12606</v>
      </c>
      <c r="M145" t="str">
        <f>VLOOKUP(B145,'[2]TABULADOR ok'!$A$2:$I$424,7,FALSE)</f>
        <v>T4</v>
      </c>
      <c r="N145" t="str">
        <f>VLOOKUP(B145,'[2]TABULADOR ok'!$A$2:$I$424,8,FALSE)</f>
        <v>S03834</v>
      </c>
      <c r="O145">
        <f>VLOOKUP(B145,'[2]TABULADOR ok'!$A$2:$I$424,9,FALSE)</f>
        <v>95</v>
      </c>
    </row>
    <row r="146" spans="1:15" x14ac:dyDescent="0.25">
      <c r="A146" s="4">
        <v>2021</v>
      </c>
      <c r="B146" s="11" t="s">
        <v>61</v>
      </c>
      <c r="C146" s="11" t="s">
        <v>62</v>
      </c>
      <c r="D146" s="11" t="s">
        <v>47</v>
      </c>
      <c r="E146" s="12" t="s">
        <v>63</v>
      </c>
      <c r="F146" s="5">
        <v>10736</v>
      </c>
      <c r="G146" s="5">
        <v>0</v>
      </c>
      <c r="H146" s="5">
        <v>1440</v>
      </c>
      <c r="I146" s="5">
        <v>80</v>
      </c>
      <c r="J146" s="5">
        <v>350</v>
      </c>
      <c r="K146" s="6">
        <f t="shared" si="2"/>
        <v>12606</v>
      </c>
      <c r="M146" t="str">
        <f>VLOOKUP(B146,'[2]TABULADOR ok'!$A$2:$I$424,7,FALSE)</f>
        <v>T4</v>
      </c>
      <c r="N146" t="str">
        <f>VLOOKUP(B146,'[2]TABULADOR ok'!$A$2:$I$424,8,FALSE)</f>
        <v>S12020</v>
      </c>
      <c r="O146">
        <f>VLOOKUP(B146,'[2]TABULADOR ok'!$A$2:$I$424,9,FALSE)</f>
        <v>95</v>
      </c>
    </row>
    <row r="147" spans="1:15" x14ac:dyDescent="0.25">
      <c r="A147" s="4">
        <v>2021</v>
      </c>
      <c r="B147" s="11" t="s">
        <v>64</v>
      </c>
      <c r="C147" s="11" t="s">
        <v>65</v>
      </c>
      <c r="D147" s="11" t="s">
        <v>47</v>
      </c>
      <c r="E147" s="12" t="s">
        <v>66</v>
      </c>
      <c r="F147" s="5">
        <v>10736</v>
      </c>
      <c r="G147" s="5">
        <v>0</v>
      </c>
      <c r="H147" s="5">
        <v>1440</v>
      </c>
      <c r="I147" s="5">
        <v>80</v>
      </c>
      <c r="J147" s="5">
        <v>350</v>
      </c>
      <c r="K147" s="6">
        <f t="shared" si="2"/>
        <v>12606</v>
      </c>
      <c r="M147" t="str">
        <f>VLOOKUP(B147,'[2]TABULADOR ok'!$A$2:$I$424,7,FALSE)</f>
        <v>T4</v>
      </c>
      <c r="N147" t="str">
        <f>VLOOKUP(B147,'[2]TABULADOR ok'!$A$2:$I$424,8,FALSE)</f>
        <v>S12092</v>
      </c>
      <c r="O147">
        <f>VLOOKUP(B147,'[2]TABULADOR ok'!$A$2:$I$424,9,FALSE)</f>
        <v>95</v>
      </c>
    </row>
    <row r="148" spans="1:15" x14ac:dyDescent="0.25">
      <c r="A148" s="4">
        <v>2021</v>
      </c>
      <c r="B148" s="11" t="s">
        <v>67</v>
      </c>
      <c r="C148" s="11" t="s">
        <v>68</v>
      </c>
      <c r="D148" s="11" t="s">
        <v>47</v>
      </c>
      <c r="E148" s="12" t="s">
        <v>69</v>
      </c>
      <c r="F148" s="5">
        <v>10736</v>
      </c>
      <c r="G148" s="5">
        <v>0</v>
      </c>
      <c r="H148" s="5">
        <v>1440</v>
      </c>
      <c r="I148" s="5">
        <v>80</v>
      </c>
      <c r="J148" s="5">
        <v>350</v>
      </c>
      <c r="K148" s="6">
        <f t="shared" si="2"/>
        <v>12606</v>
      </c>
      <c r="M148" t="str">
        <f>VLOOKUP(B148,'[2]TABULADOR ok'!$A$2:$I$424,7,FALSE)</f>
        <v>T4</v>
      </c>
      <c r="N148" t="str">
        <f>VLOOKUP(B148,'[2]TABULADOR ok'!$A$2:$I$424,8,FALSE)</f>
        <v>S12093</v>
      </c>
      <c r="O148">
        <f>VLOOKUP(B148,'[2]TABULADOR ok'!$A$2:$I$424,9,FALSE)</f>
        <v>95</v>
      </c>
    </row>
    <row r="149" spans="1:15" x14ac:dyDescent="0.25">
      <c r="A149" s="4">
        <v>2021</v>
      </c>
      <c r="B149" s="11" t="s">
        <v>70</v>
      </c>
      <c r="C149" s="11" t="s">
        <v>71</v>
      </c>
      <c r="D149" s="11" t="s">
        <v>47</v>
      </c>
      <c r="E149" s="12" t="s">
        <v>72</v>
      </c>
      <c r="F149" s="5">
        <v>10736</v>
      </c>
      <c r="G149" s="5">
        <v>0</v>
      </c>
      <c r="H149" s="5">
        <v>1440</v>
      </c>
      <c r="I149" s="5">
        <v>80</v>
      </c>
      <c r="J149" s="5">
        <v>350</v>
      </c>
      <c r="K149" s="6">
        <f t="shared" si="2"/>
        <v>12606</v>
      </c>
      <c r="M149" t="str">
        <f>VLOOKUP(B149,'[2]TABULADOR ok'!$A$2:$I$424,7,FALSE)</f>
        <v>T4</v>
      </c>
      <c r="N149" t="str">
        <f>VLOOKUP(B149,'[2]TABULADOR ok'!$A$2:$I$424,8,FALSE)</f>
        <v>S12096</v>
      </c>
      <c r="O149">
        <f>VLOOKUP(B149,'[2]TABULADOR ok'!$A$2:$I$424,9,FALSE)</f>
        <v>95</v>
      </c>
    </row>
    <row r="150" spans="1:15" x14ac:dyDescent="0.25">
      <c r="A150" s="4">
        <v>2021</v>
      </c>
      <c r="B150" s="11" t="s">
        <v>73</v>
      </c>
      <c r="C150" s="11" t="s">
        <v>74</v>
      </c>
      <c r="D150" s="11" t="s">
        <v>47</v>
      </c>
      <c r="E150" s="12" t="s">
        <v>75</v>
      </c>
      <c r="F150" s="5">
        <v>10736</v>
      </c>
      <c r="G150" s="5">
        <v>0</v>
      </c>
      <c r="H150" s="5">
        <v>1440</v>
      </c>
      <c r="I150" s="5">
        <v>80</v>
      </c>
      <c r="J150" s="5">
        <v>350</v>
      </c>
      <c r="K150" s="6">
        <f t="shared" si="2"/>
        <v>12606</v>
      </c>
      <c r="M150" t="str">
        <f>VLOOKUP(B150,'[2]TABULADOR ok'!$A$2:$I$424,7,FALSE)</f>
        <v>T4</v>
      </c>
      <c r="N150" t="str">
        <f>VLOOKUP(B150,'[2]TABULADOR ok'!$A$2:$I$424,8,FALSE)</f>
        <v>S12097</v>
      </c>
      <c r="O150">
        <f>VLOOKUP(B150,'[2]TABULADOR ok'!$A$2:$I$424,9,FALSE)</f>
        <v>95</v>
      </c>
    </row>
    <row r="151" spans="1:15" x14ac:dyDescent="0.25">
      <c r="A151" s="4">
        <v>2021</v>
      </c>
      <c r="B151" s="11" t="s">
        <v>76</v>
      </c>
      <c r="C151" s="11" t="s">
        <v>77</v>
      </c>
      <c r="D151" s="11" t="s">
        <v>47</v>
      </c>
      <c r="E151" s="12" t="s">
        <v>78</v>
      </c>
      <c r="F151" s="5">
        <v>10736</v>
      </c>
      <c r="G151" s="5">
        <v>0</v>
      </c>
      <c r="H151" s="5">
        <v>1440</v>
      </c>
      <c r="I151" s="5">
        <v>80</v>
      </c>
      <c r="J151" s="5">
        <v>350</v>
      </c>
      <c r="K151" s="6">
        <f t="shared" si="2"/>
        <v>12606</v>
      </c>
      <c r="M151" t="str">
        <f>VLOOKUP(B151,'[2]TABULADOR ok'!$A$2:$I$424,7,FALSE)</f>
        <v>T4</v>
      </c>
      <c r="N151" t="str">
        <f>VLOOKUP(B151,'[2]TABULADOR ok'!$A$2:$I$424,8,FALSE)</f>
        <v>S12098</v>
      </c>
      <c r="O151">
        <f>VLOOKUP(B151,'[2]TABULADOR ok'!$A$2:$I$424,9,FALSE)</f>
        <v>95</v>
      </c>
    </row>
    <row r="152" spans="1:15" x14ac:dyDescent="0.25">
      <c r="A152" s="4">
        <v>2021</v>
      </c>
      <c r="B152" s="11" t="s">
        <v>79</v>
      </c>
      <c r="C152" s="11" t="s">
        <v>80</v>
      </c>
      <c r="D152" s="11" t="s">
        <v>47</v>
      </c>
      <c r="E152" s="12" t="s">
        <v>81</v>
      </c>
      <c r="F152" s="5">
        <v>10736</v>
      </c>
      <c r="G152" s="5">
        <v>0</v>
      </c>
      <c r="H152" s="5">
        <v>1440</v>
      </c>
      <c r="I152" s="5">
        <v>80</v>
      </c>
      <c r="J152" s="5">
        <v>350</v>
      </c>
      <c r="K152" s="6">
        <f t="shared" si="2"/>
        <v>12606</v>
      </c>
      <c r="M152" t="str">
        <f>VLOOKUP(B152,'[2]TABULADOR ok'!$A$2:$I$424,7,FALSE)</f>
        <v>T4</v>
      </c>
      <c r="N152" t="str">
        <f>VLOOKUP(B152,'[2]TABULADOR ok'!$A$2:$I$424,8,FALSE)</f>
        <v>T06824</v>
      </c>
      <c r="O152">
        <f>VLOOKUP(B152,'[2]TABULADOR ok'!$A$2:$I$424,9,FALSE)</f>
        <v>95</v>
      </c>
    </row>
    <row r="153" spans="1:15" x14ac:dyDescent="0.25">
      <c r="A153" s="4">
        <v>2021</v>
      </c>
      <c r="B153" s="11" t="s">
        <v>82</v>
      </c>
      <c r="C153" s="11" t="s">
        <v>83</v>
      </c>
      <c r="D153" s="11" t="s">
        <v>84</v>
      </c>
      <c r="E153" s="12" t="s">
        <v>85</v>
      </c>
      <c r="F153" s="5">
        <v>11812.5</v>
      </c>
      <c r="G153" s="5">
        <v>0</v>
      </c>
      <c r="H153" s="5">
        <v>1440</v>
      </c>
      <c r="I153" s="5">
        <v>80</v>
      </c>
      <c r="J153" s="5">
        <v>350</v>
      </c>
      <c r="K153" s="6">
        <f t="shared" si="2"/>
        <v>13682.5</v>
      </c>
      <c r="M153" t="str">
        <f>VLOOKUP(B153,'[2]TABULADOR ok'!$A$2:$I$424,7,FALSE)</f>
        <v>T5</v>
      </c>
      <c r="N153" t="str">
        <f>VLOOKUP(B153,'[2]TABULADOR ok'!$A$2:$I$424,8,FALSE)</f>
        <v>A01038</v>
      </c>
      <c r="O153">
        <f>VLOOKUP(B153,'[2]TABULADOR ok'!$A$2:$I$424,9,FALSE)</f>
        <v>95</v>
      </c>
    </row>
    <row r="154" spans="1:15" x14ac:dyDescent="0.25">
      <c r="A154" s="4">
        <v>2021</v>
      </c>
      <c r="B154" s="11" t="s">
        <v>86</v>
      </c>
      <c r="C154" s="11" t="s">
        <v>87</v>
      </c>
      <c r="D154" s="11" t="s">
        <v>84</v>
      </c>
      <c r="E154" s="12" t="s">
        <v>88</v>
      </c>
      <c r="F154" s="5">
        <v>11812.5</v>
      </c>
      <c r="G154" s="5">
        <v>0</v>
      </c>
      <c r="H154" s="5">
        <v>1440</v>
      </c>
      <c r="I154" s="5">
        <v>80</v>
      </c>
      <c r="J154" s="5">
        <v>350</v>
      </c>
      <c r="K154" s="6">
        <f t="shared" si="2"/>
        <v>13682.5</v>
      </c>
      <c r="M154" t="str">
        <f>VLOOKUP(B154,'[2]TABULADOR ok'!$A$2:$I$424,7,FALSE)</f>
        <v>T5</v>
      </c>
      <c r="N154" t="str">
        <f>VLOOKUP(B154,'[2]TABULADOR ok'!$A$2:$I$424,8,FALSE)</f>
        <v>A03840</v>
      </c>
      <c r="O154">
        <f>VLOOKUP(B154,'[2]TABULADOR ok'!$A$2:$I$424,9,FALSE)</f>
        <v>95</v>
      </c>
    </row>
    <row r="155" spans="1:15" x14ac:dyDescent="0.25">
      <c r="A155" s="4">
        <v>2021</v>
      </c>
      <c r="B155" s="11" t="s">
        <v>89</v>
      </c>
      <c r="C155" s="11" t="s">
        <v>90</v>
      </c>
      <c r="D155" s="11" t="s">
        <v>84</v>
      </c>
      <c r="E155" s="12" t="s">
        <v>91</v>
      </c>
      <c r="F155" s="5">
        <v>11812.5</v>
      </c>
      <c r="G155" s="5">
        <v>0</v>
      </c>
      <c r="H155" s="5">
        <v>1440</v>
      </c>
      <c r="I155" s="5">
        <v>80</v>
      </c>
      <c r="J155" s="5">
        <v>350</v>
      </c>
      <c r="K155" s="6">
        <f t="shared" si="2"/>
        <v>13682.5</v>
      </c>
      <c r="M155" t="str">
        <f>VLOOKUP(B155,'[2]TABULADOR ok'!$A$2:$I$424,7,FALSE)</f>
        <v>T5</v>
      </c>
      <c r="N155" t="str">
        <f>VLOOKUP(B155,'[2]TABULADOR ok'!$A$2:$I$424,8,FALSE)</f>
        <v>A05011</v>
      </c>
      <c r="O155">
        <f>VLOOKUP(B155,'[2]TABULADOR ok'!$A$2:$I$424,9,FALSE)</f>
        <v>95</v>
      </c>
    </row>
    <row r="156" spans="1:15" x14ac:dyDescent="0.25">
      <c r="A156" s="4">
        <v>2021</v>
      </c>
      <c r="B156" s="11" t="s">
        <v>92</v>
      </c>
      <c r="C156" s="11" t="s">
        <v>93</v>
      </c>
      <c r="D156" s="11" t="s">
        <v>84</v>
      </c>
      <c r="E156" s="12" t="s">
        <v>94</v>
      </c>
      <c r="F156" s="5">
        <v>11812.5</v>
      </c>
      <c r="G156" s="5">
        <v>0</v>
      </c>
      <c r="H156" s="5">
        <v>1440</v>
      </c>
      <c r="I156" s="5">
        <v>80</v>
      </c>
      <c r="J156" s="5">
        <v>350</v>
      </c>
      <c r="K156" s="6">
        <f t="shared" si="2"/>
        <v>13682.5</v>
      </c>
      <c r="M156" t="str">
        <f>VLOOKUP(B156,'[2]TABULADOR ok'!$A$2:$I$424,7,FALSE)</f>
        <v>T5</v>
      </c>
      <c r="N156" t="str">
        <f>VLOOKUP(B156,'[2]TABULADOR ok'!$A$2:$I$424,8,FALSE)</f>
        <v>S01892</v>
      </c>
      <c r="O156">
        <f>VLOOKUP(B156,'[2]TABULADOR ok'!$A$2:$I$424,9,FALSE)</f>
        <v>95</v>
      </c>
    </row>
    <row r="157" spans="1:15" x14ac:dyDescent="0.25">
      <c r="A157" s="4">
        <v>2021</v>
      </c>
      <c r="B157" s="11" t="s">
        <v>95</v>
      </c>
      <c r="C157" s="11" t="s">
        <v>96</v>
      </c>
      <c r="D157" s="11" t="s">
        <v>84</v>
      </c>
      <c r="E157" s="12" t="s">
        <v>97</v>
      </c>
      <c r="F157" s="5">
        <v>11812.5</v>
      </c>
      <c r="G157" s="5">
        <v>0</v>
      </c>
      <c r="H157" s="5">
        <v>1440</v>
      </c>
      <c r="I157" s="5">
        <v>80</v>
      </c>
      <c r="J157" s="5">
        <v>350</v>
      </c>
      <c r="K157" s="6">
        <f t="shared" si="2"/>
        <v>13682.5</v>
      </c>
      <c r="M157" t="str">
        <f>VLOOKUP(B157,'[2]TABULADOR ok'!$A$2:$I$424,7,FALSE)</f>
        <v>T5</v>
      </c>
      <c r="N157" t="str">
        <f>VLOOKUP(B157,'[2]TABULADOR ok'!$A$2:$I$424,8,FALSE)</f>
        <v>S01896</v>
      </c>
      <c r="O157">
        <f>VLOOKUP(B157,'[2]TABULADOR ok'!$A$2:$I$424,9,FALSE)</f>
        <v>95</v>
      </c>
    </row>
    <row r="158" spans="1:15" x14ac:dyDescent="0.25">
      <c r="A158" s="4">
        <v>2021</v>
      </c>
      <c r="B158" s="11" t="s">
        <v>98</v>
      </c>
      <c r="C158" s="11" t="s">
        <v>99</v>
      </c>
      <c r="D158" s="11" t="s">
        <v>84</v>
      </c>
      <c r="E158" s="12" t="s">
        <v>100</v>
      </c>
      <c r="F158" s="5">
        <v>11812.5</v>
      </c>
      <c r="G158" s="5">
        <v>0</v>
      </c>
      <c r="H158" s="5">
        <v>1440</v>
      </c>
      <c r="I158" s="5">
        <v>80</v>
      </c>
      <c r="J158" s="5">
        <v>350</v>
      </c>
      <c r="K158" s="6">
        <f t="shared" si="2"/>
        <v>13682.5</v>
      </c>
      <c r="M158" t="str">
        <f>VLOOKUP(B158,'[2]TABULADOR ok'!$A$2:$I$424,7,FALSE)</f>
        <v>T5</v>
      </c>
      <c r="N158" t="str">
        <f>VLOOKUP(B158,'[2]TABULADOR ok'!$A$2:$I$424,8,FALSE)</f>
        <v>S12011</v>
      </c>
      <c r="O158">
        <f>VLOOKUP(B158,'[2]TABULADOR ok'!$A$2:$I$424,9,FALSE)</f>
        <v>95</v>
      </c>
    </row>
    <row r="159" spans="1:15" x14ac:dyDescent="0.25">
      <c r="A159" s="4">
        <v>2021</v>
      </c>
      <c r="B159" s="11" t="s">
        <v>101</v>
      </c>
      <c r="C159" s="11" t="s">
        <v>102</v>
      </c>
      <c r="D159" s="11" t="s">
        <v>84</v>
      </c>
      <c r="E159" s="12" t="s">
        <v>103</v>
      </c>
      <c r="F159" s="5">
        <v>11812.5</v>
      </c>
      <c r="G159" s="5">
        <v>0</v>
      </c>
      <c r="H159" s="5">
        <v>1440</v>
      </c>
      <c r="I159" s="5">
        <v>80</v>
      </c>
      <c r="J159" s="5">
        <v>350</v>
      </c>
      <c r="K159" s="6">
        <f t="shared" si="2"/>
        <v>13682.5</v>
      </c>
      <c r="M159" t="str">
        <f>VLOOKUP(B159,'[2]TABULADOR ok'!$A$2:$I$424,7,FALSE)</f>
        <v>T5</v>
      </c>
      <c r="N159" t="str">
        <f>VLOOKUP(B159,'[2]TABULADOR ok'!$A$2:$I$424,8,FALSE)</f>
        <v>S12094</v>
      </c>
      <c r="O159">
        <f>VLOOKUP(B159,'[2]TABULADOR ok'!$A$2:$I$424,9,FALSE)</f>
        <v>95</v>
      </c>
    </row>
    <row r="160" spans="1:15" x14ac:dyDescent="0.25">
      <c r="A160" s="4">
        <v>2021</v>
      </c>
      <c r="B160" s="11" t="s">
        <v>104</v>
      </c>
      <c r="C160" s="11" t="s">
        <v>105</v>
      </c>
      <c r="D160" s="11" t="s">
        <v>84</v>
      </c>
      <c r="E160" s="12" t="s">
        <v>106</v>
      </c>
      <c r="F160" s="5">
        <v>11812.5</v>
      </c>
      <c r="G160" s="5">
        <v>0</v>
      </c>
      <c r="H160" s="5">
        <v>1440</v>
      </c>
      <c r="I160" s="5">
        <v>80</v>
      </c>
      <c r="J160" s="5">
        <v>350</v>
      </c>
      <c r="K160" s="6">
        <f t="shared" si="2"/>
        <v>13682.5</v>
      </c>
      <c r="M160" t="str">
        <f>VLOOKUP(B160,'[2]TABULADOR ok'!$A$2:$I$424,7,FALSE)</f>
        <v>T5</v>
      </c>
      <c r="N160" t="str">
        <f>VLOOKUP(B160,'[2]TABULADOR ok'!$A$2:$I$424,8,FALSE)</f>
        <v>T03853</v>
      </c>
      <c r="O160">
        <f>VLOOKUP(B160,'[2]TABULADOR ok'!$A$2:$I$424,9,FALSE)</f>
        <v>95</v>
      </c>
    </row>
    <row r="161" spans="1:15" x14ac:dyDescent="0.25">
      <c r="A161" s="4">
        <v>2021</v>
      </c>
      <c r="B161" s="11" t="s">
        <v>107</v>
      </c>
      <c r="C161" s="11" t="s">
        <v>108</v>
      </c>
      <c r="D161" s="11" t="s">
        <v>84</v>
      </c>
      <c r="E161" s="12" t="s">
        <v>109</v>
      </c>
      <c r="F161" s="5">
        <v>11812.5</v>
      </c>
      <c r="G161" s="5">
        <v>0</v>
      </c>
      <c r="H161" s="5">
        <v>1440</v>
      </c>
      <c r="I161" s="5">
        <v>80</v>
      </c>
      <c r="J161" s="5">
        <v>350</v>
      </c>
      <c r="K161" s="6">
        <f t="shared" si="2"/>
        <v>13682.5</v>
      </c>
      <c r="M161" t="str">
        <f>VLOOKUP(B161,'[2]TABULADOR ok'!$A$2:$I$424,7,FALSE)</f>
        <v>T5</v>
      </c>
      <c r="N161" t="str">
        <f>VLOOKUP(B161,'[2]TABULADOR ok'!$A$2:$I$424,8,FALSE)</f>
        <v>T13818</v>
      </c>
      <c r="O161">
        <f>VLOOKUP(B161,'[2]TABULADOR ok'!$A$2:$I$424,9,FALSE)</f>
        <v>95</v>
      </c>
    </row>
    <row r="162" spans="1:15" x14ac:dyDescent="0.25">
      <c r="A162" s="4">
        <v>2021</v>
      </c>
      <c r="B162" s="11" t="s">
        <v>110</v>
      </c>
      <c r="C162" s="11" t="s">
        <v>111</v>
      </c>
      <c r="D162" s="11" t="s">
        <v>84</v>
      </c>
      <c r="E162" s="12" t="s">
        <v>112</v>
      </c>
      <c r="F162" s="5">
        <v>11812.5</v>
      </c>
      <c r="G162" s="5">
        <v>0</v>
      </c>
      <c r="H162" s="5">
        <v>1440</v>
      </c>
      <c r="I162" s="5">
        <v>80</v>
      </c>
      <c r="J162" s="5">
        <v>350</v>
      </c>
      <c r="K162" s="6">
        <f t="shared" si="2"/>
        <v>13682.5</v>
      </c>
      <c r="M162" t="str">
        <f>VLOOKUP(B162,'[2]TABULADOR ok'!$A$2:$I$424,7,FALSE)</f>
        <v>T5</v>
      </c>
      <c r="N162" t="str">
        <f>VLOOKUP(B162,'[2]TABULADOR ok'!$A$2:$I$424,8,FALSE)</f>
        <v>T14034</v>
      </c>
      <c r="O162">
        <f>VLOOKUP(B162,'[2]TABULADOR ok'!$A$2:$I$424,9,FALSE)</f>
        <v>95</v>
      </c>
    </row>
    <row r="163" spans="1:15" x14ac:dyDescent="0.25">
      <c r="A163" s="4">
        <v>2021</v>
      </c>
      <c r="B163" s="11" t="s">
        <v>113</v>
      </c>
      <c r="C163" s="11" t="s">
        <v>114</v>
      </c>
      <c r="D163" s="11" t="s">
        <v>115</v>
      </c>
      <c r="E163" s="12" t="s">
        <v>116</v>
      </c>
      <c r="F163" s="5">
        <v>13137</v>
      </c>
      <c r="G163" s="5">
        <v>0</v>
      </c>
      <c r="H163" s="5">
        <v>1440</v>
      </c>
      <c r="I163" s="5">
        <v>80</v>
      </c>
      <c r="J163" s="5">
        <v>350</v>
      </c>
      <c r="K163" s="6">
        <f t="shared" si="2"/>
        <v>15007</v>
      </c>
      <c r="M163" t="str">
        <f>VLOOKUP(B163,'[2]TABULADOR ok'!$A$2:$I$424,7,FALSE)</f>
        <v>T6</v>
      </c>
      <c r="N163" t="str">
        <f>VLOOKUP(B163,'[2]TABULADOR ok'!$A$2:$I$424,8,FALSE)</f>
        <v>A03839</v>
      </c>
      <c r="O163">
        <f>VLOOKUP(B163,'[2]TABULADOR ok'!$A$2:$I$424,9,FALSE)</f>
        <v>95</v>
      </c>
    </row>
    <row r="164" spans="1:15" x14ac:dyDescent="0.25">
      <c r="A164" s="4">
        <v>2021</v>
      </c>
      <c r="B164" s="11" t="s">
        <v>117</v>
      </c>
      <c r="C164" s="11" t="s">
        <v>118</v>
      </c>
      <c r="D164" s="11" t="s">
        <v>115</v>
      </c>
      <c r="E164" s="12" t="s">
        <v>119</v>
      </c>
      <c r="F164" s="5">
        <v>13137</v>
      </c>
      <c r="G164" s="5">
        <v>0</v>
      </c>
      <c r="H164" s="5">
        <v>1440</v>
      </c>
      <c r="I164" s="5">
        <v>80</v>
      </c>
      <c r="J164" s="5">
        <v>350</v>
      </c>
      <c r="K164" s="6">
        <f t="shared" si="2"/>
        <v>15007</v>
      </c>
      <c r="M164" t="str">
        <f>VLOOKUP(B164,'[2]TABULADOR ok'!$A$2:$I$424,7,FALSE)</f>
        <v>T6</v>
      </c>
      <c r="N164" t="str">
        <f>VLOOKUP(B164,'[2]TABULADOR ok'!$A$2:$I$424,8,FALSE)</f>
        <v>P07027</v>
      </c>
      <c r="O164">
        <f>VLOOKUP(B164,'[2]TABULADOR ok'!$A$2:$I$424,9,FALSE)</f>
        <v>95</v>
      </c>
    </row>
    <row r="165" spans="1:15" x14ac:dyDescent="0.25">
      <c r="A165" s="4">
        <v>2021</v>
      </c>
      <c r="B165" s="11" t="s">
        <v>120</v>
      </c>
      <c r="C165" s="11" t="s">
        <v>121</v>
      </c>
      <c r="D165" s="11" t="s">
        <v>115</v>
      </c>
      <c r="E165" s="12" t="s">
        <v>122</v>
      </c>
      <c r="F165" s="5">
        <v>13137</v>
      </c>
      <c r="G165" s="5">
        <v>0</v>
      </c>
      <c r="H165" s="5">
        <v>1440</v>
      </c>
      <c r="I165" s="5">
        <v>80</v>
      </c>
      <c r="J165" s="5">
        <v>350</v>
      </c>
      <c r="K165" s="6">
        <f t="shared" si="2"/>
        <v>15007</v>
      </c>
      <c r="M165" t="str">
        <f>VLOOKUP(B165,'[2]TABULADOR ok'!$A$2:$I$424,7,FALSE)</f>
        <v>T6</v>
      </c>
      <c r="N165" t="str">
        <f>VLOOKUP(B165,'[2]TABULADOR ok'!$A$2:$I$424,8,FALSE)</f>
        <v>S03830</v>
      </c>
      <c r="O165">
        <f>VLOOKUP(B165,'[2]TABULADOR ok'!$A$2:$I$424,9,FALSE)</f>
        <v>95</v>
      </c>
    </row>
    <row r="166" spans="1:15" x14ac:dyDescent="0.25">
      <c r="A166" s="4">
        <v>2021</v>
      </c>
      <c r="B166" s="11" t="s">
        <v>123</v>
      </c>
      <c r="C166" s="11" t="s">
        <v>124</v>
      </c>
      <c r="D166" s="11" t="s">
        <v>115</v>
      </c>
      <c r="E166" s="12" t="s">
        <v>125</v>
      </c>
      <c r="F166" s="5">
        <v>13137</v>
      </c>
      <c r="G166" s="5">
        <v>0</v>
      </c>
      <c r="H166" s="5">
        <v>1440</v>
      </c>
      <c r="I166" s="5">
        <v>80</v>
      </c>
      <c r="J166" s="5">
        <v>350</v>
      </c>
      <c r="K166" s="6">
        <f t="shared" si="2"/>
        <v>15007</v>
      </c>
      <c r="M166" t="str">
        <f>VLOOKUP(B166,'[2]TABULADOR ok'!$A$2:$I$424,7,FALSE)</f>
        <v>T6</v>
      </c>
      <c r="N166" t="str">
        <f>VLOOKUP(B166,'[2]TABULADOR ok'!$A$2:$I$424,8,FALSE)</f>
        <v>S03831</v>
      </c>
      <c r="O166">
        <f>VLOOKUP(B166,'[2]TABULADOR ok'!$A$2:$I$424,9,FALSE)</f>
        <v>95</v>
      </c>
    </row>
    <row r="167" spans="1:15" x14ac:dyDescent="0.25">
      <c r="A167" s="4">
        <v>2021</v>
      </c>
      <c r="B167" s="11" t="s">
        <v>126</v>
      </c>
      <c r="C167" s="11" t="s">
        <v>127</v>
      </c>
      <c r="D167" s="11" t="s">
        <v>115</v>
      </c>
      <c r="E167" s="12" t="s">
        <v>128</v>
      </c>
      <c r="F167" s="5">
        <v>13137</v>
      </c>
      <c r="G167" s="5">
        <v>0</v>
      </c>
      <c r="H167" s="5">
        <v>1440</v>
      </c>
      <c r="I167" s="5">
        <v>80</v>
      </c>
      <c r="J167" s="5">
        <v>350</v>
      </c>
      <c r="K167" s="6">
        <f t="shared" si="2"/>
        <v>15007</v>
      </c>
      <c r="M167" t="str">
        <f>VLOOKUP(B167,'[2]TABULADOR ok'!$A$2:$I$424,7,FALSE)</f>
        <v>T6</v>
      </c>
      <c r="N167" t="str">
        <f>VLOOKUP(B167,'[2]TABULADOR ok'!$A$2:$I$424,8,FALSE)</f>
        <v>S09807</v>
      </c>
      <c r="O167">
        <f>VLOOKUP(B167,'[2]TABULADOR ok'!$A$2:$I$424,9,FALSE)</f>
        <v>95</v>
      </c>
    </row>
    <row r="168" spans="1:15" x14ac:dyDescent="0.25">
      <c r="A168" s="4">
        <v>2021</v>
      </c>
      <c r="B168" s="11" t="s">
        <v>129</v>
      </c>
      <c r="C168" s="11" t="s">
        <v>130</v>
      </c>
      <c r="D168" s="11" t="s">
        <v>115</v>
      </c>
      <c r="E168" s="12" t="s">
        <v>131</v>
      </c>
      <c r="F168" s="5">
        <v>13137</v>
      </c>
      <c r="G168" s="5">
        <v>0</v>
      </c>
      <c r="H168" s="5">
        <v>1440</v>
      </c>
      <c r="I168" s="5">
        <v>80</v>
      </c>
      <c r="J168" s="5">
        <v>350</v>
      </c>
      <c r="K168" s="6">
        <f t="shared" si="2"/>
        <v>15007</v>
      </c>
      <c r="M168" t="str">
        <f>VLOOKUP(B168,'[2]TABULADOR ok'!$A$2:$I$424,7,FALSE)</f>
        <v>T6</v>
      </c>
      <c r="N168" t="str">
        <f>VLOOKUP(B168,'[2]TABULADOR ok'!$A$2:$I$424,8,FALSE)</f>
        <v>T06823</v>
      </c>
      <c r="O168">
        <f>VLOOKUP(B168,'[2]TABULADOR ok'!$A$2:$I$424,9,FALSE)</f>
        <v>95</v>
      </c>
    </row>
    <row r="169" spans="1:15" x14ac:dyDescent="0.25">
      <c r="A169" s="4">
        <v>2021</v>
      </c>
      <c r="B169" s="11" t="s">
        <v>132</v>
      </c>
      <c r="C169" s="11" t="s">
        <v>133</v>
      </c>
      <c r="D169" s="11" t="s">
        <v>115</v>
      </c>
      <c r="E169" s="12" t="s">
        <v>134</v>
      </c>
      <c r="F169" s="5">
        <v>13137</v>
      </c>
      <c r="G169" s="5">
        <v>0</v>
      </c>
      <c r="H169" s="5">
        <v>1440</v>
      </c>
      <c r="I169" s="5">
        <v>80</v>
      </c>
      <c r="J169" s="5">
        <v>350</v>
      </c>
      <c r="K169" s="6">
        <f t="shared" si="2"/>
        <v>15007</v>
      </c>
      <c r="M169" t="str">
        <f>VLOOKUP(B169,'[2]TABULADOR ok'!$A$2:$I$424,7,FALSE)</f>
        <v>T6</v>
      </c>
      <c r="N169" t="str">
        <f>VLOOKUP(B169,'[2]TABULADOR ok'!$A$2:$I$424,8,FALSE)</f>
        <v>T08813</v>
      </c>
      <c r="O169">
        <f>VLOOKUP(B169,'[2]TABULADOR ok'!$A$2:$I$424,9,FALSE)</f>
        <v>95</v>
      </c>
    </row>
    <row r="170" spans="1:15" x14ac:dyDescent="0.25">
      <c r="A170" s="4">
        <v>2021</v>
      </c>
      <c r="B170" s="11" t="s">
        <v>135</v>
      </c>
      <c r="C170" s="11" t="s">
        <v>136</v>
      </c>
      <c r="D170" s="11" t="s">
        <v>137</v>
      </c>
      <c r="E170" s="12" t="s">
        <v>138</v>
      </c>
      <c r="F170" s="5">
        <v>14281.5</v>
      </c>
      <c r="G170" s="5">
        <v>0</v>
      </c>
      <c r="H170" s="5">
        <v>1440</v>
      </c>
      <c r="I170" s="5">
        <v>80</v>
      </c>
      <c r="J170" s="5">
        <v>350</v>
      </c>
      <c r="K170" s="6">
        <f t="shared" si="2"/>
        <v>16151.5</v>
      </c>
      <c r="M170" t="str">
        <f>VLOOKUP(B170,'[2]TABULADOR ok'!$A$2:$I$424,7,FALSE)</f>
        <v>T7</v>
      </c>
      <c r="N170" t="str">
        <f>VLOOKUP(B170,'[2]TABULADOR ok'!$A$2:$I$424,8,FALSE)</f>
        <v>A01037</v>
      </c>
      <c r="O170">
        <f>VLOOKUP(B170,'[2]TABULADOR ok'!$A$2:$I$424,9,FALSE)</f>
        <v>95</v>
      </c>
    </row>
    <row r="171" spans="1:15" x14ac:dyDescent="0.25">
      <c r="A171" s="4">
        <v>2021</v>
      </c>
      <c r="B171" s="11" t="s">
        <v>139</v>
      </c>
      <c r="C171" s="11" t="s">
        <v>140</v>
      </c>
      <c r="D171" s="11" t="s">
        <v>137</v>
      </c>
      <c r="E171" s="12" t="s">
        <v>141</v>
      </c>
      <c r="F171" s="5">
        <v>14281.5</v>
      </c>
      <c r="G171" s="5">
        <v>0</v>
      </c>
      <c r="H171" s="5">
        <v>1440</v>
      </c>
      <c r="I171" s="5">
        <v>80</v>
      </c>
      <c r="J171" s="5">
        <v>350</v>
      </c>
      <c r="K171" s="6">
        <f t="shared" si="2"/>
        <v>16151.5</v>
      </c>
      <c r="M171" t="str">
        <f>VLOOKUP(B171,'[2]TABULADOR ok'!$A$2:$I$424,7,FALSE)</f>
        <v>T7</v>
      </c>
      <c r="N171" t="str">
        <f>VLOOKUP(B171,'[2]TABULADOR ok'!$A$2:$I$424,8,FALSE)</f>
        <v>A02815</v>
      </c>
      <c r="O171">
        <f>VLOOKUP(B171,'[2]TABULADOR ok'!$A$2:$I$424,9,FALSE)</f>
        <v>95</v>
      </c>
    </row>
    <row r="172" spans="1:15" x14ac:dyDescent="0.25">
      <c r="A172" s="4">
        <v>2021</v>
      </c>
      <c r="B172" s="11" t="s">
        <v>142</v>
      </c>
      <c r="C172" s="11" t="s">
        <v>143</v>
      </c>
      <c r="D172" s="11" t="s">
        <v>137</v>
      </c>
      <c r="E172" s="12" t="s">
        <v>144</v>
      </c>
      <c r="F172" s="5">
        <v>14281.5</v>
      </c>
      <c r="G172" s="5">
        <v>0</v>
      </c>
      <c r="H172" s="5">
        <v>1440</v>
      </c>
      <c r="I172" s="5">
        <v>80</v>
      </c>
      <c r="J172" s="5">
        <v>350</v>
      </c>
      <c r="K172" s="6">
        <f t="shared" si="2"/>
        <v>16151.5</v>
      </c>
      <c r="M172" t="str">
        <f>VLOOKUP(B172,'[2]TABULADOR ok'!$A$2:$I$424,7,FALSE)</f>
        <v>T7</v>
      </c>
      <c r="N172" t="str">
        <f>VLOOKUP(B172,'[2]TABULADOR ok'!$A$2:$I$424,8,FALSE)</f>
        <v>C01817</v>
      </c>
      <c r="O172">
        <f>VLOOKUP(B172,'[2]TABULADOR ok'!$A$2:$I$424,9,FALSE)</f>
        <v>95</v>
      </c>
    </row>
    <row r="173" spans="1:15" x14ac:dyDescent="0.25">
      <c r="A173" s="4">
        <v>2021</v>
      </c>
      <c r="B173" s="11" t="s">
        <v>145</v>
      </c>
      <c r="C173" s="11" t="s">
        <v>146</v>
      </c>
      <c r="D173" s="11" t="s">
        <v>137</v>
      </c>
      <c r="E173" s="12" t="s">
        <v>147</v>
      </c>
      <c r="F173" s="5">
        <v>14281.5</v>
      </c>
      <c r="G173" s="5">
        <v>0</v>
      </c>
      <c r="H173" s="5">
        <v>1440</v>
      </c>
      <c r="I173" s="5">
        <v>80</v>
      </c>
      <c r="J173" s="5">
        <v>350</v>
      </c>
      <c r="K173" s="6">
        <f t="shared" si="2"/>
        <v>16151.5</v>
      </c>
      <c r="M173" t="str">
        <f>VLOOKUP(B173,'[2]TABULADOR ok'!$A$2:$I$424,7,FALSE)</f>
        <v>T7</v>
      </c>
      <c r="N173" t="str">
        <f>VLOOKUP(B173,'[2]TABULADOR ok'!$A$2:$I$424,8,FALSE)</f>
        <v>P07026</v>
      </c>
      <c r="O173">
        <f>VLOOKUP(B173,'[2]TABULADOR ok'!$A$2:$I$424,9,FALSE)</f>
        <v>95</v>
      </c>
    </row>
    <row r="174" spans="1:15" x14ac:dyDescent="0.25">
      <c r="A174" s="4">
        <v>2021</v>
      </c>
      <c r="B174" s="11" t="s">
        <v>148</v>
      </c>
      <c r="C174" s="11" t="s">
        <v>149</v>
      </c>
      <c r="D174" s="11" t="s">
        <v>137</v>
      </c>
      <c r="E174" s="12" t="s">
        <v>150</v>
      </c>
      <c r="F174" s="5">
        <v>14281.5</v>
      </c>
      <c r="G174" s="5">
        <v>0</v>
      </c>
      <c r="H174" s="5">
        <v>1440</v>
      </c>
      <c r="I174" s="5">
        <v>80</v>
      </c>
      <c r="J174" s="5">
        <v>350</v>
      </c>
      <c r="K174" s="6">
        <f t="shared" si="2"/>
        <v>16151.5</v>
      </c>
      <c r="M174" t="str">
        <f>VLOOKUP(B174,'[2]TABULADOR ok'!$A$2:$I$424,7,FALSE)</f>
        <v>T7</v>
      </c>
      <c r="N174" t="str">
        <f>VLOOKUP(B174,'[2]TABULADOR ok'!$A$2:$I$424,8,FALSE)</f>
        <v>T05822</v>
      </c>
      <c r="O174">
        <f>VLOOKUP(B174,'[2]TABULADOR ok'!$A$2:$I$424,9,FALSE)</f>
        <v>95</v>
      </c>
    </row>
    <row r="175" spans="1:15" x14ac:dyDescent="0.25">
      <c r="A175" s="4">
        <v>2021</v>
      </c>
      <c r="B175" s="11" t="s">
        <v>151</v>
      </c>
      <c r="C175" s="11" t="s">
        <v>152</v>
      </c>
      <c r="D175" s="11" t="s">
        <v>137</v>
      </c>
      <c r="E175" s="12" t="s">
        <v>153</v>
      </c>
      <c r="F175" s="5">
        <v>14281.5</v>
      </c>
      <c r="G175" s="5">
        <v>0</v>
      </c>
      <c r="H175" s="5">
        <v>1440</v>
      </c>
      <c r="I175" s="5">
        <v>80</v>
      </c>
      <c r="J175" s="5">
        <v>350</v>
      </c>
      <c r="K175" s="6">
        <f t="shared" si="2"/>
        <v>16151.5</v>
      </c>
      <c r="M175" t="str">
        <f>VLOOKUP(B175,'[2]TABULADOR ok'!$A$2:$I$424,7,FALSE)</f>
        <v>T7</v>
      </c>
      <c r="N175" t="str">
        <f>VLOOKUP(B175,'[2]TABULADOR ok'!$A$2:$I$424,8,FALSE)</f>
        <v>T09001</v>
      </c>
      <c r="O175">
        <f>VLOOKUP(B175,'[2]TABULADOR ok'!$A$2:$I$424,9,FALSE)</f>
        <v>95</v>
      </c>
    </row>
    <row r="176" spans="1:15" x14ac:dyDescent="0.25">
      <c r="A176" s="4">
        <v>2021</v>
      </c>
      <c r="B176" s="11" t="s">
        <v>154</v>
      </c>
      <c r="C176" s="11" t="s">
        <v>155</v>
      </c>
      <c r="D176" s="11" t="s">
        <v>137</v>
      </c>
      <c r="E176" s="12" t="s">
        <v>156</v>
      </c>
      <c r="F176" s="5">
        <v>14281.5</v>
      </c>
      <c r="G176" s="5">
        <v>0</v>
      </c>
      <c r="H176" s="5">
        <v>1440</v>
      </c>
      <c r="I176" s="5">
        <v>80</v>
      </c>
      <c r="J176" s="5">
        <v>350</v>
      </c>
      <c r="K176" s="6">
        <f t="shared" si="2"/>
        <v>16151.5</v>
      </c>
      <c r="M176" t="str">
        <f>VLOOKUP(B176,'[2]TABULADOR ok'!$A$2:$I$424,7,FALSE)</f>
        <v>T7</v>
      </c>
      <c r="N176" t="str">
        <f>VLOOKUP(B176,'[2]TABULADOR ok'!$A$2:$I$424,8,FALSE)</f>
        <v>T13817</v>
      </c>
      <c r="O176">
        <f>VLOOKUP(B176,'[2]TABULADOR ok'!$A$2:$I$424,9,FALSE)</f>
        <v>95</v>
      </c>
    </row>
    <row r="177" spans="1:15" x14ac:dyDescent="0.25">
      <c r="A177" s="4">
        <v>2021</v>
      </c>
      <c r="B177" s="11" t="s">
        <v>157</v>
      </c>
      <c r="C177" s="11" t="s">
        <v>158</v>
      </c>
      <c r="D177" s="11" t="s">
        <v>137</v>
      </c>
      <c r="E177" s="12" t="s">
        <v>159</v>
      </c>
      <c r="F177" s="5">
        <v>14281.5</v>
      </c>
      <c r="G177" s="5">
        <v>0</v>
      </c>
      <c r="H177" s="5">
        <v>1440</v>
      </c>
      <c r="I177" s="5">
        <v>80</v>
      </c>
      <c r="J177" s="5">
        <v>350</v>
      </c>
      <c r="K177" s="6">
        <f t="shared" si="2"/>
        <v>16151.5</v>
      </c>
      <c r="M177" t="str">
        <f>VLOOKUP(B177,'[2]TABULADOR ok'!$A$2:$I$424,7,FALSE)</f>
        <v>T7</v>
      </c>
      <c r="N177" t="str">
        <f>VLOOKUP(B177,'[2]TABULADOR ok'!$A$2:$I$424,8,FALSE)</f>
        <v>T14019</v>
      </c>
      <c r="O177">
        <f>VLOOKUP(B177,'[2]TABULADOR ok'!$A$2:$I$424,9,FALSE)</f>
        <v>95</v>
      </c>
    </row>
    <row r="178" spans="1:15" x14ac:dyDescent="0.25">
      <c r="A178" s="4">
        <v>2021</v>
      </c>
      <c r="B178" s="11" t="s">
        <v>160</v>
      </c>
      <c r="C178" s="11" t="s">
        <v>161</v>
      </c>
      <c r="D178" s="11" t="s">
        <v>137</v>
      </c>
      <c r="E178" s="12" t="s">
        <v>162</v>
      </c>
      <c r="F178" s="5">
        <v>14281.5</v>
      </c>
      <c r="G178" s="5">
        <v>0</v>
      </c>
      <c r="H178" s="5">
        <v>1440</v>
      </c>
      <c r="I178" s="5">
        <v>80</v>
      </c>
      <c r="J178" s="5">
        <v>350</v>
      </c>
      <c r="K178" s="6">
        <f t="shared" si="2"/>
        <v>16151.5</v>
      </c>
      <c r="M178" t="str">
        <f>VLOOKUP(B178,'[2]TABULADOR ok'!$A$2:$I$424,7,FALSE)</f>
        <v>T7</v>
      </c>
      <c r="N178" t="str">
        <f>VLOOKUP(B178,'[2]TABULADOR ok'!$A$2:$I$424,8,FALSE)</f>
        <v>T16817</v>
      </c>
      <c r="O178">
        <f>VLOOKUP(B178,'[2]TABULADOR ok'!$A$2:$I$424,9,FALSE)</f>
        <v>95</v>
      </c>
    </row>
    <row r="179" spans="1:15" x14ac:dyDescent="0.25">
      <c r="A179" s="4">
        <v>2021</v>
      </c>
      <c r="B179" s="11" t="s">
        <v>163</v>
      </c>
      <c r="C179" s="11" t="s">
        <v>164</v>
      </c>
      <c r="D179" s="11" t="s">
        <v>165</v>
      </c>
      <c r="E179" s="12" t="s">
        <v>166</v>
      </c>
      <c r="F179" s="5">
        <v>15780</v>
      </c>
      <c r="G179" s="5">
        <v>0</v>
      </c>
      <c r="H179" s="5">
        <v>1440</v>
      </c>
      <c r="I179" s="5">
        <v>80</v>
      </c>
      <c r="J179" s="5">
        <v>350</v>
      </c>
      <c r="K179" s="6">
        <f t="shared" si="2"/>
        <v>17650</v>
      </c>
      <c r="M179" t="str">
        <f>VLOOKUP(B179,'[2]TABULADOR ok'!$A$2:$I$424,7,FALSE)</f>
        <v>T8</v>
      </c>
      <c r="N179" t="str">
        <f>VLOOKUP(B179,'[2]TABULADOR ok'!$A$2:$I$424,8,FALSE)</f>
        <v>A01036</v>
      </c>
      <c r="O179">
        <f>VLOOKUP(B179,'[2]TABULADOR ok'!$A$2:$I$424,9,FALSE)</f>
        <v>95</v>
      </c>
    </row>
    <row r="180" spans="1:15" x14ac:dyDescent="0.25">
      <c r="A180" s="4">
        <v>2021</v>
      </c>
      <c r="B180" s="11" t="s">
        <v>167</v>
      </c>
      <c r="C180" s="11" t="s">
        <v>168</v>
      </c>
      <c r="D180" s="11" t="s">
        <v>165</v>
      </c>
      <c r="E180" s="12" t="s">
        <v>169</v>
      </c>
      <c r="F180" s="5">
        <v>15780</v>
      </c>
      <c r="G180" s="5">
        <v>0</v>
      </c>
      <c r="H180" s="5">
        <v>1440</v>
      </c>
      <c r="I180" s="5">
        <v>80</v>
      </c>
      <c r="J180" s="5">
        <v>350</v>
      </c>
      <c r="K180" s="6">
        <f t="shared" si="2"/>
        <v>17650</v>
      </c>
      <c r="M180" t="str">
        <f>VLOOKUP(B180,'[2]TABULADOR ok'!$A$2:$I$424,7,FALSE)</f>
        <v>T8</v>
      </c>
      <c r="N180" t="str">
        <f>VLOOKUP(B180,'[2]TABULADOR ok'!$A$2:$I$424,8,FALSE)</f>
        <v>A06009</v>
      </c>
      <c r="O180">
        <f>VLOOKUP(B180,'[2]TABULADOR ok'!$A$2:$I$424,9,FALSE)</f>
        <v>95</v>
      </c>
    </row>
    <row r="181" spans="1:15" x14ac:dyDescent="0.25">
      <c r="A181" s="4">
        <v>2021</v>
      </c>
      <c r="B181" s="11" t="s">
        <v>170</v>
      </c>
      <c r="C181" s="11" t="s">
        <v>171</v>
      </c>
      <c r="D181" s="11" t="s">
        <v>165</v>
      </c>
      <c r="E181" s="12" t="s">
        <v>172</v>
      </c>
      <c r="F181" s="5">
        <v>15780</v>
      </c>
      <c r="G181" s="5">
        <v>0</v>
      </c>
      <c r="H181" s="5">
        <v>1440</v>
      </c>
      <c r="I181" s="5">
        <v>80</v>
      </c>
      <c r="J181" s="5">
        <v>350</v>
      </c>
      <c r="K181" s="6">
        <f t="shared" si="2"/>
        <v>17650</v>
      </c>
      <c r="M181" t="str">
        <f>VLOOKUP(B181,'[2]TABULADOR ok'!$A$2:$I$424,7,FALSE)</f>
        <v>T8</v>
      </c>
      <c r="N181" t="str">
        <f>VLOOKUP(B181,'[2]TABULADOR ok'!$A$2:$I$424,8,FALSE)</f>
        <v>C01818</v>
      </c>
      <c r="O181">
        <f>VLOOKUP(B181,'[2]TABULADOR ok'!$A$2:$I$424,9,FALSE)</f>
        <v>95</v>
      </c>
    </row>
    <row r="182" spans="1:15" x14ac:dyDescent="0.25">
      <c r="A182" s="4">
        <v>2021</v>
      </c>
      <c r="B182" s="11" t="s">
        <v>173</v>
      </c>
      <c r="C182" s="11" t="s">
        <v>174</v>
      </c>
      <c r="D182" s="11" t="s">
        <v>165</v>
      </c>
      <c r="E182" s="12" t="s">
        <v>175</v>
      </c>
      <c r="F182" s="5">
        <v>15780</v>
      </c>
      <c r="G182" s="5">
        <v>0</v>
      </c>
      <c r="H182" s="5">
        <v>1440</v>
      </c>
      <c r="I182" s="5">
        <v>80</v>
      </c>
      <c r="J182" s="5">
        <v>350</v>
      </c>
      <c r="K182" s="6">
        <f t="shared" si="2"/>
        <v>17650</v>
      </c>
      <c r="M182" t="str">
        <f>VLOOKUP(B182,'[2]TABULADOR ok'!$A$2:$I$424,7,FALSE)</f>
        <v>T8</v>
      </c>
      <c r="N182" t="str">
        <f>VLOOKUP(B182,'[2]TABULADOR ok'!$A$2:$I$424,8,FALSE)</f>
        <v>T03854</v>
      </c>
      <c r="O182">
        <f>VLOOKUP(B182,'[2]TABULADOR ok'!$A$2:$I$424,9,FALSE)</f>
        <v>95</v>
      </c>
    </row>
    <row r="183" spans="1:15" x14ac:dyDescent="0.25">
      <c r="A183" s="4">
        <v>2021</v>
      </c>
      <c r="B183" s="11" t="s">
        <v>176</v>
      </c>
      <c r="C183" s="11" t="s">
        <v>177</v>
      </c>
      <c r="D183" s="11" t="s">
        <v>165</v>
      </c>
      <c r="E183" s="12" t="s">
        <v>178</v>
      </c>
      <c r="F183" s="5">
        <v>15780</v>
      </c>
      <c r="G183" s="5">
        <v>0</v>
      </c>
      <c r="H183" s="5">
        <v>1440</v>
      </c>
      <c r="I183" s="5">
        <v>80</v>
      </c>
      <c r="J183" s="5">
        <v>350</v>
      </c>
      <c r="K183" s="6">
        <f t="shared" si="2"/>
        <v>17650</v>
      </c>
      <c r="M183" t="str">
        <f>VLOOKUP(B183,'[2]TABULADOR ok'!$A$2:$I$424,7,FALSE)</f>
        <v>T8</v>
      </c>
      <c r="N183" t="str">
        <f>VLOOKUP(B183,'[2]TABULADOR ok'!$A$2:$I$424,8,FALSE)</f>
        <v>T04875</v>
      </c>
      <c r="O183">
        <f>VLOOKUP(B183,'[2]TABULADOR ok'!$A$2:$I$424,9,FALSE)</f>
        <v>95</v>
      </c>
    </row>
    <row r="184" spans="1:15" x14ac:dyDescent="0.25">
      <c r="A184" s="4">
        <v>2021</v>
      </c>
      <c r="B184" s="11" t="s">
        <v>179</v>
      </c>
      <c r="C184" s="11" t="s">
        <v>180</v>
      </c>
      <c r="D184" s="11" t="s">
        <v>165</v>
      </c>
      <c r="E184" s="12" t="s">
        <v>181</v>
      </c>
      <c r="F184" s="5">
        <v>15780</v>
      </c>
      <c r="G184" s="5">
        <v>0</v>
      </c>
      <c r="H184" s="5">
        <v>1440</v>
      </c>
      <c r="I184" s="5">
        <v>80</v>
      </c>
      <c r="J184" s="5">
        <v>350</v>
      </c>
      <c r="K184" s="6">
        <f t="shared" si="2"/>
        <v>17650</v>
      </c>
      <c r="M184" t="str">
        <f>VLOOKUP(B184,'[2]TABULADOR ok'!$A$2:$I$424,7,FALSE)</f>
        <v>T8</v>
      </c>
      <c r="N184" t="str">
        <f>VLOOKUP(B184,'[2]TABULADOR ok'!$A$2:$I$424,8,FALSE)</f>
        <v>T08812</v>
      </c>
      <c r="O184">
        <f>VLOOKUP(B184,'[2]TABULADOR ok'!$A$2:$I$424,9,FALSE)</f>
        <v>95</v>
      </c>
    </row>
    <row r="185" spans="1:15" x14ac:dyDescent="0.25">
      <c r="A185" s="4">
        <v>2021</v>
      </c>
      <c r="B185" s="11" t="s">
        <v>182</v>
      </c>
      <c r="C185" s="11" t="s">
        <v>183</v>
      </c>
      <c r="D185" s="11" t="s">
        <v>184</v>
      </c>
      <c r="E185" s="12" t="s">
        <v>185</v>
      </c>
      <c r="F185" s="5">
        <v>17637</v>
      </c>
      <c r="G185" s="5">
        <v>0</v>
      </c>
      <c r="H185" s="5">
        <v>1440</v>
      </c>
      <c r="I185" s="5">
        <v>80</v>
      </c>
      <c r="J185" s="5">
        <v>350</v>
      </c>
      <c r="K185" s="6">
        <f t="shared" si="2"/>
        <v>19507</v>
      </c>
      <c r="M185" t="str">
        <f>VLOOKUP(B185,'[2]TABULADOR ok'!$A$2:$I$424,7,FALSE)</f>
        <v>T9</v>
      </c>
      <c r="N185" t="str">
        <f>VLOOKUP(B185,'[2]TABULADOR ok'!$A$2:$I$424,8,FALSE)</f>
        <v>P02809</v>
      </c>
      <c r="O185">
        <f>VLOOKUP(B185,'[2]TABULADOR ok'!$A$2:$I$424,9,FALSE)</f>
        <v>95</v>
      </c>
    </row>
    <row r="186" spans="1:15" x14ac:dyDescent="0.25">
      <c r="A186" s="4">
        <v>2021</v>
      </c>
      <c r="B186" s="11" t="s">
        <v>186</v>
      </c>
      <c r="C186" s="11" t="s">
        <v>187</v>
      </c>
      <c r="D186" s="11" t="s">
        <v>184</v>
      </c>
      <c r="E186" s="12" t="s">
        <v>188</v>
      </c>
      <c r="F186" s="5">
        <v>17637</v>
      </c>
      <c r="G186" s="5">
        <v>0</v>
      </c>
      <c r="H186" s="5">
        <v>1440</v>
      </c>
      <c r="I186" s="5">
        <v>80</v>
      </c>
      <c r="J186" s="5">
        <v>350</v>
      </c>
      <c r="K186" s="6">
        <f t="shared" si="2"/>
        <v>19507</v>
      </c>
      <c r="M186" t="str">
        <f>VLOOKUP(B186,'[2]TABULADOR ok'!$A$2:$I$424,7,FALSE)</f>
        <v>T9</v>
      </c>
      <c r="N186" t="str">
        <f>VLOOKUP(B186,'[2]TABULADOR ok'!$A$2:$I$424,8,FALSE)</f>
        <v>P04806</v>
      </c>
      <c r="O186">
        <f>VLOOKUP(B186,'[2]TABULADOR ok'!$A$2:$I$424,9,FALSE)</f>
        <v>95</v>
      </c>
    </row>
    <row r="187" spans="1:15" x14ac:dyDescent="0.25">
      <c r="A187" s="4">
        <v>2021</v>
      </c>
      <c r="B187" s="11" t="s">
        <v>189</v>
      </c>
      <c r="C187" s="11" t="s">
        <v>190</v>
      </c>
      <c r="D187" s="11" t="s">
        <v>184</v>
      </c>
      <c r="E187" s="12" t="s">
        <v>191</v>
      </c>
      <c r="F187" s="5">
        <v>17637</v>
      </c>
      <c r="G187" s="5">
        <v>0</v>
      </c>
      <c r="H187" s="5">
        <v>1440</v>
      </c>
      <c r="I187" s="5">
        <v>80</v>
      </c>
      <c r="J187" s="5">
        <v>350</v>
      </c>
      <c r="K187" s="6">
        <f t="shared" si="2"/>
        <v>19507</v>
      </c>
      <c r="M187" t="str">
        <f>VLOOKUP(B187,'[2]TABULADOR ok'!$A$2:$I$424,7,FALSE)</f>
        <v>T9</v>
      </c>
      <c r="N187" t="str">
        <f>VLOOKUP(B187,'[2]TABULADOR ok'!$A$2:$I$424,8,FALSE)</f>
        <v>P05808</v>
      </c>
      <c r="O187">
        <f>VLOOKUP(B187,'[2]TABULADOR ok'!$A$2:$I$424,9,FALSE)</f>
        <v>95</v>
      </c>
    </row>
    <row r="188" spans="1:15" x14ac:dyDescent="0.25">
      <c r="A188" s="4">
        <v>2021</v>
      </c>
      <c r="B188" s="11" t="s">
        <v>192</v>
      </c>
      <c r="C188" s="11" t="s">
        <v>193</v>
      </c>
      <c r="D188" s="11" t="s">
        <v>184</v>
      </c>
      <c r="E188" s="12" t="s">
        <v>194</v>
      </c>
      <c r="F188" s="5">
        <v>17637</v>
      </c>
      <c r="G188" s="5">
        <v>0</v>
      </c>
      <c r="H188" s="5">
        <v>1440</v>
      </c>
      <c r="I188" s="5">
        <v>80</v>
      </c>
      <c r="J188" s="5">
        <v>350</v>
      </c>
      <c r="K188" s="6">
        <f t="shared" si="2"/>
        <v>19507</v>
      </c>
      <c r="M188" t="str">
        <f>VLOOKUP(B188,'[2]TABULADOR ok'!$A$2:$I$424,7,FALSE)</f>
        <v>T9</v>
      </c>
      <c r="N188" t="str">
        <f>VLOOKUP(B188,'[2]TABULADOR ok'!$A$2:$I$424,8,FALSE)</f>
        <v>T03850</v>
      </c>
      <c r="O188">
        <f>VLOOKUP(B188,'[2]TABULADOR ok'!$A$2:$I$424,9,FALSE)</f>
        <v>95</v>
      </c>
    </row>
    <row r="189" spans="1:15" x14ac:dyDescent="0.25">
      <c r="A189" s="4">
        <v>2021</v>
      </c>
      <c r="B189" s="11" t="s">
        <v>195</v>
      </c>
      <c r="C189" s="11" t="s">
        <v>196</v>
      </c>
      <c r="D189" s="11" t="s">
        <v>184</v>
      </c>
      <c r="E189" s="12" t="s">
        <v>197</v>
      </c>
      <c r="F189" s="5">
        <v>17637</v>
      </c>
      <c r="G189" s="5">
        <v>0</v>
      </c>
      <c r="H189" s="5">
        <v>1440</v>
      </c>
      <c r="I189" s="5">
        <v>80</v>
      </c>
      <c r="J189" s="5">
        <v>350</v>
      </c>
      <c r="K189" s="6">
        <f t="shared" si="2"/>
        <v>19507</v>
      </c>
      <c r="M189" t="str">
        <f>VLOOKUP(B189,'[2]TABULADOR ok'!$A$2:$I$424,7,FALSE)</f>
        <v>T9</v>
      </c>
      <c r="N189" t="str">
        <f>VLOOKUP(B189,'[2]TABULADOR ok'!$A$2:$I$424,8,FALSE)</f>
        <v>T03851</v>
      </c>
      <c r="O189">
        <f>VLOOKUP(B189,'[2]TABULADOR ok'!$A$2:$I$424,9,FALSE)</f>
        <v>95</v>
      </c>
    </row>
    <row r="190" spans="1:15" x14ac:dyDescent="0.25">
      <c r="A190" s="4">
        <v>2021</v>
      </c>
      <c r="B190" s="11" t="s">
        <v>198</v>
      </c>
      <c r="C190" s="11" t="s">
        <v>199</v>
      </c>
      <c r="D190" s="11" t="s">
        <v>184</v>
      </c>
      <c r="E190" s="12" t="s">
        <v>200</v>
      </c>
      <c r="F190" s="5">
        <v>17637</v>
      </c>
      <c r="G190" s="5">
        <v>0</v>
      </c>
      <c r="H190" s="5">
        <v>1440</v>
      </c>
      <c r="I190" s="5">
        <v>80</v>
      </c>
      <c r="J190" s="5">
        <v>350</v>
      </c>
      <c r="K190" s="6">
        <f t="shared" si="2"/>
        <v>19507</v>
      </c>
      <c r="M190" t="str">
        <f>VLOOKUP(B190,'[2]TABULADOR ok'!$A$2:$I$424,7,FALSE)</f>
        <v>T9</v>
      </c>
      <c r="N190" t="str">
        <f>VLOOKUP(B190,'[2]TABULADOR ok'!$A$2:$I$424,8,FALSE)</f>
        <v>T03855</v>
      </c>
      <c r="O190">
        <f>VLOOKUP(B190,'[2]TABULADOR ok'!$A$2:$I$424,9,FALSE)</f>
        <v>95</v>
      </c>
    </row>
    <row r="191" spans="1:15" x14ac:dyDescent="0.25">
      <c r="A191" s="4">
        <v>2021</v>
      </c>
      <c r="B191" s="11" t="s">
        <v>201</v>
      </c>
      <c r="C191" s="11" t="s">
        <v>202</v>
      </c>
      <c r="D191" s="11" t="s">
        <v>184</v>
      </c>
      <c r="E191" s="12" t="s">
        <v>203</v>
      </c>
      <c r="F191" s="5">
        <v>17637</v>
      </c>
      <c r="G191" s="5">
        <v>0</v>
      </c>
      <c r="H191" s="5">
        <v>1440</v>
      </c>
      <c r="I191" s="5">
        <v>80</v>
      </c>
      <c r="J191" s="5">
        <v>350</v>
      </c>
      <c r="K191" s="6">
        <f t="shared" si="2"/>
        <v>19507</v>
      </c>
      <c r="M191" t="str">
        <f>VLOOKUP(B191,'[2]TABULADOR ok'!$A$2:$I$424,7,FALSE)</f>
        <v>T9</v>
      </c>
      <c r="N191" t="str">
        <f>VLOOKUP(B191,'[2]TABULADOR ok'!$A$2:$I$424,8,FALSE)</f>
        <v>T04873</v>
      </c>
      <c r="O191">
        <f>VLOOKUP(B191,'[2]TABULADOR ok'!$A$2:$I$424,9,FALSE)</f>
        <v>95</v>
      </c>
    </row>
    <row r="192" spans="1:15" x14ac:dyDescent="0.25">
      <c r="A192" s="4">
        <v>2021</v>
      </c>
      <c r="B192" s="11" t="s">
        <v>204</v>
      </c>
      <c r="C192" s="11" t="s">
        <v>205</v>
      </c>
      <c r="D192" s="11" t="s">
        <v>184</v>
      </c>
      <c r="E192" s="12" t="s">
        <v>206</v>
      </c>
      <c r="F192" s="5">
        <v>17637</v>
      </c>
      <c r="G192" s="5">
        <v>0</v>
      </c>
      <c r="H192" s="5">
        <v>1440</v>
      </c>
      <c r="I192" s="5">
        <v>80</v>
      </c>
      <c r="J192" s="5">
        <v>350</v>
      </c>
      <c r="K192" s="6">
        <f t="shared" si="2"/>
        <v>19507</v>
      </c>
      <c r="M192" t="str">
        <f>VLOOKUP(B192,'[2]TABULADOR ok'!$A$2:$I$424,7,FALSE)</f>
        <v>T9</v>
      </c>
      <c r="N192" t="str">
        <f>VLOOKUP(B192,'[2]TABULADOR ok'!$A$2:$I$424,8,FALSE)</f>
        <v>T14007</v>
      </c>
      <c r="O192">
        <f>VLOOKUP(B192,'[2]TABULADOR ok'!$A$2:$I$424,9,FALSE)</f>
        <v>95</v>
      </c>
    </row>
    <row r="193" spans="1:15" x14ac:dyDescent="0.25">
      <c r="A193" s="4">
        <v>2021</v>
      </c>
      <c r="B193" s="11" t="s">
        <v>207</v>
      </c>
      <c r="C193" s="11" t="s">
        <v>208</v>
      </c>
      <c r="D193" s="11" t="s">
        <v>184</v>
      </c>
      <c r="E193" s="12" t="s">
        <v>209</v>
      </c>
      <c r="F193" s="5">
        <v>17637</v>
      </c>
      <c r="G193" s="5">
        <v>0</v>
      </c>
      <c r="H193" s="5">
        <v>1440</v>
      </c>
      <c r="I193" s="5">
        <v>80</v>
      </c>
      <c r="J193" s="5">
        <v>350</v>
      </c>
      <c r="K193" s="6">
        <f t="shared" si="2"/>
        <v>19507</v>
      </c>
      <c r="M193" t="str">
        <f>VLOOKUP(B193,'[2]TABULADOR ok'!$A$2:$I$424,7,FALSE)</f>
        <v>T9</v>
      </c>
      <c r="N193" t="str">
        <f>VLOOKUP(B193,'[2]TABULADOR ok'!$A$2:$I$424,8,FALSE)</f>
        <v>T26806</v>
      </c>
      <c r="O193">
        <f>VLOOKUP(B193,'[2]TABULADOR ok'!$A$2:$I$424,9,FALSE)</f>
        <v>95</v>
      </c>
    </row>
    <row r="194" spans="1:15" x14ac:dyDescent="0.25">
      <c r="A194" s="7">
        <v>2020</v>
      </c>
      <c r="B194" s="8" t="s">
        <v>10</v>
      </c>
      <c r="C194" s="8" t="s">
        <v>11</v>
      </c>
      <c r="D194" s="8" t="s">
        <v>12</v>
      </c>
      <c r="E194" s="9" t="s">
        <v>13</v>
      </c>
      <c r="F194" s="10">
        <v>8643.0499999999993</v>
      </c>
      <c r="G194" s="10">
        <v>0</v>
      </c>
      <c r="H194" s="10">
        <v>1255</v>
      </c>
      <c r="I194" s="10">
        <v>55</v>
      </c>
      <c r="J194" s="10">
        <v>330</v>
      </c>
      <c r="K194" s="6">
        <f>SUM(F194:J194)</f>
        <v>10283.049999999999</v>
      </c>
      <c r="M194" t="str">
        <f>VLOOKUP(B194,'[2]TABULADOR ok'!$A$2:$I$424,7,FALSE)</f>
        <v>T1</v>
      </c>
      <c r="N194" t="str">
        <f>VLOOKUP(B194,'[2]TABULADOR ok'!$A$2:$I$424,8,FALSE)</f>
        <v>S01893</v>
      </c>
      <c r="O194">
        <f>VLOOKUP(B194,'[2]TABULADOR ok'!$A$2:$I$424,9,FALSE)</f>
        <v>95</v>
      </c>
    </row>
    <row r="195" spans="1:15" x14ac:dyDescent="0.25">
      <c r="A195" s="7">
        <v>2020</v>
      </c>
      <c r="B195" s="8" t="s">
        <v>14</v>
      </c>
      <c r="C195" s="8" t="s">
        <v>15</v>
      </c>
      <c r="D195" s="8" t="s">
        <v>16</v>
      </c>
      <c r="E195" s="9" t="s">
        <v>17</v>
      </c>
      <c r="F195" s="10">
        <v>9050.2000000000007</v>
      </c>
      <c r="G195" s="10">
        <v>0</v>
      </c>
      <c r="H195" s="10">
        <v>1255</v>
      </c>
      <c r="I195" s="10">
        <v>55</v>
      </c>
      <c r="J195" s="10">
        <v>330</v>
      </c>
      <c r="K195" s="6">
        <f t="shared" ref="K195:K257" si="3">SUM(F195:J195)</f>
        <v>10690.2</v>
      </c>
      <c r="M195" t="str">
        <f>VLOOKUP(B195,'[2]TABULADOR ok'!$A$2:$I$424,7,FALSE)</f>
        <v>T2</v>
      </c>
      <c r="N195" t="str">
        <f>VLOOKUP(B195,'[2]TABULADOR ok'!$A$2:$I$424,8,FALSE)</f>
        <v>S01891</v>
      </c>
      <c r="O195">
        <f>VLOOKUP(B195,'[2]TABULADOR ok'!$A$2:$I$424,9,FALSE)</f>
        <v>95</v>
      </c>
    </row>
    <row r="196" spans="1:15" x14ac:dyDescent="0.25">
      <c r="A196" s="7">
        <v>2020</v>
      </c>
      <c r="B196" s="8" t="s">
        <v>18</v>
      </c>
      <c r="C196" s="8" t="s">
        <v>19</v>
      </c>
      <c r="D196" s="8" t="s">
        <v>16</v>
      </c>
      <c r="E196" s="9" t="s">
        <v>20</v>
      </c>
      <c r="F196" s="10">
        <v>9050.2000000000007</v>
      </c>
      <c r="G196" s="10">
        <v>0</v>
      </c>
      <c r="H196" s="10">
        <v>1255</v>
      </c>
      <c r="I196" s="10">
        <v>55</v>
      </c>
      <c r="J196" s="10">
        <v>330</v>
      </c>
      <c r="K196" s="6">
        <f t="shared" si="3"/>
        <v>10690.2</v>
      </c>
      <c r="M196" t="str">
        <f>VLOOKUP(B196,'[2]TABULADOR ok'!$A$2:$I$424,7,FALSE)</f>
        <v>T2</v>
      </c>
      <c r="N196" t="str">
        <f>VLOOKUP(B196,'[2]TABULADOR ok'!$A$2:$I$424,8,FALSE)</f>
        <v>S03833</v>
      </c>
      <c r="O196">
        <f>VLOOKUP(B196,'[2]TABULADOR ok'!$A$2:$I$424,9,FALSE)</f>
        <v>95</v>
      </c>
    </row>
    <row r="197" spans="1:15" x14ac:dyDescent="0.25">
      <c r="A197" s="7">
        <v>2020</v>
      </c>
      <c r="B197" s="8" t="s">
        <v>21</v>
      </c>
      <c r="C197" s="8" t="s">
        <v>22</v>
      </c>
      <c r="D197" s="8" t="s">
        <v>16</v>
      </c>
      <c r="E197" s="9" t="s">
        <v>23</v>
      </c>
      <c r="F197" s="10">
        <v>9050.2000000000007</v>
      </c>
      <c r="G197" s="10">
        <v>0</v>
      </c>
      <c r="H197" s="10">
        <v>1255</v>
      </c>
      <c r="I197" s="10">
        <v>55</v>
      </c>
      <c r="J197" s="10">
        <v>330</v>
      </c>
      <c r="K197" s="6">
        <f t="shared" si="3"/>
        <v>10690.2</v>
      </c>
      <c r="M197" t="str">
        <f>VLOOKUP(B197,'[2]TABULADOR ok'!$A$2:$I$424,7,FALSE)</f>
        <v>T2</v>
      </c>
      <c r="N197" t="str">
        <f>VLOOKUP(B197,'[2]TABULADOR ok'!$A$2:$I$424,8,FALSE)</f>
        <v>S12091</v>
      </c>
      <c r="O197">
        <f>VLOOKUP(B197,'[2]TABULADOR ok'!$A$2:$I$424,9,FALSE)</f>
        <v>95</v>
      </c>
    </row>
    <row r="198" spans="1:15" x14ac:dyDescent="0.25">
      <c r="A198" s="7">
        <v>2020</v>
      </c>
      <c r="B198" s="8" t="s">
        <v>24</v>
      </c>
      <c r="C198" s="8" t="s">
        <v>24</v>
      </c>
      <c r="D198" s="8" t="s">
        <v>25</v>
      </c>
      <c r="E198" s="9" t="s">
        <v>26</v>
      </c>
      <c r="F198" s="10">
        <v>9472.6</v>
      </c>
      <c r="G198" s="10">
        <v>0</v>
      </c>
      <c r="H198" s="10">
        <v>1255</v>
      </c>
      <c r="I198" s="10">
        <v>55</v>
      </c>
      <c r="J198" s="10">
        <v>330</v>
      </c>
      <c r="K198" s="6">
        <f t="shared" si="3"/>
        <v>11112.6</v>
      </c>
      <c r="M198" t="str">
        <f>VLOOKUP(B198,'[2]TABULADOR ok'!$A$2:$I$424,7,FALSE)</f>
        <v>T3</v>
      </c>
      <c r="N198" t="str">
        <f>VLOOKUP(B198,'[2]TABULADOR ok'!$A$2:$I$424,8,FALSE)</f>
        <v>A01023</v>
      </c>
      <c r="O198">
        <f>VLOOKUP(B198,'[2]TABULADOR ok'!$A$2:$I$424,9,FALSE)</f>
        <v>95</v>
      </c>
    </row>
    <row r="199" spans="1:15" x14ac:dyDescent="0.25">
      <c r="A199" s="7">
        <v>2020</v>
      </c>
      <c r="B199" s="8" t="s">
        <v>27</v>
      </c>
      <c r="C199" s="8" t="s">
        <v>28</v>
      </c>
      <c r="D199" s="8" t="s">
        <v>25</v>
      </c>
      <c r="E199" s="9" t="s">
        <v>29</v>
      </c>
      <c r="F199" s="10">
        <v>9472.6</v>
      </c>
      <c r="G199" s="10">
        <v>0</v>
      </c>
      <c r="H199" s="10">
        <v>1255</v>
      </c>
      <c r="I199" s="10">
        <v>55</v>
      </c>
      <c r="J199" s="10">
        <v>330</v>
      </c>
      <c r="K199" s="6">
        <f t="shared" si="3"/>
        <v>11112.6</v>
      </c>
      <c r="M199" t="str">
        <f>VLOOKUP(B199,'[2]TABULADOR ok'!$A$2:$I$424,7,FALSE)</f>
        <v>T3</v>
      </c>
      <c r="N199" t="str">
        <f>VLOOKUP(B199,'[2]TABULADOR ok'!$A$2:$I$424,8,FALSE)</f>
        <v>A01040</v>
      </c>
      <c r="O199">
        <f>VLOOKUP(B199,'[2]TABULADOR ok'!$A$2:$I$424,9,FALSE)</f>
        <v>95</v>
      </c>
    </row>
    <row r="200" spans="1:15" x14ac:dyDescent="0.25">
      <c r="A200" s="7">
        <v>2020</v>
      </c>
      <c r="B200" s="8" t="s">
        <v>30</v>
      </c>
      <c r="C200" s="8" t="s">
        <v>31</v>
      </c>
      <c r="D200" s="8" t="s">
        <v>25</v>
      </c>
      <c r="E200" s="9" t="s">
        <v>32</v>
      </c>
      <c r="F200" s="10">
        <v>9472.6</v>
      </c>
      <c r="G200" s="10">
        <v>0</v>
      </c>
      <c r="H200" s="10">
        <v>1255</v>
      </c>
      <c r="I200" s="10">
        <v>55</v>
      </c>
      <c r="J200" s="10">
        <v>330</v>
      </c>
      <c r="K200" s="6">
        <f t="shared" si="3"/>
        <v>11112.6</v>
      </c>
      <c r="M200" t="str">
        <f>VLOOKUP(B200,'[2]TABULADOR ok'!$A$2:$I$424,7,FALSE)</f>
        <v>T3</v>
      </c>
      <c r="N200" t="str">
        <f>VLOOKUP(B200,'[2]TABULADOR ok'!$A$2:$I$424,8,FALSE)</f>
        <v>A02813</v>
      </c>
      <c r="O200">
        <f>VLOOKUP(B200,'[2]TABULADOR ok'!$A$2:$I$424,9,FALSE)</f>
        <v>95</v>
      </c>
    </row>
    <row r="201" spans="1:15" x14ac:dyDescent="0.25">
      <c r="A201" s="7">
        <v>2020</v>
      </c>
      <c r="B201" s="8" t="s">
        <v>33</v>
      </c>
      <c r="C201" s="8" t="s">
        <v>34</v>
      </c>
      <c r="D201" s="8" t="s">
        <v>25</v>
      </c>
      <c r="E201" s="9" t="s">
        <v>35</v>
      </c>
      <c r="F201" s="10">
        <v>9472.6</v>
      </c>
      <c r="G201" s="10">
        <v>0</v>
      </c>
      <c r="H201" s="10">
        <v>1255</v>
      </c>
      <c r="I201" s="10">
        <v>55</v>
      </c>
      <c r="J201" s="10">
        <v>330</v>
      </c>
      <c r="K201" s="6">
        <f t="shared" si="3"/>
        <v>11112.6</v>
      </c>
      <c r="M201" t="str">
        <f>VLOOKUP(B201,'[2]TABULADOR ok'!$A$2:$I$424,7,FALSE)</f>
        <v>T3</v>
      </c>
      <c r="N201" t="str">
        <f>VLOOKUP(B201,'[2]TABULADOR ok'!$A$2:$I$424,8,FALSE)</f>
        <v>A03832</v>
      </c>
      <c r="O201">
        <f>VLOOKUP(B201,'[2]TABULADOR ok'!$A$2:$I$424,9,FALSE)</f>
        <v>95</v>
      </c>
    </row>
    <row r="202" spans="1:15" x14ac:dyDescent="0.25">
      <c r="A202" s="7">
        <v>2020</v>
      </c>
      <c r="B202" s="8" t="s">
        <v>36</v>
      </c>
      <c r="C202" s="8" t="s">
        <v>37</v>
      </c>
      <c r="D202" s="8" t="s">
        <v>25</v>
      </c>
      <c r="E202" s="9" t="s">
        <v>38</v>
      </c>
      <c r="F202" s="10">
        <v>9472.6</v>
      </c>
      <c r="G202" s="10">
        <v>0</v>
      </c>
      <c r="H202" s="10">
        <v>1255</v>
      </c>
      <c r="I202" s="10">
        <v>55</v>
      </c>
      <c r="J202" s="10">
        <v>330</v>
      </c>
      <c r="K202" s="6">
        <f t="shared" si="3"/>
        <v>11112.6</v>
      </c>
      <c r="M202" t="str">
        <f>VLOOKUP(B202,'[2]TABULADOR ok'!$A$2:$I$424,7,FALSE)</f>
        <v>T3</v>
      </c>
      <c r="N202" t="str">
        <f>VLOOKUP(B202,'[2]TABULADOR ok'!$A$2:$I$424,8,FALSE)</f>
        <v>A05012</v>
      </c>
      <c r="O202">
        <f>VLOOKUP(B202,'[2]TABULADOR ok'!$A$2:$I$424,9,FALSE)</f>
        <v>95</v>
      </c>
    </row>
    <row r="203" spans="1:15" x14ac:dyDescent="0.25">
      <c r="A203" s="7">
        <v>2020</v>
      </c>
      <c r="B203" s="8" t="s">
        <v>39</v>
      </c>
      <c r="C203" s="8" t="s">
        <v>40</v>
      </c>
      <c r="D203" s="8" t="s">
        <v>25</v>
      </c>
      <c r="E203" s="9" t="s">
        <v>41</v>
      </c>
      <c r="F203" s="10">
        <v>9472.6</v>
      </c>
      <c r="G203" s="10">
        <v>0</v>
      </c>
      <c r="H203" s="10">
        <v>1255</v>
      </c>
      <c r="I203" s="10">
        <v>55</v>
      </c>
      <c r="J203" s="10">
        <v>330</v>
      </c>
      <c r="K203" s="6">
        <f t="shared" si="3"/>
        <v>11112.6</v>
      </c>
      <c r="M203" t="str">
        <f>VLOOKUP(B203,'[2]TABULADOR ok'!$A$2:$I$424,7,FALSE)</f>
        <v>T3</v>
      </c>
      <c r="N203" t="str">
        <f>VLOOKUP(B203,'[2]TABULADOR ok'!$A$2:$I$424,8,FALSE)</f>
        <v>S01890</v>
      </c>
      <c r="O203">
        <f>VLOOKUP(B203,'[2]TABULADOR ok'!$A$2:$I$424,9,FALSE)</f>
        <v>95</v>
      </c>
    </row>
    <row r="204" spans="1:15" x14ac:dyDescent="0.25">
      <c r="A204" s="7">
        <v>2020</v>
      </c>
      <c r="B204" s="8" t="s">
        <v>42</v>
      </c>
      <c r="C204" s="8" t="s">
        <v>43</v>
      </c>
      <c r="D204" s="8" t="s">
        <v>25</v>
      </c>
      <c r="E204" s="9" t="s">
        <v>44</v>
      </c>
      <c r="F204" s="10">
        <v>9472.6</v>
      </c>
      <c r="G204" s="10">
        <v>0</v>
      </c>
      <c r="H204" s="10">
        <v>1255</v>
      </c>
      <c r="I204" s="10">
        <v>55</v>
      </c>
      <c r="J204" s="10">
        <v>330</v>
      </c>
      <c r="K204" s="6">
        <f t="shared" si="3"/>
        <v>11112.6</v>
      </c>
      <c r="M204" t="str">
        <f>VLOOKUP(B204,'[2]TABULADOR ok'!$A$2:$I$424,7,FALSE)</f>
        <v>T3</v>
      </c>
      <c r="N204" t="str">
        <f>VLOOKUP(B204,'[2]TABULADOR ok'!$A$2:$I$424,8,FALSE)</f>
        <v>S01894</v>
      </c>
      <c r="O204">
        <f>VLOOKUP(B204,'[2]TABULADOR ok'!$A$2:$I$424,9,FALSE)</f>
        <v>95</v>
      </c>
    </row>
    <row r="205" spans="1:15" x14ac:dyDescent="0.25">
      <c r="A205" s="7">
        <v>2020</v>
      </c>
      <c r="B205" s="8" t="s">
        <v>45</v>
      </c>
      <c r="C205" s="8" t="s">
        <v>46</v>
      </c>
      <c r="D205" s="8" t="s">
        <v>47</v>
      </c>
      <c r="E205" s="9" t="s">
        <v>48</v>
      </c>
      <c r="F205" s="10">
        <v>10382.85</v>
      </c>
      <c r="G205" s="10">
        <v>0</v>
      </c>
      <c r="H205" s="10">
        <v>1255</v>
      </c>
      <c r="I205" s="10">
        <v>55</v>
      </c>
      <c r="J205" s="10">
        <v>330</v>
      </c>
      <c r="K205" s="6">
        <f t="shared" si="3"/>
        <v>12022.85</v>
      </c>
      <c r="M205" t="str">
        <f>VLOOKUP(B205,'[2]TABULADOR ok'!$A$2:$I$424,7,FALSE)</f>
        <v>T4</v>
      </c>
      <c r="N205" t="str">
        <f>VLOOKUP(B205,'[2]TABULADOR ok'!$A$2:$I$424,8,FALSE)</f>
        <v>A03841</v>
      </c>
      <c r="O205">
        <f>VLOOKUP(B205,'[2]TABULADOR ok'!$A$2:$I$424,9,FALSE)</f>
        <v>95</v>
      </c>
    </row>
    <row r="206" spans="1:15" x14ac:dyDescent="0.25">
      <c r="A206" s="7">
        <v>2020</v>
      </c>
      <c r="B206" s="8" t="s">
        <v>49</v>
      </c>
      <c r="C206" s="8" t="s">
        <v>50</v>
      </c>
      <c r="D206" s="8" t="s">
        <v>47</v>
      </c>
      <c r="E206" s="9" t="s">
        <v>51</v>
      </c>
      <c r="F206" s="10">
        <v>10382.85</v>
      </c>
      <c r="G206" s="10">
        <v>0</v>
      </c>
      <c r="H206" s="10">
        <v>1255</v>
      </c>
      <c r="I206" s="10">
        <v>55</v>
      </c>
      <c r="J206" s="10">
        <v>330</v>
      </c>
      <c r="K206" s="6">
        <f t="shared" si="3"/>
        <v>12022.85</v>
      </c>
      <c r="M206" t="str">
        <f>VLOOKUP(B206,'[2]TABULADOR ok'!$A$2:$I$424,7,FALSE)</f>
        <v>T4</v>
      </c>
      <c r="N206" t="str">
        <f>VLOOKUP(B206,'[2]TABULADOR ok'!$A$2:$I$424,8,FALSE)</f>
        <v>C02810</v>
      </c>
      <c r="O206">
        <f>VLOOKUP(B206,'[2]TABULADOR ok'!$A$2:$I$424,9,FALSE)</f>
        <v>95</v>
      </c>
    </row>
    <row r="207" spans="1:15" x14ac:dyDescent="0.25">
      <c r="A207" s="7">
        <v>2020</v>
      </c>
      <c r="B207" s="8" t="s">
        <v>52</v>
      </c>
      <c r="C207" s="8" t="s">
        <v>53</v>
      </c>
      <c r="D207" s="8" t="s">
        <v>47</v>
      </c>
      <c r="E207" s="9" t="s">
        <v>54</v>
      </c>
      <c r="F207" s="10">
        <v>10382.85</v>
      </c>
      <c r="G207" s="10">
        <v>0</v>
      </c>
      <c r="H207" s="10">
        <v>1255</v>
      </c>
      <c r="I207" s="10">
        <v>55</v>
      </c>
      <c r="J207" s="10">
        <v>330</v>
      </c>
      <c r="K207" s="6">
        <f t="shared" si="3"/>
        <v>12022.85</v>
      </c>
      <c r="M207" t="str">
        <f>VLOOKUP(B207,'[2]TABULADOR ok'!$A$2:$I$424,7,FALSE)</f>
        <v>T4</v>
      </c>
      <c r="N207" t="str">
        <f>VLOOKUP(B207,'[2]TABULADOR ok'!$A$2:$I$424,8,FALSE)</f>
        <v>S01889</v>
      </c>
      <c r="O207">
        <f>VLOOKUP(B207,'[2]TABULADOR ok'!$A$2:$I$424,9,FALSE)</f>
        <v>95</v>
      </c>
    </row>
    <row r="208" spans="1:15" x14ac:dyDescent="0.25">
      <c r="A208" s="7">
        <v>2020</v>
      </c>
      <c r="B208" s="8" t="s">
        <v>55</v>
      </c>
      <c r="C208" s="8" t="s">
        <v>56</v>
      </c>
      <c r="D208" s="8" t="s">
        <v>47</v>
      </c>
      <c r="E208" s="9" t="s">
        <v>57</v>
      </c>
      <c r="F208" s="10">
        <v>10382.85</v>
      </c>
      <c r="G208" s="10">
        <v>0</v>
      </c>
      <c r="H208" s="10">
        <v>1255</v>
      </c>
      <c r="I208" s="10">
        <v>55</v>
      </c>
      <c r="J208" s="10">
        <v>330</v>
      </c>
      <c r="K208" s="6">
        <f t="shared" si="3"/>
        <v>12022.85</v>
      </c>
      <c r="M208" t="str">
        <f>VLOOKUP(B208,'[2]TABULADOR ok'!$A$2:$I$424,7,FALSE)</f>
        <v>T4</v>
      </c>
      <c r="N208" t="str">
        <f>VLOOKUP(B208,'[2]TABULADOR ok'!$A$2:$I$424,8,FALSE)</f>
        <v>S01895</v>
      </c>
      <c r="O208">
        <f>VLOOKUP(B208,'[2]TABULADOR ok'!$A$2:$I$424,9,FALSE)</f>
        <v>95</v>
      </c>
    </row>
    <row r="209" spans="1:15" x14ac:dyDescent="0.25">
      <c r="A209" s="7">
        <v>2020</v>
      </c>
      <c r="B209" s="8" t="s">
        <v>58</v>
      </c>
      <c r="C209" s="8" t="s">
        <v>59</v>
      </c>
      <c r="D209" s="8" t="s">
        <v>47</v>
      </c>
      <c r="E209" s="9" t="s">
        <v>60</v>
      </c>
      <c r="F209" s="10">
        <v>10382.85</v>
      </c>
      <c r="G209" s="10">
        <v>0</v>
      </c>
      <c r="H209" s="10">
        <v>1255</v>
      </c>
      <c r="I209" s="10">
        <v>55</v>
      </c>
      <c r="J209" s="10">
        <v>330</v>
      </c>
      <c r="K209" s="6">
        <f t="shared" si="3"/>
        <v>12022.85</v>
      </c>
      <c r="M209" t="str">
        <f>VLOOKUP(B209,'[2]TABULADOR ok'!$A$2:$I$424,7,FALSE)</f>
        <v>T4</v>
      </c>
      <c r="N209" t="str">
        <f>VLOOKUP(B209,'[2]TABULADOR ok'!$A$2:$I$424,8,FALSE)</f>
        <v>S03834</v>
      </c>
      <c r="O209">
        <f>VLOOKUP(B209,'[2]TABULADOR ok'!$A$2:$I$424,9,FALSE)</f>
        <v>95</v>
      </c>
    </row>
    <row r="210" spans="1:15" x14ac:dyDescent="0.25">
      <c r="A210" s="7">
        <v>2020</v>
      </c>
      <c r="B210" s="8" t="s">
        <v>61</v>
      </c>
      <c r="C210" s="8" t="s">
        <v>62</v>
      </c>
      <c r="D210" s="8" t="s">
        <v>47</v>
      </c>
      <c r="E210" s="9" t="s">
        <v>63</v>
      </c>
      <c r="F210" s="10">
        <v>10382.85</v>
      </c>
      <c r="G210" s="10">
        <v>0</v>
      </c>
      <c r="H210" s="10">
        <v>1255</v>
      </c>
      <c r="I210" s="10">
        <v>55</v>
      </c>
      <c r="J210" s="10">
        <v>330</v>
      </c>
      <c r="K210" s="6">
        <f t="shared" si="3"/>
        <v>12022.85</v>
      </c>
      <c r="M210" t="str">
        <f>VLOOKUP(B210,'[2]TABULADOR ok'!$A$2:$I$424,7,FALSE)</f>
        <v>T4</v>
      </c>
      <c r="N210" t="str">
        <f>VLOOKUP(B210,'[2]TABULADOR ok'!$A$2:$I$424,8,FALSE)</f>
        <v>S12020</v>
      </c>
      <c r="O210">
        <f>VLOOKUP(B210,'[2]TABULADOR ok'!$A$2:$I$424,9,FALSE)</f>
        <v>95</v>
      </c>
    </row>
    <row r="211" spans="1:15" x14ac:dyDescent="0.25">
      <c r="A211" s="7">
        <v>2020</v>
      </c>
      <c r="B211" s="8" t="s">
        <v>64</v>
      </c>
      <c r="C211" s="8" t="s">
        <v>65</v>
      </c>
      <c r="D211" s="8" t="s">
        <v>47</v>
      </c>
      <c r="E211" s="9" t="s">
        <v>66</v>
      </c>
      <c r="F211" s="10">
        <v>10382.85</v>
      </c>
      <c r="G211" s="10">
        <v>0</v>
      </c>
      <c r="H211" s="10">
        <v>1255</v>
      </c>
      <c r="I211" s="10">
        <v>55</v>
      </c>
      <c r="J211" s="10">
        <v>330</v>
      </c>
      <c r="K211" s="6">
        <f t="shared" si="3"/>
        <v>12022.85</v>
      </c>
      <c r="M211" t="str">
        <f>VLOOKUP(B211,'[2]TABULADOR ok'!$A$2:$I$424,7,FALSE)</f>
        <v>T4</v>
      </c>
      <c r="N211" t="str">
        <f>VLOOKUP(B211,'[2]TABULADOR ok'!$A$2:$I$424,8,FALSE)</f>
        <v>S12092</v>
      </c>
      <c r="O211">
        <f>VLOOKUP(B211,'[2]TABULADOR ok'!$A$2:$I$424,9,FALSE)</f>
        <v>95</v>
      </c>
    </row>
    <row r="212" spans="1:15" x14ac:dyDescent="0.25">
      <c r="A212" s="7">
        <v>2020</v>
      </c>
      <c r="B212" s="8" t="s">
        <v>67</v>
      </c>
      <c r="C212" s="8" t="s">
        <v>68</v>
      </c>
      <c r="D212" s="8" t="s">
        <v>47</v>
      </c>
      <c r="E212" s="9" t="s">
        <v>69</v>
      </c>
      <c r="F212" s="10">
        <v>10382.85</v>
      </c>
      <c r="G212" s="10">
        <v>0</v>
      </c>
      <c r="H212" s="10">
        <v>1255</v>
      </c>
      <c r="I212" s="10">
        <v>55</v>
      </c>
      <c r="J212" s="10">
        <v>330</v>
      </c>
      <c r="K212" s="6">
        <f t="shared" si="3"/>
        <v>12022.85</v>
      </c>
      <c r="M212" t="str">
        <f>VLOOKUP(B212,'[2]TABULADOR ok'!$A$2:$I$424,7,FALSE)</f>
        <v>T4</v>
      </c>
      <c r="N212" t="str">
        <f>VLOOKUP(B212,'[2]TABULADOR ok'!$A$2:$I$424,8,FALSE)</f>
        <v>S12093</v>
      </c>
      <c r="O212">
        <f>VLOOKUP(B212,'[2]TABULADOR ok'!$A$2:$I$424,9,FALSE)</f>
        <v>95</v>
      </c>
    </row>
    <row r="213" spans="1:15" x14ac:dyDescent="0.25">
      <c r="A213" s="7">
        <v>2020</v>
      </c>
      <c r="B213" s="8" t="s">
        <v>70</v>
      </c>
      <c r="C213" s="8" t="s">
        <v>71</v>
      </c>
      <c r="D213" s="8" t="s">
        <v>47</v>
      </c>
      <c r="E213" s="9" t="s">
        <v>72</v>
      </c>
      <c r="F213" s="10">
        <v>10382.85</v>
      </c>
      <c r="G213" s="10">
        <v>0</v>
      </c>
      <c r="H213" s="10">
        <v>1255</v>
      </c>
      <c r="I213" s="10">
        <v>55</v>
      </c>
      <c r="J213" s="10">
        <v>330</v>
      </c>
      <c r="K213" s="6">
        <f t="shared" si="3"/>
        <v>12022.85</v>
      </c>
      <c r="M213" t="str">
        <f>VLOOKUP(B213,'[2]TABULADOR ok'!$A$2:$I$424,7,FALSE)</f>
        <v>T4</v>
      </c>
      <c r="N213" t="str">
        <f>VLOOKUP(B213,'[2]TABULADOR ok'!$A$2:$I$424,8,FALSE)</f>
        <v>S12096</v>
      </c>
      <c r="O213">
        <f>VLOOKUP(B213,'[2]TABULADOR ok'!$A$2:$I$424,9,FALSE)</f>
        <v>95</v>
      </c>
    </row>
    <row r="214" spans="1:15" x14ac:dyDescent="0.25">
      <c r="A214" s="7">
        <v>2020</v>
      </c>
      <c r="B214" s="8" t="s">
        <v>73</v>
      </c>
      <c r="C214" s="8" t="s">
        <v>74</v>
      </c>
      <c r="D214" s="8" t="s">
        <v>47</v>
      </c>
      <c r="E214" s="9" t="s">
        <v>75</v>
      </c>
      <c r="F214" s="10">
        <v>10382.85</v>
      </c>
      <c r="G214" s="10">
        <v>0</v>
      </c>
      <c r="H214" s="10">
        <v>1255</v>
      </c>
      <c r="I214" s="10">
        <v>55</v>
      </c>
      <c r="J214" s="10">
        <v>330</v>
      </c>
      <c r="K214" s="6">
        <f t="shared" si="3"/>
        <v>12022.85</v>
      </c>
      <c r="M214" t="str">
        <f>VLOOKUP(B214,'[2]TABULADOR ok'!$A$2:$I$424,7,FALSE)</f>
        <v>T4</v>
      </c>
      <c r="N214" t="str">
        <f>VLOOKUP(B214,'[2]TABULADOR ok'!$A$2:$I$424,8,FALSE)</f>
        <v>S12097</v>
      </c>
      <c r="O214">
        <f>VLOOKUP(B214,'[2]TABULADOR ok'!$A$2:$I$424,9,FALSE)</f>
        <v>95</v>
      </c>
    </row>
    <row r="215" spans="1:15" x14ac:dyDescent="0.25">
      <c r="A215" s="7">
        <v>2020</v>
      </c>
      <c r="B215" s="8" t="s">
        <v>76</v>
      </c>
      <c r="C215" s="8" t="s">
        <v>77</v>
      </c>
      <c r="D215" s="8" t="s">
        <v>47</v>
      </c>
      <c r="E215" s="9" t="s">
        <v>78</v>
      </c>
      <c r="F215" s="10">
        <v>10382.85</v>
      </c>
      <c r="G215" s="10">
        <v>0</v>
      </c>
      <c r="H215" s="10">
        <v>1255</v>
      </c>
      <c r="I215" s="10">
        <v>55</v>
      </c>
      <c r="J215" s="10">
        <v>330</v>
      </c>
      <c r="K215" s="6">
        <f t="shared" si="3"/>
        <v>12022.85</v>
      </c>
      <c r="M215" t="str">
        <f>VLOOKUP(B215,'[2]TABULADOR ok'!$A$2:$I$424,7,FALSE)</f>
        <v>T4</v>
      </c>
      <c r="N215" t="str">
        <f>VLOOKUP(B215,'[2]TABULADOR ok'!$A$2:$I$424,8,FALSE)</f>
        <v>S12098</v>
      </c>
      <c r="O215">
        <f>VLOOKUP(B215,'[2]TABULADOR ok'!$A$2:$I$424,9,FALSE)</f>
        <v>95</v>
      </c>
    </row>
    <row r="216" spans="1:15" x14ac:dyDescent="0.25">
      <c r="A216" s="7">
        <v>2020</v>
      </c>
      <c r="B216" s="8" t="s">
        <v>79</v>
      </c>
      <c r="C216" s="8" t="s">
        <v>80</v>
      </c>
      <c r="D216" s="8" t="s">
        <v>47</v>
      </c>
      <c r="E216" s="9" t="s">
        <v>81</v>
      </c>
      <c r="F216" s="10">
        <v>10382.85</v>
      </c>
      <c r="G216" s="10">
        <v>0</v>
      </c>
      <c r="H216" s="10">
        <v>1255</v>
      </c>
      <c r="I216" s="10">
        <v>55</v>
      </c>
      <c r="J216" s="10">
        <v>330</v>
      </c>
      <c r="K216" s="6">
        <f t="shared" si="3"/>
        <v>12022.85</v>
      </c>
      <c r="M216" t="str">
        <f>VLOOKUP(B216,'[2]TABULADOR ok'!$A$2:$I$424,7,FALSE)</f>
        <v>T4</v>
      </c>
      <c r="N216" t="str">
        <f>VLOOKUP(B216,'[2]TABULADOR ok'!$A$2:$I$424,8,FALSE)</f>
        <v>T06824</v>
      </c>
      <c r="O216">
        <f>VLOOKUP(B216,'[2]TABULADOR ok'!$A$2:$I$424,9,FALSE)</f>
        <v>95</v>
      </c>
    </row>
    <row r="217" spans="1:15" x14ac:dyDescent="0.25">
      <c r="A217" s="7">
        <v>2020</v>
      </c>
      <c r="B217" s="8" t="s">
        <v>82</v>
      </c>
      <c r="C217" s="8" t="s">
        <v>83</v>
      </c>
      <c r="D217" s="8" t="s">
        <v>84</v>
      </c>
      <c r="E217" s="9" t="s">
        <v>85</v>
      </c>
      <c r="F217" s="10">
        <v>11423.85</v>
      </c>
      <c r="G217" s="10">
        <v>0</v>
      </c>
      <c r="H217" s="10">
        <v>1255</v>
      </c>
      <c r="I217" s="10">
        <v>55</v>
      </c>
      <c r="J217" s="10">
        <v>330</v>
      </c>
      <c r="K217" s="6">
        <f t="shared" si="3"/>
        <v>13063.85</v>
      </c>
      <c r="M217" t="str">
        <f>VLOOKUP(B217,'[2]TABULADOR ok'!$A$2:$I$424,7,FALSE)</f>
        <v>T5</v>
      </c>
      <c r="N217" t="str">
        <f>VLOOKUP(B217,'[2]TABULADOR ok'!$A$2:$I$424,8,FALSE)</f>
        <v>A01038</v>
      </c>
      <c r="O217">
        <f>VLOOKUP(B217,'[2]TABULADOR ok'!$A$2:$I$424,9,FALSE)</f>
        <v>95</v>
      </c>
    </row>
    <row r="218" spans="1:15" x14ac:dyDescent="0.25">
      <c r="A218" s="7">
        <v>2020</v>
      </c>
      <c r="B218" s="8" t="s">
        <v>86</v>
      </c>
      <c r="C218" s="8" t="s">
        <v>87</v>
      </c>
      <c r="D218" s="8" t="s">
        <v>84</v>
      </c>
      <c r="E218" s="9" t="s">
        <v>88</v>
      </c>
      <c r="F218" s="10">
        <v>11423.85</v>
      </c>
      <c r="G218" s="10">
        <v>0</v>
      </c>
      <c r="H218" s="10">
        <v>1255</v>
      </c>
      <c r="I218" s="10">
        <v>55</v>
      </c>
      <c r="J218" s="10">
        <v>330</v>
      </c>
      <c r="K218" s="6">
        <f t="shared" si="3"/>
        <v>13063.85</v>
      </c>
      <c r="M218" t="str">
        <f>VLOOKUP(B218,'[2]TABULADOR ok'!$A$2:$I$424,7,FALSE)</f>
        <v>T5</v>
      </c>
      <c r="N218" t="str">
        <f>VLOOKUP(B218,'[2]TABULADOR ok'!$A$2:$I$424,8,FALSE)</f>
        <v>A03840</v>
      </c>
      <c r="O218">
        <f>VLOOKUP(B218,'[2]TABULADOR ok'!$A$2:$I$424,9,FALSE)</f>
        <v>95</v>
      </c>
    </row>
    <row r="219" spans="1:15" x14ac:dyDescent="0.25">
      <c r="A219" s="7">
        <v>2020</v>
      </c>
      <c r="B219" s="8" t="s">
        <v>89</v>
      </c>
      <c r="C219" s="8" t="s">
        <v>90</v>
      </c>
      <c r="D219" s="8" t="s">
        <v>84</v>
      </c>
      <c r="E219" s="9" t="s">
        <v>91</v>
      </c>
      <c r="F219" s="10">
        <v>11423.85</v>
      </c>
      <c r="G219" s="10">
        <v>0</v>
      </c>
      <c r="H219" s="10">
        <v>1255</v>
      </c>
      <c r="I219" s="10">
        <v>55</v>
      </c>
      <c r="J219" s="10">
        <v>330</v>
      </c>
      <c r="K219" s="6">
        <f t="shared" si="3"/>
        <v>13063.85</v>
      </c>
      <c r="M219" t="str">
        <f>VLOOKUP(B219,'[2]TABULADOR ok'!$A$2:$I$424,7,FALSE)</f>
        <v>T5</v>
      </c>
      <c r="N219" t="str">
        <f>VLOOKUP(B219,'[2]TABULADOR ok'!$A$2:$I$424,8,FALSE)</f>
        <v>A05011</v>
      </c>
      <c r="O219">
        <f>VLOOKUP(B219,'[2]TABULADOR ok'!$A$2:$I$424,9,FALSE)</f>
        <v>95</v>
      </c>
    </row>
    <row r="220" spans="1:15" x14ac:dyDescent="0.25">
      <c r="A220" s="7">
        <v>2020</v>
      </c>
      <c r="B220" s="8" t="s">
        <v>92</v>
      </c>
      <c r="C220" s="8" t="s">
        <v>93</v>
      </c>
      <c r="D220" s="8" t="s">
        <v>84</v>
      </c>
      <c r="E220" s="9" t="s">
        <v>94</v>
      </c>
      <c r="F220" s="10">
        <v>11423.85</v>
      </c>
      <c r="G220" s="10">
        <v>0</v>
      </c>
      <c r="H220" s="10">
        <v>1255</v>
      </c>
      <c r="I220" s="10">
        <v>55</v>
      </c>
      <c r="J220" s="10">
        <v>330</v>
      </c>
      <c r="K220" s="6">
        <f t="shared" si="3"/>
        <v>13063.85</v>
      </c>
      <c r="M220" t="str">
        <f>VLOOKUP(B220,'[2]TABULADOR ok'!$A$2:$I$424,7,FALSE)</f>
        <v>T5</v>
      </c>
      <c r="N220" t="str">
        <f>VLOOKUP(B220,'[2]TABULADOR ok'!$A$2:$I$424,8,FALSE)</f>
        <v>S01892</v>
      </c>
      <c r="O220">
        <f>VLOOKUP(B220,'[2]TABULADOR ok'!$A$2:$I$424,9,FALSE)</f>
        <v>95</v>
      </c>
    </row>
    <row r="221" spans="1:15" x14ac:dyDescent="0.25">
      <c r="A221" s="7">
        <v>2020</v>
      </c>
      <c r="B221" s="8" t="s">
        <v>95</v>
      </c>
      <c r="C221" s="8" t="s">
        <v>96</v>
      </c>
      <c r="D221" s="8" t="s">
        <v>84</v>
      </c>
      <c r="E221" s="9" t="s">
        <v>97</v>
      </c>
      <c r="F221" s="10">
        <v>11423.85</v>
      </c>
      <c r="G221" s="10">
        <v>0</v>
      </c>
      <c r="H221" s="10">
        <v>1255</v>
      </c>
      <c r="I221" s="10">
        <v>55</v>
      </c>
      <c r="J221" s="10">
        <v>330</v>
      </c>
      <c r="K221" s="6">
        <f t="shared" si="3"/>
        <v>13063.85</v>
      </c>
      <c r="M221" t="str">
        <f>VLOOKUP(B221,'[2]TABULADOR ok'!$A$2:$I$424,7,FALSE)</f>
        <v>T5</v>
      </c>
      <c r="N221" t="str">
        <f>VLOOKUP(B221,'[2]TABULADOR ok'!$A$2:$I$424,8,FALSE)</f>
        <v>S01896</v>
      </c>
      <c r="O221">
        <f>VLOOKUP(B221,'[2]TABULADOR ok'!$A$2:$I$424,9,FALSE)</f>
        <v>95</v>
      </c>
    </row>
    <row r="222" spans="1:15" x14ac:dyDescent="0.25">
      <c r="A222" s="7">
        <v>2020</v>
      </c>
      <c r="B222" s="8" t="s">
        <v>98</v>
      </c>
      <c r="C222" s="8" t="s">
        <v>99</v>
      </c>
      <c r="D222" s="8" t="s">
        <v>84</v>
      </c>
      <c r="E222" s="9" t="s">
        <v>100</v>
      </c>
      <c r="F222" s="10">
        <v>11423.85</v>
      </c>
      <c r="G222" s="10">
        <v>0</v>
      </c>
      <c r="H222" s="10">
        <v>1255</v>
      </c>
      <c r="I222" s="10">
        <v>55</v>
      </c>
      <c r="J222" s="10">
        <v>330</v>
      </c>
      <c r="K222" s="6">
        <f t="shared" si="3"/>
        <v>13063.85</v>
      </c>
      <c r="M222" t="str">
        <f>VLOOKUP(B222,'[2]TABULADOR ok'!$A$2:$I$424,7,FALSE)</f>
        <v>T5</v>
      </c>
      <c r="N222" t="str">
        <f>VLOOKUP(B222,'[2]TABULADOR ok'!$A$2:$I$424,8,FALSE)</f>
        <v>S12011</v>
      </c>
      <c r="O222">
        <f>VLOOKUP(B222,'[2]TABULADOR ok'!$A$2:$I$424,9,FALSE)</f>
        <v>95</v>
      </c>
    </row>
    <row r="223" spans="1:15" x14ac:dyDescent="0.25">
      <c r="A223" s="7">
        <v>2020</v>
      </c>
      <c r="B223" s="8" t="s">
        <v>101</v>
      </c>
      <c r="C223" s="8" t="s">
        <v>102</v>
      </c>
      <c r="D223" s="8" t="s">
        <v>84</v>
      </c>
      <c r="E223" s="9" t="s">
        <v>103</v>
      </c>
      <c r="F223" s="10">
        <v>11423.85</v>
      </c>
      <c r="G223" s="10">
        <v>0</v>
      </c>
      <c r="H223" s="10">
        <v>1255</v>
      </c>
      <c r="I223" s="10">
        <v>55</v>
      </c>
      <c r="J223" s="10">
        <v>330</v>
      </c>
      <c r="K223" s="6">
        <f t="shared" si="3"/>
        <v>13063.85</v>
      </c>
      <c r="M223" t="str">
        <f>VLOOKUP(B223,'[2]TABULADOR ok'!$A$2:$I$424,7,FALSE)</f>
        <v>T5</v>
      </c>
      <c r="N223" t="str">
        <f>VLOOKUP(B223,'[2]TABULADOR ok'!$A$2:$I$424,8,FALSE)</f>
        <v>S12094</v>
      </c>
      <c r="O223">
        <f>VLOOKUP(B223,'[2]TABULADOR ok'!$A$2:$I$424,9,FALSE)</f>
        <v>95</v>
      </c>
    </row>
    <row r="224" spans="1:15" x14ac:dyDescent="0.25">
      <c r="A224" s="7">
        <v>2020</v>
      </c>
      <c r="B224" s="8" t="s">
        <v>104</v>
      </c>
      <c r="C224" s="8" t="s">
        <v>105</v>
      </c>
      <c r="D224" s="8" t="s">
        <v>84</v>
      </c>
      <c r="E224" s="9" t="s">
        <v>106</v>
      </c>
      <c r="F224" s="10">
        <v>11423.85</v>
      </c>
      <c r="G224" s="10">
        <v>0</v>
      </c>
      <c r="H224" s="10">
        <v>1255</v>
      </c>
      <c r="I224" s="10">
        <v>55</v>
      </c>
      <c r="J224" s="10">
        <v>330</v>
      </c>
      <c r="K224" s="6">
        <f t="shared" si="3"/>
        <v>13063.85</v>
      </c>
      <c r="M224" t="str">
        <f>VLOOKUP(B224,'[2]TABULADOR ok'!$A$2:$I$424,7,FALSE)</f>
        <v>T5</v>
      </c>
      <c r="N224" t="str">
        <f>VLOOKUP(B224,'[2]TABULADOR ok'!$A$2:$I$424,8,FALSE)</f>
        <v>T03853</v>
      </c>
      <c r="O224">
        <f>VLOOKUP(B224,'[2]TABULADOR ok'!$A$2:$I$424,9,FALSE)</f>
        <v>95</v>
      </c>
    </row>
    <row r="225" spans="1:15" x14ac:dyDescent="0.25">
      <c r="A225" s="7">
        <v>2020</v>
      </c>
      <c r="B225" s="8" t="s">
        <v>107</v>
      </c>
      <c r="C225" s="8" t="s">
        <v>108</v>
      </c>
      <c r="D225" s="8" t="s">
        <v>84</v>
      </c>
      <c r="E225" s="9" t="s">
        <v>109</v>
      </c>
      <c r="F225" s="10">
        <v>11423.85</v>
      </c>
      <c r="G225" s="10">
        <v>0</v>
      </c>
      <c r="H225" s="10">
        <v>1255</v>
      </c>
      <c r="I225" s="10">
        <v>55</v>
      </c>
      <c r="J225" s="10">
        <v>330</v>
      </c>
      <c r="K225" s="6">
        <f t="shared" si="3"/>
        <v>13063.85</v>
      </c>
      <c r="M225" t="str">
        <f>VLOOKUP(B225,'[2]TABULADOR ok'!$A$2:$I$424,7,FALSE)</f>
        <v>T5</v>
      </c>
      <c r="N225" t="str">
        <f>VLOOKUP(B225,'[2]TABULADOR ok'!$A$2:$I$424,8,FALSE)</f>
        <v>T13818</v>
      </c>
      <c r="O225">
        <f>VLOOKUP(B225,'[2]TABULADOR ok'!$A$2:$I$424,9,FALSE)</f>
        <v>95</v>
      </c>
    </row>
    <row r="226" spans="1:15" x14ac:dyDescent="0.25">
      <c r="A226" s="7">
        <v>2020</v>
      </c>
      <c r="B226" s="8" t="s">
        <v>110</v>
      </c>
      <c r="C226" s="8" t="s">
        <v>111</v>
      </c>
      <c r="D226" s="8" t="s">
        <v>84</v>
      </c>
      <c r="E226" s="9" t="s">
        <v>112</v>
      </c>
      <c r="F226" s="10">
        <v>11423.85</v>
      </c>
      <c r="G226" s="10">
        <v>0</v>
      </c>
      <c r="H226" s="10">
        <v>1255</v>
      </c>
      <c r="I226" s="10">
        <v>55</v>
      </c>
      <c r="J226" s="10">
        <v>330</v>
      </c>
      <c r="K226" s="6">
        <f t="shared" si="3"/>
        <v>13063.85</v>
      </c>
      <c r="M226" t="str">
        <f>VLOOKUP(B226,'[2]TABULADOR ok'!$A$2:$I$424,7,FALSE)</f>
        <v>T5</v>
      </c>
      <c r="N226" t="str">
        <f>VLOOKUP(B226,'[2]TABULADOR ok'!$A$2:$I$424,8,FALSE)</f>
        <v>T14034</v>
      </c>
      <c r="O226">
        <f>VLOOKUP(B226,'[2]TABULADOR ok'!$A$2:$I$424,9,FALSE)</f>
        <v>95</v>
      </c>
    </row>
    <row r="227" spans="1:15" x14ac:dyDescent="0.25">
      <c r="A227" s="7">
        <v>2020</v>
      </c>
      <c r="B227" s="8" t="s">
        <v>113</v>
      </c>
      <c r="C227" s="8" t="s">
        <v>114</v>
      </c>
      <c r="D227" s="8" t="s">
        <v>115</v>
      </c>
      <c r="E227" s="9" t="s">
        <v>116</v>
      </c>
      <c r="F227" s="10">
        <v>12704.85</v>
      </c>
      <c r="G227" s="10">
        <v>0</v>
      </c>
      <c r="H227" s="10">
        <v>1255</v>
      </c>
      <c r="I227" s="10">
        <v>55</v>
      </c>
      <c r="J227" s="10">
        <v>330</v>
      </c>
      <c r="K227" s="6">
        <f t="shared" si="3"/>
        <v>14344.85</v>
      </c>
      <c r="M227" t="str">
        <f>VLOOKUP(B227,'[2]TABULADOR ok'!$A$2:$I$424,7,FALSE)</f>
        <v>T6</v>
      </c>
      <c r="N227" t="str">
        <f>VLOOKUP(B227,'[2]TABULADOR ok'!$A$2:$I$424,8,FALSE)</f>
        <v>A03839</v>
      </c>
      <c r="O227">
        <f>VLOOKUP(B227,'[2]TABULADOR ok'!$A$2:$I$424,9,FALSE)</f>
        <v>95</v>
      </c>
    </row>
    <row r="228" spans="1:15" x14ac:dyDescent="0.25">
      <c r="A228" s="7">
        <v>2020</v>
      </c>
      <c r="B228" s="8" t="s">
        <v>117</v>
      </c>
      <c r="C228" s="8" t="s">
        <v>118</v>
      </c>
      <c r="D228" s="8" t="s">
        <v>115</v>
      </c>
      <c r="E228" s="9" t="s">
        <v>119</v>
      </c>
      <c r="F228" s="10">
        <v>12704.85</v>
      </c>
      <c r="G228" s="10">
        <v>0</v>
      </c>
      <c r="H228" s="10">
        <v>1255</v>
      </c>
      <c r="I228" s="10">
        <v>55</v>
      </c>
      <c r="J228" s="10">
        <v>330</v>
      </c>
      <c r="K228" s="6">
        <f t="shared" si="3"/>
        <v>14344.85</v>
      </c>
      <c r="M228" t="str">
        <f>VLOOKUP(B228,'[2]TABULADOR ok'!$A$2:$I$424,7,FALSE)</f>
        <v>T6</v>
      </c>
      <c r="N228" t="str">
        <f>VLOOKUP(B228,'[2]TABULADOR ok'!$A$2:$I$424,8,FALSE)</f>
        <v>P07027</v>
      </c>
      <c r="O228">
        <f>VLOOKUP(B228,'[2]TABULADOR ok'!$A$2:$I$424,9,FALSE)</f>
        <v>95</v>
      </c>
    </row>
    <row r="229" spans="1:15" x14ac:dyDescent="0.25">
      <c r="A229" s="7">
        <v>2020</v>
      </c>
      <c r="B229" s="8" t="s">
        <v>120</v>
      </c>
      <c r="C229" s="8" t="s">
        <v>121</v>
      </c>
      <c r="D229" s="8" t="s">
        <v>115</v>
      </c>
      <c r="E229" s="9" t="s">
        <v>122</v>
      </c>
      <c r="F229" s="10">
        <v>12704.85</v>
      </c>
      <c r="G229" s="10">
        <v>0</v>
      </c>
      <c r="H229" s="10">
        <v>1255</v>
      </c>
      <c r="I229" s="10">
        <v>55</v>
      </c>
      <c r="J229" s="10">
        <v>330</v>
      </c>
      <c r="K229" s="6">
        <f t="shared" si="3"/>
        <v>14344.85</v>
      </c>
      <c r="M229" t="str">
        <f>VLOOKUP(B229,'[2]TABULADOR ok'!$A$2:$I$424,7,FALSE)</f>
        <v>T6</v>
      </c>
      <c r="N229" t="str">
        <f>VLOOKUP(B229,'[2]TABULADOR ok'!$A$2:$I$424,8,FALSE)</f>
        <v>S03830</v>
      </c>
      <c r="O229">
        <f>VLOOKUP(B229,'[2]TABULADOR ok'!$A$2:$I$424,9,FALSE)</f>
        <v>95</v>
      </c>
    </row>
    <row r="230" spans="1:15" x14ac:dyDescent="0.25">
      <c r="A230" s="7">
        <v>2020</v>
      </c>
      <c r="B230" s="8" t="s">
        <v>123</v>
      </c>
      <c r="C230" s="8" t="s">
        <v>124</v>
      </c>
      <c r="D230" s="8" t="s">
        <v>115</v>
      </c>
      <c r="E230" s="9" t="s">
        <v>125</v>
      </c>
      <c r="F230" s="10">
        <v>12704.85</v>
      </c>
      <c r="G230" s="10">
        <v>0</v>
      </c>
      <c r="H230" s="10">
        <v>1255</v>
      </c>
      <c r="I230" s="10">
        <v>55</v>
      </c>
      <c r="J230" s="10">
        <v>330</v>
      </c>
      <c r="K230" s="6">
        <f t="shared" si="3"/>
        <v>14344.85</v>
      </c>
      <c r="M230" t="str">
        <f>VLOOKUP(B230,'[2]TABULADOR ok'!$A$2:$I$424,7,FALSE)</f>
        <v>T6</v>
      </c>
      <c r="N230" t="str">
        <f>VLOOKUP(B230,'[2]TABULADOR ok'!$A$2:$I$424,8,FALSE)</f>
        <v>S03831</v>
      </c>
      <c r="O230">
        <f>VLOOKUP(B230,'[2]TABULADOR ok'!$A$2:$I$424,9,FALSE)</f>
        <v>95</v>
      </c>
    </row>
    <row r="231" spans="1:15" x14ac:dyDescent="0.25">
      <c r="A231" s="7">
        <v>2020</v>
      </c>
      <c r="B231" s="8" t="s">
        <v>126</v>
      </c>
      <c r="C231" s="8" t="s">
        <v>127</v>
      </c>
      <c r="D231" s="8" t="s">
        <v>115</v>
      </c>
      <c r="E231" s="9" t="s">
        <v>128</v>
      </c>
      <c r="F231" s="10">
        <v>12704.85</v>
      </c>
      <c r="G231" s="10">
        <v>0</v>
      </c>
      <c r="H231" s="10">
        <v>1255</v>
      </c>
      <c r="I231" s="10">
        <v>55</v>
      </c>
      <c r="J231" s="10">
        <v>330</v>
      </c>
      <c r="K231" s="6">
        <f t="shared" si="3"/>
        <v>14344.85</v>
      </c>
      <c r="M231" t="str">
        <f>VLOOKUP(B231,'[2]TABULADOR ok'!$A$2:$I$424,7,FALSE)</f>
        <v>T6</v>
      </c>
      <c r="N231" t="str">
        <f>VLOOKUP(B231,'[2]TABULADOR ok'!$A$2:$I$424,8,FALSE)</f>
        <v>S09807</v>
      </c>
      <c r="O231">
        <f>VLOOKUP(B231,'[2]TABULADOR ok'!$A$2:$I$424,9,FALSE)</f>
        <v>95</v>
      </c>
    </row>
    <row r="232" spans="1:15" x14ac:dyDescent="0.25">
      <c r="A232" s="7">
        <v>2020</v>
      </c>
      <c r="B232" s="8" t="s">
        <v>129</v>
      </c>
      <c r="C232" s="8" t="s">
        <v>130</v>
      </c>
      <c r="D232" s="8" t="s">
        <v>115</v>
      </c>
      <c r="E232" s="9" t="s">
        <v>131</v>
      </c>
      <c r="F232" s="10">
        <v>12704.85</v>
      </c>
      <c r="G232" s="10">
        <v>0</v>
      </c>
      <c r="H232" s="10">
        <v>1255</v>
      </c>
      <c r="I232" s="10">
        <v>55</v>
      </c>
      <c r="J232" s="10">
        <v>330</v>
      </c>
      <c r="K232" s="6">
        <f t="shared" si="3"/>
        <v>14344.85</v>
      </c>
      <c r="M232" t="str">
        <f>VLOOKUP(B232,'[2]TABULADOR ok'!$A$2:$I$424,7,FALSE)</f>
        <v>T6</v>
      </c>
      <c r="N232" t="str">
        <f>VLOOKUP(B232,'[2]TABULADOR ok'!$A$2:$I$424,8,FALSE)</f>
        <v>T06823</v>
      </c>
      <c r="O232">
        <f>VLOOKUP(B232,'[2]TABULADOR ok'!$A$2:$I$424,9,FALSE)</f>
        <v>95</v>
      </c>
    </row>
    <row r="233" spans="1:15" x14ac:dyDescent="0.25">
      <c r="A233" s="7">
        <v>2020</v>
      </c>
      <c r="B233" s="8" t="s">
        <v>132</v>
      </c>
      <c r="C233" s="8" t="s">
        <v>133</v>
      </c>
      <c r="D233" s="8" t="s">
        <v>115</v>
      </c>
      <c r="E233" s="9" t="s">
        <v>134</v>
      </c>
      <c r="F233" s="10">
        <v>12704.85</v>
      </c>
      <c r="G233" s="10">
        <v>0</v>
      </c>
      <c r="H233" s="10">
        <v>1255</v>
      </c>
      <c r="I233" s="10">
        <v>55</v>
      </c>
      <c r="J233" s="10">
        <v>330</v>
      </c>
      <c r="K233" s="6">
        <f t="shared" si="3"/>
        <v>14344.85</v>
      </c>
      <c r="M233" t="str">
        <f>VLOOKUP(B233,'[2]TABULADOR ok'!$A$2:$I$424,7,FALSE)</f>
        <v>T6</v>
      </c>
      <c r="N233" t="str">
        <f>VLOOKUP(B233,'[2]TABULADOR ok'!$A$2:$I$424,8,FALSE)</f>
        <v>T08813</v>
      </c>
      <c r="O233">
        <f>VLOOKUP(B233,'[2]TABULADOR ok'!$A$2:$I$424,9,FALSE)</f>
        <v>95</v>
      </c>
    </row>
    <row r="234" spans="1:15" x14ac:dyDescent="0.25">
      <c r="A234" s="7">
        <v>2020</v>
      </c>
      <c r="B234" s="8" t="s">
        <v>135</v>
      </c>
      <c r="C234" s="8" t="s">
        <v>136</v>
      </c>
      <c r="D234" s="8" t="s">
        <v>137</v>
      </c>
      <c r="E234" s="9" t="s">
        <v>138</v>
      </c>
      <c r="F234" s="10">
        <v>13812.05</v>
      </c>
      <c r="G234" s="10">
        <v>0</v>
      </c>
      <c r="H234" s="10">
        <v>1255</v>
      </c>
      <c r="I234" s="10">
        <v>55</v>
      </c>
      <c r="J234" s="10">
        <v>330</v>
      </c>
      <c r="K234" s="6">
        <f t="shared" si="3"/>
        <v>15452.05</v>
      </c>
      <c r="M234" t="str">
        <f>VLOOKUP(B234,'[2]TABULADOR ok'!$A$2:$I$424,7,FALSE)</f>
        <v>T7</v>
      </c>
      <c r="N234" t="str">
        <f>VLOOKUP(B234,'[2]TABULADOR ok'!$A$2:$I$424,8,FALSE)</f>
        <v>A01037</v>
      </c>
      <c r="O234">
        <f>VLOOKUP(B234,'[2]TABULADOR ok'!$A$2:$I$424,9,FALSE)</f>
        <v>95</v>
      </c>
    </row>
    <row r="235" spans="1:15" x14ac:dyDescent="0.25">
      <c r="A235" s="7">
        <v>2020</v>
      </c>
      <c r="B235" s="8" t="s">
        <v>139</v>
      </c>
      <c r="C235" s="8" t="s">
        <v>140</v>
      </c>
      <c r="D235" s="8" t="s">
        <v>137</v>
      </c>
      <c r="E235" s="9" t="s">
        <v>141</v>
      </c>
      <c r="F235" s="10">
        <v>13812.05</v>
      </c>
      <c r="G235" s="10">
        <v>0</v>
      </c>
      <c r="H235" s="10">
        <v>1255</v>
      </c>
      <c r="I235" s="10">
        <v>55</v>
      </c>
      <c r="J235" s="10">
        <v>330</v>
      </c>
      <c r="K235" s="6">
        <f t="shared" si="3"/>
        <v>15452.05</v>
      </c>
      <c r="M235" t="str">
        <f>VLOOKUP(B235,'[2]TABULADOR ok'!$A$2:$I$424,7,FALSE)</f>
        <v>T7</v>
      </c>
      <c r="N235" t="str">
        <f>VLOOKUP(B235,'[2]TABULADOR ok'!$A$2:$I$424,8,FALSE)</f>
        <v>A02815</v>
      </c>
      <c r="O235">
        <f>VLOOKUP(B235,'[2]TABULADOR ok'!$A$2:$I$424,9,FALSE)</f>
        <v>95</v>
      </c>
    </row>
    <row r="236" spans="1:15" x14ac:dyDescent="0.25">
      <c r="A236" s="7">
        <v>2020</v>
      </c>
      <c r="B236" s="8" t="s">
        <v>142</v>
      </c>
      <c r="C236" s="8" t="s">
        <v>143</v>
      </c>
      <c r="D236" s="8" t="s">
        <v>137</v>
      </c>
      <c r="E236" s="9" t="s">
        <v>144</v>
      </c>
      <c r="F236" s="10">
        <v>13812.05</v>
      </c>
      <c r="G236" s="10">
        <v>0</v>
      </c>
      <c r="H236" s="10">
        <v>1255</v>
      </c>
      <c r="I236" s="10">
        <v>55</v>
      </c>
      <c r="J236" s="10">
        <v>330</v>
      </c>
      <c r="K236" s="6">
        <f t="shared" si="3"/>
        <v>15452.05</v>
      </c>
      <c r="M236" t="str">
        <f>VLOOKUP(B236,'[2]TABULADOR ok'!$A$2:$I$424,7,FALSE)</f>
        <v>T7</v>
      </c>
      <c r="N236" t="str">
        <f>VLOOKUP(B236,'[2]TABULADOR ok'!$A$2:$I$424,8,FALSE)</f>
        <v>C01817</v>
      </c>
      <c r="O236">
        <f>VLOOKUP(B236,'[2]TABULADOR ok'!$A$2:$I$424,9,FALSE)</f>
        <v>95</v>
      </c>
    </row>
    <row r="237" spans="1:15" x14ac:dyDescent="0.25">
      <c r="A237" s="7">
        <v>2020</v>
      </c>
      <c r="B237" s="8" t="s">
        <v>145</v>
      </c>
      <c r="C237" s="8" t="s">
        <v>146</v>
      </c>
      <c r="D237" s="8" t="s">
        <v>137</v>
      </c>
      <c r="E237" s="9" t="s">
        <v>147</v>
      </c>
      <c r="F237" s="10">
        <v>13812.05</v>
      </c>
      <c r="G237" s="10">
        <v>0</v>
      </c>
      <c r="H237" s="10">
        <v>1255</v>
      </c>
      <c r="I237" s="10">
        <v>55</v>
      </c>
      <c r="J237" s="10">
        <v>330</v>
      </c>
      <c r="K237" s="6">
        <f t="shared" si="3"/>
        <v>15452.05</v>
      </c>
      <c r="M237" t="str">
        <f>VLOOKUP(B237,'[2]TABULADOR ok'!$A$2:$I$424,7,FALSE)</f>
        <v>T7</v>
      </c>
      <c r="N237" t="str">
        <f>VLOOKUP(B237,'[2]TABULADOR ok'!$A$2:$I$424,8,FALSE)</f>
        <v>P07026</v>
      </c>
      <c r="O237">
        <f>VLOOKUP(B237,'[2]TABULADOR ok'!$A$2:$I$424,9,FALSE)</f>
        <v>95</v>
      </c>
    </row>
    <row r="238" spans="1:15" x14ac:dyDescent="0.25">
      <c r="A238" s="7">
        <v>2020</v>
      </c>
      <c r="B238" s="8" t="s">
        <v>148</v>
      </c>
      <c r="C238" s="8" t="s">
        <v>149</v>
      </c>
      <c r="D238" s="8" t="s">
        <v>137</v>
      </c>
      <c r="E238" s="9" t="s">
        <v>150</v>
      </c>
      <c r="F238" s="10">
        <v>13812.05</v>
      </c>
      <c r="G238" s="10">
        <v>0</v>
      </c>
      <c r="H238" s="10">
        <v>1255</v>
      </c>
      <c r="I238" s="10">
        <v>55</v>
      </c>
      <c r="J238" s="10">
        <v>330</v>
      </c>
      <c r="K238" s="6">
        <f t="shared" si="3"/>
        <v>15452.05</v>
      </c>
      <c r="M238" t="str">
        <f>VLOOKUP(B238,'[2]TABULADOR ok'!$A$2:$I$424,7,FALSE)</f>
        <v>T7</v>
      </c>
      <c r="N238" t="str">
        <f>VLOOKUP(B238,'[2]TABULADOR ok'!$A$2:$I$424,8,FALSE)</f>
        <v>T05822</v>
      </c>
      <c r="O238">
        <f>VLOOKUP(B238,'[2]TABULADOR ok'!$A$2:$I$424,9,FALSE)</f>
        <v>95</v>
      </c>
    </row>
    <row r="239" spans="1:15" x14ac:dyDescent="0.25">
      <c r="A239" s="7">
        <v>2020</v>
      </c>
      <c r="B239" s="8" t="s">
        <v>151</v>
      </c>
      <c r="C239" s="8" t="s">
        <v>152</v>
      </c>
      <c r="D239" s="8" t="s">
        <v>137</v>
      </c>
      <c r="E239" s="9" t="s">
        <v>153</v>
      </c>
      <c r="F239" s="10">
        <v>13812.05</v>
      </c>
      <c r="G239" s="10">
        <v>0</v>
      </c>
      <c r="H239" s="10">
        <v>1255</v>
      </c>
      <c r="I239" s="10">
        <v>55</v>
      </c>
      <c r="J239" s="10">
        <v>330</v>
      </c>
      <c r="K239" s="6">
        <f t="shared" si="3"/>
        <v>15452.05</v>
      </c>
      <c r="M239" t="str">
        <f>VLOOKUP(B239,'[2]TABULADOR ok'!$A$2:$I$424,7,FALSE)</f>
        <v>T7</v>
      </c>
      <c r="N239" t="str">
        <f>VLOOKUP(B239,'[2]TABULADOR ok'!$A$2:$I$424,8,FALSE)</f>
        <v>T09001</v>
      </c>
      <c r="O239">
        <f>VLOOKUP(B239,'[2]TABULADOR ok'!$A$2:$I$424,9,FALSE)</f>
        <v>95</v>
      </c>
    </row>
    <row r="240" spans="1:15" x14ac:dyDescent="0.25">
      <c r="A240" s="7">
        <v>2020</v>
      </c>
      <c r="B240" s="8" t="s">
        <v>154</v>
      </c>
      <c r="C240" s="8" t="s">
        <v>155</v>
      </c>
      <c r="D240" s="8" t="s">
        <v>137</v>
      </c>
      <c r="E240" s="9" t="s">
        <v>156</v>
      </c>
      <c r="F240" s="10">
        <v>13812.05</v>
      </c>
      <c r="G240" s="10">
        <v>0</v>
      </c>
      <c r="H240" s="10">
        <v>1255</v>
      </c>
      <c r="I240" s="10">
        <v>55</v>
      </c>
      <c r="J240" s="10">
        <v>330</v>
      </c>
      <c r="K240" s="6">
        <f t="shared" si="3"/>
        <v>15452.05</v>
      </c>
      <c r="M240" t="str">
        <f>VLOOKUP(B240,'[2]TABULADOR ok'!$A$2:$I$424,7,FALSE)</f>
        <v>T7</v>
      </c>
      <c r="N240" t="str">
        <f>VLOOKUP(B240,'[2]TABULADOR ok'!$A$2:$I$424,8,FALSE)</f>
        <v>T13817</v>
      </c>
      <c r="O240">
        <f>VLOOKUP(B240,'[2]TABULADOR ok'!$A$2:$I$424,9,FALSE)</f>
        <v>95</v>
      </c>
    </row>
    <row r="241" spans="1:15" x14ac:dyDescent="0.25">
      <c r="A241" s="7">
        <v>2020</v>
      </c>
      <c r="B241" s="8" t="s">
        <v>157</v>
      </c>
      <c r="C241" s="8" t="s">
        <v>158</v>
      </c>
      <c r="D241" s="8" t="s">
        <v>137</v>
      </c>
      <c r="E241" s="9" t="s">
        <v>159</v>
      </c>
      <c r="F241" s="10">
        <v>13812.05</v>
      </c>
      <c r="G241" s="10">
        <v>0</v>
      </c>
      <c r="H241" s="10">
        <v>1255</v>
      </c>
      <c r="I241" s="10">
        <v>55</v>
      </c>
      <c r="J241" s="10">
        <v>330</v>
      </c>
      <c r="K241" s="6">
        <f t="shared" si="3"/>
        <v>15452.05</v>
      </c>
      <c r="M241" t="str">
        <f>VLOOKUP(B241,'[2]TABULADOR ok'!$A$2:$I$424,7,FALSE)</f>
        <v>T7</v>
      </c>
      <c r="N241" t="str">
        <f>VLOOKUP(B241,'[2]TABULADOR ok'!$A$2:$I$424,8,FALSE)</f>
        <v>T14019</v>
      </c>
      <c r="O241">
        <f>VLOOKUP(B241,'[2]TABULADOR ok'!$A$2:$I$424,9,FALSE)</f>
        <v>95</v>
      </c>
    </row>
    <row r="242" spans="1:15" x14ac:dyDescent="0.25">
      <c r="A242" s="7">
        <v>2020</v>
      </c>
      <c r="B242" s="8" t="s">
        <v>160</v>
      </c>
      <c r="C242" s="8" t="s">
        <v>161</v>
      </c>
      <c r="D242" s="8" t="s">
        <v>137</v>
      </c>
      <c r="E242" s="9" t="s">
        <v>162</v>
      </c>
      <c r="F242" s="10">
        <v>13812.05</v>
      </c>
      <c r="G242" s="10">
        <v>0</v>
      </c>
      <c r="H242" s="10">
        <v>1255</v>
      </c>
      <c r="I242" s="10">
        <v>55</v>
      </c>
      <c r="J242" s="10">
        <v>330</v>
      </c>
      <c r="K242" s="6">
        <f t="shared" si="3"/>
        <v>15452.05</v>
      </c>
      <c r="M242" t="str">
        <f>VLOOKUP(B242,'[2]TABULADOR ok'!$A$2:$I$424,7,FALSE)</f>
        <v>T7</v>
      </c>
      <c r="N242" t="str">
        <f>VLOOKUP(B242,'[2]TABULADOR ok'!$A$2:$I$424,8,FALSE)</f>
        <v>T16817</v>
      </c>
      <c r="O242">
        <f>VLOOKUP(B242,'[2]TABULADOR ok'!$A$2:$I$424,9,FALSE)</f>
        <v>95</v>
      </c>
    </row>
    <row r="243" spans="1:15" x14ac:dyDescent="0.25">
      <c r="A243" s="7">
        <v>2020</v>
      </c>
      <c r="B243" s="8" t="s">
        <v>163</v>
      </c>
      <c r="C243" s="8" t="s">
        <v>164</v>
      </c>
      <c r="D243" s="8" t="s">
        <v>165</v>
      </c>
      <c r="E243" s="9" t="s">
        <v>166</v>
      </c>
      <c r="F243" s="10">
        <v>15261</v>
      </c>
      <c r="G243" s="10">
        <v>0</v>
      </c>
      <c r="H243" s="10">
        <v>1255</v>
      </c>
      <c r="I243" s="10">
        <v>55</v>
      </c>
      <c r="J243" s="10">
        <v>330</v>
      </c>
      <c r="K243" s="6">
        <f t="shared" si="3"/>
        <v>16901</v>
      </c>
      <c r="M243" t="str">
        <f>VLOOKUP(B243,'[2]TABULADOR ok'!$A$2:$I$424,7,FALSE)</f>
        <v>T8</v>
      </c>
      <c r="N243" t="str">
        <f>VLOOKUP(B243,'[2]TABULADOR ok'!$A$2:$I$424,8,FALSE)</f>
        <v>A01036</v>
      </c>
      <c r="O243">
        <f>VLOOKUP(B243,'[2]TABULADOR ok'!$A$2:$I$424,9,FALSE)</f>
        <v>95</v>
      </c>
    </row>
    <row r="244" spans="1:15" x14ac:dyDescent="0.25">
      <c r="A244" s="7">
        <v>2020</v>
      </c>
      <c r="B244" s="8" t="s">
        <v>167</v>
      </c>
      <c r="C244" s="8" t="s">
        <v>168</v>
      </c>
      <c r="D244" s="8" t="s">
        <v>165</v>
      </c>
      <c r="E244" s="9" t="s">
        <v>169</v>
      </c>
      <c r="F244" s="10">
        <v>15261</v>
      </c>
      <c r="G244" s="10">
        <v>0</v>
      </c>
      <c r="H244" s="10">
        <v>1255</v>
      </c>
      <c r="I244" s="10">
        <v>55</v>
      </c>
      <c r="J244" s="10">
        <v>330</v>
      </c>
      <c r="K244" s="6">
        <f t="shared" si="3"/>
        <v>16901</v>
      </c>
      <c r="M244" t="str">
        <f>VLOOKUP(B244,'[2]TABULADOR ok'!$A$2:$I$424,7,FALSE)</f>
        <v>T8</v>
      </c>
      <c r="N244" t="str">
        <f>VLOOKUP(B244,'[2]TABULADOR ok'!$A$2:$I$424,8,FALSE)</f>
        <v>A06009</v>
      </c>
      <c r="O244">
        <f>VLOOKUP(B244,'[2]TABULADOR ok'!$A$2:$I$424,9,FALSE)</f>
        <v>95</v>
      </c>
    </row>
    <row r="245" spans="1:15" x14ac:dyDescent="0.25">
      <c r="A245" s="7">
        <v>2020</v>
      </c>
      <c r="B245" s="8" t="s">
        <v>170</v>
      </c>
      <c r="C245" s="8" t="s">
        <v>171</v>
      </c>
      <c r="D245" s="8" t="s">
        <v>165</v>
      </c>
      <c r="E245" s="9" t="s">
        <v>172</v>
      </c>
      <c r="F245" s="10">
        <v>15261</v>
      </c>
      <c r="G245" s="10">
        <v>0</v>
      </c>
      <c r="H245" s="10">
        <v>1255</v>
      </c>
      <c r="I245" s="10">
        <v>55</v>
      </c>
      <c r="J245" s="10">
        <v>330</v>
      </c>
      <c r="K245" s="6">
        <f t="shared" si="3"/>
        <v>16901</v>
      </c>
      <c r="M245" t="str">
        <f>VLOOKUP(B245,'[2]TABULADOR ok'!$A$2:$I$424,7,FALSE)</f>
        <v>T8</v>
      </c>
      <c r="N245" t="str">
        <f>VLOOKUP(B245,'[2]TABULADOR ok'!$A$2:$I$424,8,FALSE)</f>
        <v>C01818</v>
      </c>
      <c r="O245">
        <f>VLOOKUP(B245,'[2]TABULADOR ok'!$A$2:$I$424,9,FALSE)</f>
        <v>95</v>
      </c>
    </row>
    <row r="246" spans="1:15" x14ac:dyDescent="0.25">
      <c r="A246" s="7">
        <v>2020</v>
      </c>
      <c r="B246" s="8" t="s">
        <v>173</v>
      </c>
      <c r="C246" s="8" t="s">
        <v>174</v>
      </c>
      <c r="D246" s="8" t="s">
        <v>165</v>
      </c>
      <c r="E246" s="9" t="s">
        <v>175</v>
      </c>
      <c r="F246" s="10">
        <v>15261</v>
      </c>
      <c r="G246" s="10">
        <v>0</v>
      </c>
      <c r="H246" s="10">
        <v>1255</v>
      </c>
      <c r="I246" s="10">
        <v>55</v>
      </c>
      <c r="J246" s="10">
        <v>330</v>
      </c>
      <c r="K246" s="6">
        <f t="shared" si="3"/>
        <v>16901</v>
      </c>
      <c r="M246" t="str">
        <f>VLOOKUP(B246,'[2]TABULADOR ok'!$A$2:$I$424,7,FALSE)</f>
        <v>T8</v>
      </c>
      <c r="N246" t="str">
        <f>VLOOKUP(B246,'[2]TABULADOR ok'!$A$2:$I$424,8,FALSE)</f>
        <v>T03854</v>
      </c>
      <c r="O246">
        <f>VLOOKUP(B246,'[2]TABULADOR ok'!$A$2:$I$424,9,FALSE)</f>
        <v>95</v>
      </c>
    </row>
    <row r="247" spans="1:15" x14ac:dyDescent="0.25">
      <c r="A247" s="7">
        <v>2020</v>
      </c>
      <c r="B247" s="8" t="s">
        <v>176</v>
      </c>
      <c r="C247" s="8" t="s">
        <v>177</v>
      </c>
      <c r="D247" s="8" t="s">
        <v>165</v>
      </c>
      <c r="E247" s="9" t="s">
        <v>178</v>
      </c>
      <c r="F247" s="10">
        <v>15261</v>
      </c>
      <c r="G247" s="10">
        <v>0</v>
      </c>
      <c r="H247" s="10">
        <v>1255</v>
      </c>
      <c r="I247" s="10">
        <v>55</v>
      </c>
      <c r="J247" s="10">
        <v>330</v>
      </c>
      <c r="K247" s="6">
        <f t="shared" si="3"/>
        <v>16901</v>
      </c>
      <c r="M247" t="str">
        <f>VLOOKUP(B247,'[2]TABULADOR ok'!$A$2:$I$424,7,FALSE)</f>
        <v>T8</v>
      </c>
      <c r="N247" t="str">
        <f>VLOOKUP(B247,'[2]TABULADOR ok'!$A$2:$I$424,8,FALSE)</f>
        <v>T04875</v>
      </c>
      <c r="O247">
        <f>VLOOKUP(B247,'[2]TABULADOR ok'!$A$2:$I$424,9,FALSE)</f>
        <v>95</v>
      </c>
    </row>
    <row r="248" spans="1:15" x14ac:dyDescent="0.25">
      <c r="A248" s="7">
        <v>2020</v>
      </c>
      <c r="B248" s="8" t="s">
        <v>179</v>
      </c>
      <c r="C248" s="8" t="s">
        <v>180</v>
      </c>
      <c r="D248" s="8" t="s">
        <v>165</v>
      </c>
      <c r="E248" s="9" t="s">
        <v>181</v>
      </c>
      <c r="F248" s="10">
        <v>15261</v>
      </c>
      <c r="G248" s="10">
        <v>0</v>
      </c>
      <c r="H248" s="10">
        <v>1255</v>
      </c>
      <c r="I248" s="10">
        <v>55</v>
      </c>
      <c r="J248" s="10">
        <v>330</v>
      </c>
      <c r="K248" s="6">
        <f t="shared" si="3"/>
        <v>16901</v>
      </c>
      <c r="M248" t="str">
        <f>VLOOKUP(B248,'[2]TABULADOR ok'!$A$2:$I$424,7,FALSE)</f>
        <v>T8</v>
      </c>
      <c r="N248" t="str">
        <f>VLOOKUP(B248,'[2]TABULADOR ok'!$A$2:$I$424,8,FALSE)</f>
        <v>T08812</v>
      </c>
      <c r="O248">
        <f>VLOOKUP(B248,'[2]TABULADOR ok'!$A$2:$I$424,9,FALSE)</f>
        <v>95</v>
      </c>
    </row>
    <row r="249" spans="1:15" x14ac:dyDescent="0.25">
      <c r="A249" s="7">
        <v>2020</v>
      </c>
      <c r="B249" s="8" t="s">
        <v>182</v>
      </c>
      <c r="C249" s="8" t="s">
        <v>183</v>
      </c>
      <c r="D249" s="8" t="s">
        <v>184</v>
      </c>
      <c r="E249" s="9" t="s">
        <v>185</v>
      </c>
      <c r="F249" s="10">
        <v>17056.95</v>
      </c>
      <c r="G249" s="10">
        <v>0</v>
      </c>
      <c r="H249" s="10">
        <v>1255</v>
      </c>
      <c r="I249" s="10">
        <v>55</v>
      </c>
      <c r="J249" s="10">
        <v>330</v>
      </c>
      <c r="K249" s="6">
        <f t="shared" si="3"/>
        <v>18696.95</v>
      </c>
      <c r="M249" t="str">
        <f>VLOOKUP(B249,'[2]TABULADOR ok'!$A$2:$I$424,7,FALSE)</f>
        <v>T9</v>
      </c>
      <c r="N249" t="str">
        <f>VLOOKUP(B249,'[2]TABULADOR ok'!$A$2:$I$424,8,FALSE)</f>
        <v>P02809</v>
      </c>
      <c r="O249">
        <f>VLOOKUP(B249,'[2]TABULADOR ok'!$A$2:$I$424,9,FALSE)</f>
        <v>95</v>
      </c>
    </row>
    <row r="250" spans="1:15" x14ac:dyDescent="0.25">
      <c r="A250" s="7">
        <v>2020</v>
      </c>
      <c r="B250" s="8" t="s">
        <v>186</v>
      </c>
      <c r="C250" s="8" t="s">
        <v>187</v>
      </c>
      <c r="D250" s="8" t="s">
        <v>184</v>
      </c>
      <c r="E250" s="9" t="s">
        <v>188</v>
      </c>
      <c r="F250" s="10">
        <v>17056.95</v>
      </c>
      <c r="G250" s="10">
        <v>0</v>
      </c>
      <c r="H250" s="10">
        <v>1255</v>
      </c>
      <c r="I250" s="10">
        <v>55</v>
      </c>
      <c r="J250" s="10">
        <v>330</v>
      </c>
      <c r="K250" s="6">
        <f t="shared" si="3"/>
        <v>18696.95</v>
      </c>
      <c r="M250" t="str">
        <f>VLOOKUP(B250,'[2]TABULADOR ok'!$A$2:$I$424,7,FALSE)</f>
        <v>T9</v>
      </c>
      <c r="N250" t="str">
        <f>VLOOKUP(B250,'[2]TABULADOR ok'!$A$2:$I$424,8,FALSE)</f>
        <v>P04806</v>
      </c>
      <c r="O250">
        <f>VLOOKUP(B250,'[2]TABULADOR ok'!$A$2:$I$424,9,FALSE)</f>
        <v>95</v>
      </c>
    </row>
    <row r="251" spans="1:15" x14ac:dyDescent="0.25">
      <c r="A251" s="7">
        <v>2020</v>
      </c>
      <c r="B251" s="8" t="s">
        <v>189</v>
      </c>
      <c r="C251" s="8" t="s">
        <v>190</v>
      </c>
      <c r="D251" s="8" t="s">
        <v>184</v>
      </c>
      <c r="E251" s="9" t="s">
        <v>191</v>
      </c>
      <c r="F251" s="10">
        <v>17056.95</v>
      </c>
      <c r="G251" s="10">
        <v>0</v>
      </c>
      <c r="H251" s="10">
        <v>1255</v>
      </c>
      <c r="I251" s="10">
        <v>55</v>
      </c>
      <c r="J251" s="10">
        <v>330</v>
      </c>
      <c r="K251" s="6">
        <f t="shared" si="3"/>
        <v>18696.95</v>
      </c>
      <c r="M251" t="str">
        <f>VLOOKUP(B251,'[2]TABULADOR ok'!$A$2:$I$424,7,FALSE)</f>
        <v>T9</v>
      </c>
      <c r="N251" t="str">
        <f>VLOOKUP(B251,'[2]TABULADOR ok'!$A$2:$I$424,8,FALSE)</f>
        <v>P05808</v>
      </c>
      <c r="O251">
        <f>VLOOKUP(B251,'[2]TABULADOR ok'!$A$2:$I$424,9,FALSE)</f>
        <v>95</v>
      </c>
    </row>
    <row r="252" spans="1:15" x14ac:dyDescent="0.25">
      <c r="A252" s="7">
        <v>2020</v>
      </c>
      <c r="B252" s="8" t="s">
        <v>192</v>
      </c>
      <c r="C252" s="8" t="s">
        <v>193</v>
      </c>
      <c r="D252" s="8" t="s">
        <v>184</v>
      </c>
      <c r="E252" s="9" t="s">
        <v>194</v>
      </c>
      <c r="F252" s="10">
        <v>17056.95</v>
      </c>
      <c r="G252" s="10">
        <v>0</v>
      </c>
      <c r="H252" s="10">
        <v>1255</v>
      </c>
      <c r="I252" s="10">
        <v>55</v>
      </c>
      <c r="J252" s="10">
        <v>330</v>
      </c>
      <c r="K252" s="6">
        <f t="shared" si="3"/>
        <v>18696.95</v>
      </c>
      <c r="M252" t="str">
        <f>VLOOKUP(B252,'[2]TABULADOR ok'!$A$2:$I$424,7,FALSE)</f>
        <v>T9</v>
      </c>
      <c r="N252" t="str">
        <f>VLOOKUP(B252,'[2]TABULADOR ok'!$A$2:$I$424,8,FALSE)</f>
        <v>T03850</v>
      </c>
      <c r="O252">
        <f>VLOOKUP(B252,'[2]TABULADOR ok'!$A$2:$I$424,9,FALSE)</f>
        <v>95</v>
      </c>
    </row>
    <row r="253" spans="1:15" x14ac:dyDescent="0.25">
      <c r="A253" s="7">
        <v>2020</v>
      </c>
      <c r="B253" s="8" t="s">
        <v>195</v>
      </c>
      <c r="C253" s="8" t="s">
        <v>196</v>
      </c>
      <c r="D253" s="8" t="s">
        <v>184</v>
      </c>
      <c r="E253" s="9" t="s">
        <v>197</v>
      </c>
      <c r="F253" s="10">
        <v>17056.95</v>
      </c>
      <c r="G253" s="10">
        <v>0</v>
      </c>
      <c r="H253" s="10">
        <v>1255</v>
      </c>
      <c r="I253" s="10">
        <v>55</v>
      </c>
      <c r="J253" s="10">
        <v>330</v>
      </c>
      <c r="K253" s="6">
        <f t="shared" si="3"/>
        <v>18696.95</v>
      </c>
      <c r="M253" t="str">
        <f>VLOOKUP(B253,'[2]TABULADOR ok'!$A$2:$I$424,7,FALSE)</f>
        <v>T9</v>
      </c>
      <c r="N253" t="str">
        <f>VLOOKUP(B253,'[2]TABULADOR ok'!$A$2:$I$424,8,FALSE)</f>
        <v>T03851</v>
      </c>
      <c r="O253">
        <f>VLOOKUP(B253,'[2]TABULADOR ok'!$A$2:$I$424,9,FALSE)</f>
        <v>95</v>
      </c>
    </row>
    <row r="254" spans="1:15" x14ac:dyDescent="0.25">
      <c r="A254" s="7">
        <v>2020</v>
      </c>
      <c r="B254" s="8" t="s">
        <v>198</v>
      </c>
      <c r="C254" s="8" t="s">
        <v>199</v>
      </c>
      <c r="D254" s="8" t="s">
        <v>184</v>
      </c>
      <c r="E254" s="9" t="s">
        <v>200</v>
      </c>
      <c r="F254" s="10">
        <v>17056.95</v>
      </c>
      <c r="G254" s="10">
        <v>0</v>
      </c>
      <c r="H254" s="10">
        <v>1255</v>
      </c>
      <c r="I254" s="10">
        <v>55</v>
      </c>
      <c r="J254" s="10">
        <v>330</v>
      </c>
      <c r="K254" s="6">
        <f t="shared" si="3"/>
        <v>18696.95</v>
      </c>
      <c r="M254" t="str">
        <f>VLOOKUP(B254,'[2]TABULADOR ok'!$A$2:$I$424,7,FALSE)</f>
        <v>T9</v>
      </c>
      <c r="N254" t="str">
        <f>VLOOKUP(B254,'[2]TABULADOR ok'!$A$2:$I$424,8,FALSE)</f>
        <v>T03855</v>
      </c>
      <c r="O254">
        <f>VLOOKUP(B254,'[2]TABULADOR ok'!$A$2:$I$424,9,FALSE)</f>
        <v>95</v>
      </c>
    </row>
    <row r="255" spans="1:15" x14ac:dyDescent="0.25">
      <c r="A255" s="7">
        <v>2020</v>
      </c>
      <c r="B255" s="8" t="s">
        <v>201</v>
      </c>
      <c r="C255" s="8" t="s">
        <v>202</v>
      </c>
      <c r="D255" s="8" t="s">
        <v>184</v>
      </c>
      <c r="E255" s="9" t="s">
        <v>203</v>
      </c>
      <c r="F255" s="10">
        <v>17056.95</v>
      </c>
      <c r="G255" s="10">
        <v>0</v>
      </c>
      <c r="H255" s="10">
        <v>1255</v>
      </c>
      <c r="I255" s="10">
        <v>55</v>
      </c>
      <c r="J255" s="10">
        <v>330</v>
      </c>
      <c r="K255" s="6">
        <f t="shared" si="3"/>
        <v>18696.95</v>
      </c>
      <c r="M255" t="str">
        <f>VLOOKUP(B255,'[2]TABULADOR ok'!$A$2:$I$424,7,FALSE)</f>
        <v>T9</v>
      </c>
      <c r="N255" t="str">
        <f>VLOOKUP(B255,'[2]TABULADOR ok'!$A$2:$I$424,8,FALSE)</f>
        <v>T04873</v>
      </c>
      <c r="O255">
        <f>VLOOKUP(B255,'[2]TABULADOR ok'!$A$2:$I$424,9,FALSE)</f>
        <v>95</v>
      </c>
    </row>
    <row r="256" spans="1:15" x14ac:dyDescent="0.25">
      <c r="A256" s="7">
        <v>2020</v>
      </c>
      <c r="B256" s="8" t="s">
        <v>204</v>
      </c>
      <c r="C256" s="8" t="s">
        <v>205</v>
      </c>
      <c r="D256" s="8" t="s">
        <v>184</v>
      </c>
      <c r="E256" s="9" t="s">
        <v>206</v>
      </c>
      <c r="F256" s="10">
        <v>17056.95</v>
      </c>
      <c r="G256" s="10">
        <v>0</v>
      </c>
      <c r="H256" s="10">
        <v>1255</v>
      </c>
      <c r="I256" s="10">
        <v>55</v>
      </c>
      <c r="J256" s="10">
        <v>330</v>
      </c>
      <c r="K256" s="6">
        <f t="shared" si="3"/>
        <v>18696.95</v>
      </c>
      <c r="M256" t="str">
        <f>VLOOKUP(B256,'[2]TABULADOR ok'!$A$2:$I$424,7,FALSE)</f>
        <v>T9</v>
      </c>
      <c r="N256" t="str">
        <f>VLOOKUP(B256,'[2]TABULADOR ok'!$A$2:$I$424,8,FALSE)</f>
        <v>T14007</v>
      </c>
      <c r="O256">
        <f>VLOOKUP(B256,'[2]TABULADOR ok'!$A$2:$I$424,9,FALSE)</f>
        <v>95</v>
      </c>
    </row>
    <row r="257" spans="1:15" x14ac:dyDescent="0.25">
      <c r="A257" s="7">
        <v>2020</v>
      </c>
      <c r="B257" s="8" t="s">
        <v>207</v>
      </c>
      <c r="C257" s="8" t="s">
        <v>208</v>
      </c>
      <c r="D257" s="8" t="s">
        <v>184</v>
      </c>
      <c r="E257" s="9" t="s">
        <v>209</v>
      </c>
      <c r="F257" s="10">
        <v>17056.95</v>
      </c>
      <c r="G257" s="10">
        <v>0</v>
      </c>
      <c r="H257" s="10">
        <v>1255</v>
      </c>
      <c r="I257" s="10">
        <v>55</v>
      </c>
      <c r="J257" s="10">
        <v>330</v>
      </c>
      <c r="K257" s="6">
        <f t="shared" si="3"/>
        <v>18696.95</v>
      </c>
      <c r="M257" t="str">
        <f>VLOOKUP(B257,'[2]TABULADOR ok'!$A$2:$I$424,7,FALSE)</f>
        <v>T9</v>
      </c>
      <c r="N257" t="str">
        <f>VLOOKUP(B257,'[2]TABULADOR ok'!$A$2:$I$424,8,FALSE)</f>
        <v>T26806</v>
      </c>
      <c r="O257">
        <f>VLOOKUP(B257,'[2]TABULADOR ok'!$A$2:$I$424,9,FALSE)</f>
        <v>95</v>
      </c>
    </row>
    <row r="258" spans="1:15" x14ac:dyDescent="0.25">
      <c r="A258" s="4">
        <v>2019</v>
      </c>
      <c r="B258" s="11" t="s">
        <v>10</v>
      </c>
      <c r="C258" s="11" t="s">
        <v>11</v>
      </c>
      <c r="D258" s="11" t="s">
        <v>12</v>
      </c>
      <c r="E258" s="12" t="s">
        <v>13</v>
      </c>
      <c r="F258" s="5">
        <v>8358.85</v>
      </c>
      <c r="G258" s="5">
        <v>0</v>
      </c>
      <c r="H258" s="5">
        <v>1255</v>
      </c>
      <c r="I258" s="5">
        <v>55</v>
      </c>
      <c r="J258" s="5">
        <v>330</v>
      </c>
      <c r="K258" s="6">
        <f>SUM(F258:J258)</f>
        <v>9998.85</v>
      </c>
      <c r="M258" t="str">
        <f>VLOOKUP(B258,'[2]TABULADOR ok'!$A$2:$I$424,7,FALSE)</f>
        <v>T1</v>
      </c>
      <c r="N258" t="str">
        <f>VLOOKUP(B258,'[2]TABULADOR ok'!$A$2:$I$424,8,FALSE)</f>
        <v>S01893</v>
      </c>
      <c r="O258">
        <f>VLOOKUP(B258,'[2]TABULADOR ok'!$A$2:$I$424,9,FALSE)</f>
        <v>95</v>
      </c>
    </row>
    <row r="259" spans="1:15" x14ac:dyDescent="0.25">
      <c r="A259" s="4">
        <v>2019</v>
      </c>
      <c r="B259" s="11" t="s">
        <v>14</v>
      </c>
      <c r="C259" s="11" t="s">
        <v>15</v>
      </c>
      <c r="D259" s="11" t="s">
        <v>16</v>
      </c>
      <c r="E259" s="12" t="s">
        <v>17</v>
      </c>
      <c r="F259" s="5">
        <v>8752.6</v>
      </c>
      <c r="G259" s="5">
        <v>0</v>
      </c>
      <c r="H259" s="5">
        <v>1255</v>
      </c>
      <c r="I259" s="5">
        <v>55</v>
      </c>
      <c r="J259" s="5">
        <v>330</v>
      </c>
      <c r="K259" s="6">
        <f t="shared" ref="K259:K321" si="4">SUM(F259:J259)</f>
        <v>10392.6</v>
      </c>
      <c r="M259" t="str">
        <f>VLOOKUP(B259,'[2]TABULADOR ok'!$A$2:$I$424,7,FALSE)</f>
        <v>T2</v>
      </c>
      <c r="N259" t="str">
        <f>VLOOKUP(B259,'[2]TABULADOR ok'!$A$2:$I$424,8,FALSE)</f>
        <v>S01891</v>
      </c>
      <c r="O259">
        <f>VLOOKUP(B259,'[2]TABULADOR ok'!$A$2:$I$424,9,FALSE)</f>
        <v>95</v>
      </c>
    </row>
    <row r="260" spans="1:15" x14ac:dyDescent="0.25">
      <c r="A260" s="4">
        <v>2019</v>
      </c>
      <c r="B260" s="11" t="s">
        <v>18</v>
      </c>
      <c r="C260" s="11" t="s">
        <v>19</v>
      </c>
      <c r="D260" s="11" t="s">
        <v>16</v>
      </c>
      <c r="E260" s="12" t="s">
        <v>20</v>
      </c>
      <c r="F260" s="5">
        <v>8752.6</v>
      </c>
      <c r="G260" s="5">
        <v>0</v>
      </c>
      <c r="H260" s="5">
        <v>1255</v>
      </c>
      <c r="I260" s="5">
        <v>55</v>
      </c>
      <c r="J260" s="5">
        <v>330</v>
      </c>
      <c r="K260" s="6">
        <f t="shared" si="4"/>
        <v>10392.6</v>
      </c>
      <c r="M260" t="str">
        <f>VLOOKUP(B260,'[2]TABULADOR ok'!$A$2:$I$424,7,FALSE)</f>
        <v>T2</v>
      </c>
      <c r="N260" t="str">
        <f>VLOOKUP(B260,'[2]TABULADOR ok'!$A$2:$I$424,8,FALSE)</f>
        <v>S03833</v>
      </c>
      <c r="O260">
        <f>VLOOKUP(B260,'[2]TABULADOR ok'!$A$2:$I$424,9,FALSE)</f>
        <v>95</v>
      </c>
    </row>
    <row r="261" spans="1:15" x14ac:dyDescent="0.25">
      <c r="A261" s="4">
        <v>2019</v>
      </c>
      <c r="B261" s="11" t="s">
        <v>21</v>
      </c>
      <c r="C261" s="11" t="s">
        <v>22</v>
      </c>
      <c r="D261" s="11" t="s">
        <v>16</v>
      </c>
      <c r="E261" s="12" t="s">
        <v>23</v>
      </c>
      <c r="F261" s="5">
        <v>8752.6</v>
      </c>
      <c r="G261" s="5">
        <v>0</v>
      </c>
      <c r="H261" s="5">
        <v>1255</v>
      </c>
      <c r="I261" s="5">
        <v>55</v>
      </c>
      <c r="J261" s="5">
        <v>330</v>
      </c>
      <c r="K261" s="6">
        <f t="shared" si="4"/>
        <v>10392.6</v>
      </c>
      <c r="M261" t="str">
        <f>VLOOKUP(B261,'[2]TABULADOR ok'!$A$2:$I$424,7,FALSE)</f>
        <v>T2</v>
      </c>
      <c r="N261" t="str">
        <f>VLOOKUP(B261,'[2]TABULADOR ok'!$A$2:$I$424,8,FALSE)</f>
        <v>S12091</v>
      </c>
      <c r="O261">
        <f>VLOOKUP(B261,'[2]TABULADOR ok'!$A$2:$I$424,9,FALSE)</f>
        <v>95</v>
      </c>
    </row>
    <row r="262" spans="1:15" x14ac:dyDescent="0.25">
      <c r="A262" s="4">
        <v>2019</v>
      </c>
      <c r="B262" s="11" t="s">
        <v>24</v>
      </c>
      <c r="C262" s="11" t="s">
        <v>24</v>
      </c>
      <c r="D262" s="11" t="s">
        <v>25</v>
      </c>
      <c r="E262" s="12" t="s">
        <v>26</v>
      </c>
      <c r="F262" s="5">
        <v>9161.1</v>
      </c>
      <c r="G262" s="5">
        <v>0</v>
      </c>
      <c r="H262" s="5">
        <v>1255</v>
      </c>
      <c r="I262" s="5">
        <v>55</v>
      </c>
      <c r="J262" s="5">
        <v>330</v>
      </c>
      <c r="K262" s="6">
        <f t="shared" si="4"/>
        <v>10801.1</v>
      </c>
      <c r="M262" t="str">
        <f>VLOOKUP(B262,'[2]TABULADOR ok'!$A$2:$I$424,7,FALSE)</f>
        <v>T3</v>
      </c>
      <c r="N262" t="str">
        <f>VLOOKUP(B262,'[2]TABULADOR ok'!$A$2:$I$424,8,FALSE)</f>
        <v>A01023</v>
      </c>
      <c r="O262">
        <f>VLOOKUP(B262,'[2]TABULADOR ok'!$A$2:$I$424,9,FALSE)</f>
        <v>95</v>
      </c>
    </row>
    <row r="263" spans="1:15" x14ac:dyDescent="0.25">
      <c r="A263" s="4">
        <v>2019</v>
      </c>
      <c r="B263" s="11" t="s">
        <v>27</v>
      </c>
      <c r="C263" s="11" t="s">
        <v>28</v>
      </c>
      <c r="D263" s="11" t="s">
        <v>25</v>
      </c>
      <c r="E263" s="12" t="s">
        <v>29</v>
      </c>
      <c r="F263" s="5">
        <v>9161.1</v>
      </c>
      <c r="G263" s="5">
        <v>0</v>
      </c>
      <c r="H263" s="5">
        <v>1255</v>
      </c>
      <c r="I263" s="5">
        <v>55</v>
      </c>
      <c r="J263" s="5">
        <v>330</v>
      </c>
      <c r="K263" s="6">
        <f t="shared" si="4"/>
        <v>10801.1</v>
      </c>
      <c r="M263" t="str">
        <f>VLOOKUP(B263,'[2]TABULADOR ok'!$A$2:$I$424,7,FALSE)</f>
        <v>T3</v>
      </c>
      <c r="N263" t="str">
        <f>VLOOKUP(B263,'[2]TABULADOR ok'!$A$2:$I$424,8,FALSE)</f>
        <v>A01040</v>
      </c>
      <c r="O263">
        <f>VLOOKUP(B263,'[2]TABULADOR ok'!$A$2:$I$424,9,FALSE)</f>
        <v>95</v>
      </c>
    </row>
    <row r="264" spans="1:15" x14ac:dyDescent="0.25">
      <c r="A264" s="4">
        <v>2019</v>
      </c>
      <c r="B264" s="11" t="s">
        <v>30</v>
      </c>
      <c r="C264" s="11" t="s">
        <v>31</v>
      </c>
      <c r="D264" s="11" t="s">
        <v>25</v>
      </c>
      <c r="E264" s="12" t="s">
        <v>32</v>
      </c>
      <c r="F264" s="5">
        <v>9161.1</v>
      </c>
      <c r="G264" s="5">
        <v>0</v>
      </c>
      <c r="H264" s="5">
        <v>1255</v>
      </c>
      <c r="I264" s="5">
        <v>55</v>
      </c>
      <c r="J264" s="5">
        <v>330</v>
      </c>
      <c r="K264" s="6">
        <f t="shared" si="4"/>
        <v>10801.1</v>
      </c>
      <c r="M264" t="str">
        <f>VLOOKUP(B264,'[2]TABULADOR ok'!$A$2:$I$424,7,FALSE)</f>
        <v>T3</v>
      </c>
      <c r="N264" t="str">
        <f>VLOOKUP(B264,'[2]TABULADOR ok'!$A$2:$I$424,8,FALSE)</f>
        <v>A02813</v>
      </c>
      <c r="O264">
        <f>VLOOKUP(B264,'[2]TABULADOR ok'!$A$2:$I$424,9,FALSE)</f>
        <v>95</v>
      </c>
    </row>
    <row r="265" spans="1:15" x14ac:dyDescent="0.25">
      <c r="A265" s="4">
        <v>2019</v>
      </c>
      <c r="B265" s="11" t="s">
        <v>33</v>
      </c>
      <c r="C265" s="11" t="s">
        <v>34</v>
      </c>
      <c r="D265" s="11" t="s">
        <v>25</v>
      </c>
      <c r="E265" s="12" t="s">
        <v>35</v>
      </c>
      <c r="F265" s="5">
        <v>9161.1</v>
      </c>
      <c r="G265" s="5">
        <v>0</v>
      </c>
      <c r="H265" s="5">
        <v>1255</v>
      </c>
      <c r="I265" s="5">
        <v>55</v>
      </c>
      <c r="J265" s="5">
        <v>330</v>
      </c>
      <c r="K265" s="6">
        <f t="shared" si="4"/>
        <v>10801.1</v>
      </c>
      <c r="M265" t="str">
        <f>VLOOKUP(B265,'[2]TABULADOR ok'!$A$2:$I$424,7,FALSE)</f>
        <v>T3</v>
      </c>
      <c r="N265" t="str">
        <f>VLOOKUP(B265,'[2]TABULADOR ok'!$A$2:$I$424,8,FALSE)</f>
        <v>A03832</v>
      </c>
      <c r="O265">
        <f>VLOOKUP(B265,'[2]TABULADOR ok'!$A$2:$I$424,9,FALSE)</f>
        <v>95</v>
      </c>
    </row>
    <row r="266" spans="1:15" x14ac:dyDescent="0.25">
      <c r="A266" s="4">
        <v>2019</v>
      </c>
      <c r="B266" s="11" t="s">
        <v>36</v>
      </c>
      <c r="C266" s="11" t="s">
        <v>37</v>
      </c>
      <c r="D266" s="11" t="s">
        <v>25</v>
      </c>
      <c r="E266" s="12" t="s">
        <v>38</v>
      </c>
      <c r="F266" s="5">
        <v>9161.1</v>
      </c>
      <c r="G266" s="5">
        <v>0</v>
      </c>
      <c r="H266" s="5">
        <v>1255</v>
      </c>
      <c r="I266" s="5">
        <v>55</v>
      </c>
      <c r="J266" s="5">
        <v>330</v>
      </c>
      <c r="K266" s="6">
        <f t="shared" si="4"/>
        <v>10801.1</v>
      </c>
      <c r="M266" t="str">
        <f>VLOOKUP(B266,'[2]TABULADOR ok'!$A$2:$I$424,7,FALSE)</f>
        <v>T3</v>
      </c>
      <c r="N266" t="str">
        <f>VLOOKUP(B266,'[2]TABULADOR ok'!$A$2:$I$424,8,FALSE)</f>
        <v>A05012</v>
      </c>
      <c r="O266">
        <f>VLOOKUP(B266,'[2]TABULADOR ok'!$A$2:$I$424,9,FALSE)</f>
        <v>95</v>
      </c>
    </row>
    <row r="267" spans="1:15" x14ac:dyDescent="0.25">
      <c r="A267" s="4">
        <v>2019</v>
      </c>
      <c r="B267" s="11" t="s">
        <v>39</v>
      </c>
      <c r="C267" s="11" t="s">
        <v>40</v>
      </c>
      <c r="D267" s="11" t="s">
        <v>25</v>
      </c>
      <c r="E267" s="12" t="s">
        <v>41</v>
      </c>
      <c r="F267" s="5">
        <v>9161.1</v>
      </c>
      <c r="G267" s="5">
        <v>0</v>
      </c>
      <c r="H267" s="5">
        <v>1255</v>
      </c>
      <c r="I267" s="5">
        <v>55</v>
      </c>
      <c r="J267" s="5">
        <v>330</v>
      </c>
      <c r="K267" s="6">
        <f t="shared" si="4"/>
        <v>10801.1</v>
      </c>
      <c r="M267" t="str">
        <f>VLOOKUP(B267,'[2]TABULADOR ok'!$A$2:$I$424,7,FALSE)</f>
        <v>T3</v>
      </c>
      <c r="N267" t="str">
        <f>VLOOKUP(B267,'[2]TABULADOR ok'!$A$2:$I$424,8,FALSE)</f>
        <v>S01890</v>
      </c>
      <c r="O267">
        <f>VLOOKUP(B267,'[2]TABULADOR ok'!$A$2:$I$424,9,FALSE)</f>
        <v>95</v>
      </c>
    </row>
    <row r="268" spans="1:15" x14ac:dyDescent="0.25">
      <c r="A268" s="4">
        <v>2019</v>
      </c>
      <c r="B268" s="11" t="s">
        <v>42</v>
      </c>
      <c r="C268" s="11" t="s">
        <v>43</v>
      </c>
      <c r="D268" s="11" t="s">
        <v>25</v>
      </c>
      <c r="E268" s="12" t="s">
        <v>44</v>
      </c>
      <c r="F268" s="5">
        <v>9161.1</v>
      </c>
      <c r="G268" s="5">
        <v>0</v>
      </c>
      <c r="H268" s="5">
        <v>1255</v>
      </c>
      <c r="I268" s="5">
        <v>55</v>
      </c>
      <c r="J268" s="5">
        <v>330</v>
      </c>
      <c r="K268" s="6">
        <f t="shared" si="4"/>
        <v>10801.1</v>
      </c>
      <c r="M268" t="str">
        <f>VLOOKUP(B268,'[2]TABULADOR ok'!$A$2:$I$424,7,FALSE)</f>
        <v>T3</v>
      </c>
      <c r="N268" t="str">
        <f>VLOOKUP(B268,'[2]TABULADOR ok'!$A$2:$I$424,8,FALSE)</f>
        <v>S01894</v>
      </c>
      <c r="O268">
        <f>VLOOKUP(B268,'[2]TABULADOR ok'!$A$2:$I$424,9,FALSE)</f>
        <v>95</v>
      </c>
    </row>
    <row r="269" spans="1:15" x14ac:dyDescent="0.25">
      <c r="A269" s="4">
        <v>2019</v>
      </c>
      <c r="B269" s="11" t="s">
        <v>45</v>
      </c>
      <c r="C269" s="11" t="s">
        <v>46</v>
      </c>
      <c r="D269" s="11" t="s">
        <v>47</v>
      </c>
      <c r="E269" s="12" t="s">
        <v>48</v>
      </c>
      <c r="F269" s="5">
        <v>10041.450000000001</v>
      </c>
      <c r="G269" s="5">
        <v>0</v>
      </c>
      <c r="H269" s="5">
        <v>1255</v>
      </c>
      <c r="I269" s="5">
        <v>55</v>
      </c>
      <c r="J269" s="5">
        <v>330</v>
      </c>
      <c r="K269" s="6">
        <f t="shared" si="4"/>
        <v>11681.45</v>
      </c>
      <c r="M269" t="str">
        <f>VLOOKUP(B269,'[2]TABULADOR ok'!$A$2:$I$424,7,FALSE)</f>
        <v>T4</v>
      </c>
      <c r="N269" t="str">
        <f>VLOOKUP(B269,'[2]TABULADOR ok'!$A$2:$I$424,8,FALSE)</f>
        <v>A03841</v>
      </c>
      <c r="O269">
        <f>VLOOKUP(B269,'[2]TABULADOR ok'!$A$2:$I$424,9,FALSE)</f>
        <v>95</v>
      </c>
    </row>
    <row r="270" spans="1:15" x14ac:dyDescent="0.25">
      <c r="A270" s="4">
        <v>2019</v>
      </c>
      <c r="B270" s="11" t="s">
        <v>49</v>
      </c>
      <c r="C270" s="11" t="s">
        <v>50</v>
      </c>
      <c r="D270" s="11" t="s">
        <v>47</v>
      </c>
      <c r="E270" s="12" t="s">
        <v>51</v>
      </c>
      <c r="F270" s="5">
        <v>10041.450000000001</v>
      </c>
      <c r="G270" s="5">
        <v>0</v>
      </c>
      <c r="H270" s="5">
        <v>1255</v>
      </c>
      <c r="I270" s="5">
        <v>55</v>
      </c>
      <c r="J270" s="5">
        <v>330</v>
      </c>
      <c r="K270" s="6">
        <f t="shared" si="4"/>
        <v>11681.45</v>
      </c>
      <c r="M270" t="str">
        <f>VLOOKUP(B270,'[2]TABULADOR ok'!$A$2:$I$424,7,FALSE)</f>
        <v>T4</v>
      </c>
      <c r="N270" t="str">
        <f>VLOOKUP(B270,'[2]TABULADOR ok'!$A$2:$I$424,8,FALSE)</f>
        <v>C02810</v>
      </c>
      <c r="O270">
        <f>VLOOKUP(B270,'[2]TABULADOR ok'!$A$2:$I$424,9,FALSE)</f>
        <v>95</v>
      </c>
    </row>
    <row r="271" spans="1:15" x14ac:dyDescent="0.25">
      <c r="A271" s="4">
        <v>2019</v>
      </c>
      <c r="B271" s="11" t="s">
        <v>52</v>
      </c>
      <c r="C271" s="11" t="s">
        <v>53</v>
      </c>
      <c r="D271" s="11" t="s">
        <v>47</v>
      </c>
      <c r="E271" s="12" t="s">
        <v>54</v>
      </c>
      <c r="F271" s="5">
        <v>10041.450000000001</v>
      </c>
      <c r="G271" s="5">
        <v>0</v>
      </c>
      <c r="H271" s="5">
        <v>1255</v>
      </c>
      <c r="I271" s="5">
        <v>55</v>
      </c>
      <c r="J271" s="5">
        <v>330</v>
      </c>
      <c r="K271" s="6">
        <f t="shared" si="4"/>
        <v>11681.45</v>
      </c>
      <c r="M271" t="str">
        <f>VLOOKUP(B271,'[2]TABULADOR ok'!$A$2:$I$424,7,FALSE)</f>
        <v>T4</v>
      </c>
      <c r="N271" t="str">
        <f>VLOOKUP(B271,'[2]TABULADOR ok'!$A$2:$I$424,8,FALSE)</f>
        <v>S01889</v>
      </c>
      <c r="O271">
        <f>VLOOKUP(B271,'[2]TABULADOR ok'!$A$2:$I$424,9,FALSE)</f>
        <v>95</v>
      </c>
    </row>
    <row r="272" spans="1:15" x14ac:dyDescent="0.25">
      <c r="A272" s="4">
        <v>2019</v>
      </c>
      <c r="B272" s="11" t="s">
        <v>55</v>
      </c>
      <c r="C272" s="11" t="s">
        <v>56</v>
      </c>
      <c r="D272" s="11" t="s">
        <v>47</v>
      </c>
      <c r="E272" s="12" t="s">
        <v>57</v>
      </c>
      <c r="F272" s="5">
        <v>10041.450000000001</v>
      </c>
      <c r="G272" s="5">
        <v>0</v>
      </c>
      <c r="H272" s="5">
        <v>1255</v>
      </c>
      <c r="I272" s="5">
        <v>55</v>
      </c>
      <c r="J272" s="5">
        <v>330</v>
      </c>
      <c r="K272" s="6">
        <f t="shared" si="4"/>
        <v>11681.45</v>
      </c>
      <c r="M272" t="str">
        <f>VLOOKUP(B272,'[2]TABULADOR ok'!$A$2:$I$424,7,FALSE)</f>
        <v>T4</v>
      </c>
      <c r="N272" t="str">
        <f>VLOOKUP(B272,'[2]TABULADOR ok'!$A$2:$I$424,8,FALSE)</f>
        <v>S01895</v>
      </c>
      <c r="O272">
        <f>VLOOKUP(B272,'[2]TABULADOR ok'!$A$2:$I$424,9,FALSE)</f>
        <v>95</v>
      </c>
    </row>
    <row r="273" spans="1:15" x14ac:dyDescent="0.25">
      <c r="A273" s="4">
        <v>2019</v>
      </c>
      <c r="B273" s="11" t="s">
        <v>58</v>
      </c>
      <c r="C273" s="11" t="s">
        <v>59</v>
      </c>
      <c r="D273" s="11" t="s">
        <v>47</v>
      </c>
      <c r="E273" s="12" t="s">
        <v>60</v>
      </c>
      <c r="F273" s="5">
        <v>10041.450000000001</v>
      </c>
      <c r="G273" s="5">
        <v>0</v>
      </c>
      <c r="H273" s="5">
        <v>1255</v>
      </c>
      <c r="I273" s="5">
        <v>55</v>
      </c>
      <c r="J273" s="5">
        <v>330</v>
      </c>
      <c r="K273" s="6">
        <f t="shared" si="4"/>
        <v>11681.45</v>
      </c>
      <c r="M273" t="str">
        <f>VLOOKUP(B273,'[2]TABULADOR ok'!$A$2:$I$424,7,FALSE)</f>
        <v>T4</v>
      </c>
      <c r="N273" t="str">
        <f>VLOOKUP(B273,'[2]TABULADOR ok'!$A$2:$I$424,8,FALSE)</f>
        <v>S03834</v>
      </c>
      <c r="O273">
        <f>VLOOKUP(B273,'[2]TABULADOR ok'!$A$2:$I$424,9,FALSE)</f>
        <v>95</v>
      </c>
    </row>
    <row r="274" spans="1:15" x14ac:dyDescent="0.25">
      <c r="A274" s="4">
        <v>2019</v>
      </c>
      <c r="B274" s="11" t="s">
        <v>61</v>
      </c>
      <c r="C274" s="11" t="s">
        <v>62</v>
      </c>
      <c r="D274" s="11" t="s">
        <v>47</v>
      </c>
      <c r="E274" s="12" t="s">
        <v>63</v>
      </c>
      <c r="F274" s="5">
        <v>10041.450000000001</v>
      </c>
      <c r="G274" s="5">
        <v>0</v>
      </c>
      <c r="H274" s="5">
        <v>1255</v>
      </c>
      <c r="I274" s="5">
        <v>55</v>
      </c>
      <c r="J274" s="5">
        <v>330</v>
      </c>
      <c r="K274" s="6">
        <f t="shared" si="4"/>
        <v>11681.45</v>
      </c>
      <c r="M274" t="str">
        <f>VLOOKUP(B274,'[2]TABULADOR ok'!$A$2:$I$424,7,FALSE)</f>
        <v>T4</v>
      </c>
      <c r="N274" t="str">
        <f>VLOOKUP(B274,'[2]TABULADOR ok'!$A$2:$I$424,8,FALSE)</f>
        <v>S12020</v>
      </c>
      <c r="O274">
        <f>VLOOKUP(B274,'[2]TABULADOR ok'!$A$2:$I$424,9,FALSE)</f>
        <v>95</v>
      </c>
    </row>
    <row r="275" spans="1:15" x14ac:dyDescent="0.25">
      <c r="A275" s="4">
        <v>2019</v>
      </c>
      <c r="B275" s="11" t="s">
        <v>64</v>
      </c>
      <c r="C275" s="11" t="s">
        <v>65</v>
      </c>
      <c r="D275" s="11" t="s">
        <v>47</v>
      </c>
      <c r="E275" s="12" t="s">
        <v>66</v>
      </c>
      <c r="F275" s="5">
        <v>10041.450000000001</v>
      </c>
      <c r="G275" s="5">
        <v>0</v>
      </c>
      <c r="H275" s="5">
        <v>1255</v>
      </c>
      <c r="I275" s="5">
        <v>55</v>
      </c>
      <c r="J275" s="5">
        <v>330</v>
      </c>
      <c r="K275" s="6">
        <f t="shared" si="4"/>
        <v>11681.45</v>
      </c>
      <c r="M275" t="str">
        <f>VLOOKUP(B275,'[2]TABULADOR ok'!$A$2:$I$424,7,FALSE)</f>
        <v>T4</v>
      </c>
      <c r="N275" t="str">
        <f>VLOOKUP(B275,'[2]TABULADOR ok'!$A$2:$I$424,8,FALSE)</f>
        <v>S12092</v>
      </c>
      <c r="O275">
        <f>VLOOKUP(B275,'[2]TABULADOR ok'!$A$2:$I$424,9,FALSE)</f>
        <v>95</v>
      </c>
    </row>
    <row r="276" spans="1:15" x14ac:dyDescent="0.25">
      <c r="A276" s="4">
        <v>2019</v>
      </c>
      <c r="B276" s="11" t="s">
        <v>67</v>
      </c>
      <c r="C276" s="11" t="s">
        <v>68</v>
      </c>
      <c r="D276" s="11" t="s">
        <v>47</v>
      </c>
      <c r="E276" s="12" t="s">
        <v>69</v>
      </c>
      <c r="F276" s="5">
        <v>10041.450000000001</v>
      </c>
      <c r="G276" s="5">
        <v>0</v>
      </c>
      <c r="H276" s="5">
        <v>1255</v>
      </c>
      <c r="I276" s="5">
        <v>55</v>
      </c>
      <c r="J276" s="5">
        <v>330</v>
      </c>
      <c r="K276" s="6">
        <f t="shared" si="4"/>
        <v>11681.45</v>
      </c>
      <c r="M276" t="str">
        <f>VLOOKUP(B276,'[2]TABULADOR ok'!$A$2:$I$424,7,FALSE)</f>
        <v>T4</v>
      </c>
      <c r="N276" t="str">
        <f>VLOOKUP(B276,'[2]TABULADOR ok'!$A$2:$I$424,8,FALSE)</f>
        <v>S12093</v>
      </c>
      <c r="O276">
        <f>VLOOKUP(B276,'[2]TABULADOR ok'!$A$2:$I$424,9,FALSE)</f>
        <v>95</v>
      </c>
    </row>
    <row r="277" spans="1:15" x14ac:dyDescent="0.25">
      <c r="A277" s="4">
        <v>2019</v>
      </c>
      <c r="B277" s="11" t="s">
        <v>70</v>
      </c>
      <c r="C277" s="11" t="s">
        <v>71</v>
      </c>
      <c r="D277" s="11" t="s">
        <v>47</v>
      </c>
      <c r="E277" s="12" t="s">
        <v>72</v>
      </c>
      <c r="F277" s="5">
        <v>10041.450000000001</v>
      </c>
      <c r="G277" s="5">
        <v>0</v>
      </c>
      <c r="H277" s="5">
        <v>1255</v>
      </c>
      <c r="I277" s="5">
        <v>55</v>
      </c>
      <c r="J277" s="5">
        <v>330</v>
      </c>
      <c r="K277" s="6">
        <f t="shared" si="4"/>
        <v>11681.45</v>
      </c>
      <c r="M277" t="str">
        <f>VLOOKUP(B277,'[2]TABULADOR ok'!$A$2:$I$424,7,FALSE)</f>
        <v>T4</v>
      </c>
      <c r="N277" t="str">
        <f>VLOOKUP(B277,'[2]TABULADOR ok'!$A$2:$I$424,8,FALSE)</f>
        <v>S12096</v>
      </c>
      <c r="O277">
        <f>VLOOKUP(B277,'[2]TABULADOR ok'!$A$2:$I$424,9,FALSE)</f>
        <v>95</v>
      </c>
    </row>
    <row r="278" spans="1:15" x14ac:dyDescent="0.25">
      <c r="A278" s="4">
        <v>2019</v>
      </c>
      <c r="B278" s="11" t="s">
        <v>73</v>
      </c>
      <c r="C278" s="11" t="s">
        <v>74</v>
      </c>
      <c r="D278" s="11" t="s">
        <v>47</v>
      </c>
      <c r="E278" s="12" t="s">
        <v>75</v>
      </c>
      <c r="F278" s="5">
        <v>10041.450000000001</v>
      </c>
      <c r="G278" s="5">
        <v>0</v>
      </c>
      <c r="H278" s="5">
        <v>1255</v>
      </c>
      <c r="I278" s="5">
        <v>55</v>
      </c>
      <c r="J278" s="5">
        <v>330</v>
      </c>
      <c r="K278" s="6">
        <f t="shared" si="4"/>
        <v>11681.45</v>
      </c>
      <c r="M278" t="str">
        <f>VLOOKUP(B278,'[2]TABULADOR ok'!$A$2:$I$424,7,FALSE)</f>
        <v>T4</v>
      </c>
      <c r="N278" t="str">
        <f>VLOOKUP(B278,'[2]TABULADOR ok'!$A$2:$I$424,8,FALSE)</f>
        <v>S12097</v>
      </c>
      <c r="O278">
        <f>VLOOKUP(B278,'[2]TABULADOR ok'!$A$2:$I$424,9,FALSE)</f>
        <v>95</v>
      </c>
    </row>
    <row r="279" spans="1:15" x14ac:dyDescent="0.25">
      <c r="A279" s="4">
        <v>2019</v>
      </c>
      <c r="B279" s="11" t="s">
        <v>76</v>
      </c>
      <c r="C279" s="11" t="s">
        <v>77</v>
      </c>
      <c r="D279" s="11" t="s">
        <v>47</v>
      </c>
      <c r="E279" s="12" t="s">
        <v>78</v>
      </c>
      <c r="F279" s="5">
        <v>10041.450000000001</v>
      </c>
      <c r="G279" s="5">
        <v>0</v>
      </c>
      <c r="H279" s="5">
        <v>1255</v>
      </c>
      <c r="I279" s="5">
        <v>55</v>
      </c>
      <c r="J279" s="5">
        <v>330</v>
      </c>
      <c r="K279" s="6">
        <f t="shared" si="4"/>
        <v>11681.45</v>
      </c>
      <c r="M279" t="str">
        <f>VLOOKUP(B279,'[2]TABULADOR ok'!$A$2:$I$424,7,FALSE)</f>
        <v>T4</v>
      </c>
      <c r="N279" t="str">
        <f>VLOOKUP(B279,'[2]TABULADOR ok'!$A$2:$I$424,8,FALSE)</f>
        <v>S12098</v>
      </c>
      <c r="O279">
        <f>VLOOKUP(B279,'[2]TABULADOR ok'!$A$2:$I$424,9,FALSE)</f>
        <v>95</v>
      </c>
    </row>
    <row r="280" spans="1:15" x14ac:dyDescent="0.25">
      <c r="A280" s="4">
        <v>2019</v>
      </c>
      <c r="B280" s="11" t="s">
        <v>79</v>
      </c>
      <c r="C280" s="11" t="s">
        <v>80</v>
      </c>
      <c r="D280" s="11" t="s">
        <v>47</v>
      </c>
      <c r="E280" s="12" t="s">
        <v>81</v>
      </c>
      <c r="F280" s="5">
        <v>10041.450000000001</v>
      </c>
      <c r="G280" s="5">
        <v>0</v>
      </c>
      <c r="H280" s="5">
        <v>1255</v>
      </c>
      <c r="I280" s="5">
        <v>55</v>
      </c>
      <c r="J280" s="5">
        <v>330</v>
      </c>
      <c r="K280" s="6">
        <f t="shared" si="4"/>
        <v>11681.45</v>
      </c>
      <c r="M280" t="str">
        <f>VLOOKUP(B280,'[2]TABULADOR ok'!$A$2:$I$424,7,FALSE)</f>
        <v>T4</v>
      </c>
      <c r="N280" t="str">
        <f>VLOOKUP(B280,'[2]TABULADOR ok'!$A$2:$I$424,8,FALSE)</f>
        <v>T06824</v>
      </c>
      <c r="O280">
        <f>VLOOKUP(B280,'[2]TABULADOR ok'!$A$2:$I$424,9,FALSE)</f>
        <v>95</v>
      </c>
    </row>
    <row r="281" spans="1:15" x14ac:dyDescent="0.25">
      <c r="A281" s="4">
        <v>2019</v>
      </c>
      <c r="B281" s="11" t="s">
        <v>82</v>
      </c>
      <c r="C281" s="11" t="s">
        <v>83</v>
      </c>
      <c r="D281" s="11" t="s">
        <v>84</v>
      </c>
      <c r="E281" s="12" t="s">
        <v>85</v>
      </c>
      <c r="F281" s="5">
        <v>11048.2</v>
      </c>
      <c r="G281" s="5">
        <v>0</v>
      </c>
      <c r="H281" s="5">
        <v>1255</v>
      </c>
      <c r="I281" s="5">
        <v>55</v>
      </c>
      <c r="J281" s="5">
        <v>330</v>
      </c>
      <c r="K281" s="6">
        <f t="shared" si="4"/>
        <v>12688.2</v>
      </c>
      <c r="M281" t="str">
        <f>VLOOKUP(B281,'[2]TABULADOR ok'!$A$2:$I$424,7,FALSE)</f>
        <v>T5</v>
      </c>
      <c r="N281" t="str">
        <f>VLOOKUP(B281,'[2]TABULADOR ok'!$A$2:$I$424,8,FALSE)</f>
        <v>A01038</v>
      </c>
      <c r="O281">
        <f>VLOOKUP(B281,'[2]TABULADOR ok'!$A$2:$I$424,9,FALSE)</f>
        <v>95</v>
      </c>
    </row>
    <row r="282" spans="1:15" x14ac:dyDescent="0.25">
      <c r="A282" s="4">
        <v>2019</v>
      </c>
      <c r="B282" s="11" t="s">
        <v>86</v>
      </c>
      <c r="C282" s="11" t="s">
        <v>87</v>
      </c>
      <c r="D282" s="11" t="s">
        <v>84</v>
      </c>
      <c r="E282" s="12" t="s">
        <v>88</v>
      </c>
      <c r="F282" s="5">
        <v>11048.2</v>
      </c>
      <c r="G282" s="5">
        <v>0</v>
      </c>
      <c r="H282" s="5">
        <v>1255</v>
      </c>
      <c r="I282" s="5">
        <v>55</v>
      </c>
      <c r="J282" s="5">
        <v>330</v>
      </c>
      <c r="K282" s="6">
        <f t="shared" si="4"/>
        <v>12688.2</v>
      </c>
      <c r="M282" t="str">
        <f>VLOOKUP(B282,'[2]TABULADOR ok'!$A$2:$I$424,7,FALSE)</f>
        <v>T5</v>
      </c>
      <c r="N282" t="str">
        <f>VLOOKUP(B282,'[2]TABULADOR ok'!$A$2:$I$424,8,FALSE)</f>
        <v>A03840</v>
      </c>
      <c r="O282">
        <f>VLOOKUP(B282,'[2]TABULADOR ok'!$A$2:$I$424,9,FALSE)</f>
        <v>95</v>
      </c>
    </row>
    <row r="283" spans="1:15" x14ac:dyDescent="0.25">
      <c r="A283" s="4">
        <v>2019</v>
      </c>
      <c r="B283" s="11" t="s">
        <v>89</v>
      </c>
      <c r="C283" s="11" t="s">
        <v>90</v>
      </c>
      <c r="D283" s="11" t="s">
        <v>84</v>
      </c>
      <c r="E283" s="12" t="s">
        <v>91</v>
      </c>
      <c r="F283" s="5">
        <v>11048.2</v>
      </c>
      <c r="G283" s="5">
        <v>0</v>
      </c>
      <c r="H283" s="5">
        <v>1255</v>
      </c>
      <c r="I283" s="5">
        <v>55</v>
      </c>
      <c r="J283" s="5">
        <v>330</v>
      </c>
      <c r="K283" s="6">
        <f t="shared" si="4"/>
        <v>12688.2</v>
      </c>
      <c r="M283" t="str">
        <f>VLOOKUP(B283,'[2]TABULADOR ok'!$A$2:$I$424,7,FALSE)</f>
        <v>T5</v>
      </c>
      <c r="N283" t="str">
        <f>VLOOKUP(B283,'[2]TABULADOR ok'!$A$2:$I$424,8,FALSE)</f>
        <v>A05011</v>
      </c>
      <c r="O283">
        <f>VLOOKUP(B283,'[2]TABULADOR ok'!$A$2:$I$424,9,FALSE)</f>
        <v>95</v>
      </c>
    </row>
    <row r="284" spans="1:15" x14ac:dyDescent="0.25">
      <c r="A284" s="4">
        <v>2019</v>
      </c>
      <c r="B284" s="11" t="s">
        <v>92</v>
      </c>
      <c r="C284" s="11" t="s">
        <v>93</v>
      </c>
      <c r="D284" s="11" t="s">
        <v>84</v>
      </c>
      <c r="E284" s="12" t="s">
        <v>94</v>
      </c>
      <c r="F284" s="5">
        <v>11048.2</v>
      </c>
      <c r="G284" s="5">
        <v>0</v>
      </c>
      <c r="H284" s="5">
        <v>1255</v>
      </c>
      <c r="I284" s="5">
        <v>55</v>
      </c>
      <c r="J284" s="5">
        <v>330</v>
      </c>
      <c r="K284" s="6">
        <f t="shared" si="4"/>
        <v>12688.2</v>
      </c>
      <c r="M284" t="str">
        <f>VLOOKUP(B284,'[2]TABULADOR ok'!$A$2:$I$424,7,FALSE)</f>
        <v>T5</v>
      </c>
      <c r="N284" t="str">
        <f>VLOOKUP(B284,'[2]TABULADOR ok'!$A$2:$I$424,8,FALSE)</f>
        <v>S01892</v>
      </c>
      <c r="O284">
        <f>VLOOKUP(B284,'[2]TABULADOR ok'!$A$2:$I$424,9,FALSE)</f>
        <v>95</v>
      </c>
    </row>
    <row r="285" spans="1:15" x14ac:dyDescent="0.25">
      <c r="A285" s="4">
        <v>2019</v>
      </c>
      <c r="B285" s="11" t="s">
        <v>95</v>
      </c>
      <c r="C285" s="11" t="s">
        <v>96</v>
      </c>
      <c r="D285" s="11" t="s">
        <v>84</v>
      </c>
      <c r="E285" s="12" t="s">
        <v>97</v>
      </c>
      <c r="F285" s="5">
        <v>11048.2</v>
      </c>
      <c r="G285" s="5">
        <v>0</v>
      </c>
      <c r="H285" s="5">
        <v>1255</v>
      </c>
      <c r="I285" s="5">
        <v>55</v>
      </c>
      <c r="J285" s="5">
        <v>330</v>
      </c>
      <c r="K285" s="6">
        <f t="shared" si="4"/>
        <v>12688.2</v>
      </c>
      <c r="M285" t="str">
        <f>VLOOKUP(B285,'[2]TABULADOR ok'!$A$2:$I$424,7,FALSE)</f>
        <v>T5</v>
      </c>
      <c r="N285" t="str">
        <f>VLOOKUP(B285,'[2]TABULADOR ok'!$A$2:$I$424,8,FALSE)</f>
        <v>S01896</v>
      </c>
      <c r="O285">
        <f>VLOOKUP(B285,'[2]TABULADOR ok'!$A$2:$I$424,9,FALSE)</f>
        <v>95</v>
      </c>
    </row>
    <row r="286" spans="1:15" x14ac:dyDescent="0.25">
      <c r="A286" s="4">
        <v>2019</v>
      </c>
      <c r="B286" s="11" t="s">
        <v>98</v>
      </c>
      <c r="C286" s="11" t="s">
        <v>99</v>
      </c>
      <c r="D286" s="11" t="s">
        <v>84</v>
      </c>
      <c r="E286" s="12" t="s">
        <v>100</v>
      </c>
      <c r="F286" s="5">
        <v>11048.2</v>
      </c>
      <c r="G286" s="5">
        <v>0</v>
      </c>
      <c r="H286" s="5">
        <v>1255</v>
      </c>
      <c r="I286" s="5">
        <v>55</v>
      </c>
      <c r="J286" s="5">
        <v>330</v>
      </c>
      <c r="K286" s="6">
        <f t="shared" si="4"/>
        <v>12688.2</v>
      </c>
      <c r="M286" t="str">
        <f>VLOOKUP(B286,'[2]TABULADOR ok'!$A$2:$I$424,7,FALSE)</f>
        <v>T5</v>
      </c>
      <c r="N286" t="str">
        <f>VLOOKUP(B286,'[2]TABULADOR ok'!$A$2:$I$424,8,FALSE)</f>
        <v>S12011</v>
      </c>
      <c r="O286">
        <f>VLOOKUP(B286,'[2]TABULADOR ok'!$A$2:$I$424,9,FALSE)</f>
        <v>95</v>
      </c>
    </row>
    <row r="287" spans="1:15" x14ac:dyDescent="0.25">
      <c r="A287" s="4">
        <v>2019</v>
      </c>
      <c r="B287" s="11" t="s">
        <v>101</v>
      </c>
      <c r="C287" s="11" t="s">
        <v>102</v>
      </c>
      <c r="D287" s="11" t="s">
        <v>84</v>
      </c>
      <c r="E287" s="12" t="s">
        <v>103</v>
      </c>
      <c r="F287" s="5">
        <v>11048.2</v>
      </c>
      <c r="G287" s="5">
        <v>0</v>
      </c>
      <c r="H287" s="5">
        <v>1255</v>
      </c>
      <c r="I287" s="5">
        <v>55</v>
      </c>
      <c r="J287" s="5">
        <v>330</v>
      </c>
      <c r="K287" s="6">
        <f t="shared" si="4"/>
        <v>12688.2</v>
      </c>
      <c r="M287" t="str">
        <f>VLOOKUP(B287,'[2]TABULADOR ok'!$A$2:$I$424,7,FALSE)</f>
        <v>T5</v>
      </c>
      <c r="N287" t="str">
        <f>VLOOKUP(B287,'[2]TABULADOR ok'!$A$2:$I$424,8,FALSE)</f>
        <v>S12094</v>
      </c>
      <c r="O287">
        <f>VLOOKUP(B287,'[2]TABULADOR ok'!$A$2:$I$424,9,FALSE)</f>
        <v>95</v>
      </c>
    </row>
    <row r="288" spans="1:15" x14ac:dyDescent="0.25">
      <c r="A288" s="4">
        <v>2019</v>
      </c>
      <c r="B288" s="11" t="s">
        <v>104</v>
      </c>
      <c r="C288" s="11" t="s">
        <v>105</v>
      </c>
      <c r="D288" s="11" t="s">
        <v>84</v>
      </c>
      <c r="E288" s="12" t="s">
        <v>106</v>
      </c>
      <c r="F288" s="5">
        <v>11048.2</v>
      </c>
      <c r="G288" s="5">
        <v>0</v>
      </c>
      <c r="H288" s="5">
        <v>1255</v>
      </c>
      <c r="I288" s="5">
        <v>55</v>
      </c>
      <c r="J288" s="5">
        <v>330</v>
      </c>
      <c r="K288" s="6">
        <f t="shared" si="4"/>
        <v>12688.2</v>
      </c>
      <c r="M288" t="str">
        <f>VLOOKUP(B288,'[2]TABULADOR ok'!$A$2:$I$424,7,FALSE)</f>
        <v>T5</v>
      </c>
      <c r="N288" t="str">
        <f>VLOOKUP(B288,'[2]TABULADOR ok'!$A$2:$I$424,8,FALSE)</f>
        <v>T03853</v>
      </c>
      <c r="O288">
        <f>VLOOKUP(B288,'[2]TABULADOR ok'!$A$2:$I$424,9,FALSE)</f>
        <v>95</v>
      </c>
    </row>
    <row r="289" spans="1:15" x14ac:dyDescent="0.25">
      <c r="A289" s="4">
        <v>2019</v>
      </c>
      <c r="B289" s="11" t="s">
        <v>107</v>
      </c>
      <c r="C289" s="11" t="s">
        <v>108</v>
      </c>
      <c r="D289" s="11" t="s">
        <v>84</v>
      </c>
      <c r="E289" s="12" t="s">
        <v>109</v>
      </c>
      <c r="F289" s="5">
        <v>11048.2</v>
      </c>
      <c r="G289" s="5">
        <v>0</v>
      </c>
      <c r="H289" s="5">
        <v>1255</v>
      </c>
      <c r="I289" s="5">
        <v>55</v>
      </c>
      <c r="J289" s="5">
        <v>330</v>
      </c>
      <c r="K289" s="6">
        <f t="shared" si="4"/>
        <v>12688.2</v>
      </c>
      <c r="M289" t="str">
        <f>VLOOKUP(B289,'[2]TABULADOR ok'!$A$2:$I$424,7,FALSE)</f>
        <v>T5</v>
      </c>
      <c r="N289" t="str">
        <f>VLOOKUP(B289,'[2]TABULADOR ok'!$A$2:$I$424,8,FALSE)</f>
        <v>T13818</v>
      </c>
      <c r="O289">
        <f>VLOOKUP(B289,'[2]TABULADOR ok'!$A$2:$I$424,9,FALSE)</f>
        <v>95</v>
      </c>
    </row>
    <row r="290" spans="1:15" x14ac:dyDescent="0.25">
      <c r="A290" s="4">
        <v>2019</v>
      </c>
      <c r="B290" s="11" t="s">
        <v>110</v>
      </c>
      <c r="C290" s="11" t="s">
        <v>111</v>
      </c>
      <c r="D290" s="11" t="s">
        <v>84</v>
      </c>
      <c r="E290" s="12" t="s">
        <v>112</v>
      </c>
      <c r="F290" s="5">
        <v>11048.2</v>
      </c>
      <c r="G290" s="5">
        <v>0</v>
      </c>
      <c r="H290" s="5">
        <v>1255</v>
      </c>
      <c r="I290" s="5">
        <v>55</v>
      </c>
      <c r="J290" s="5">
        <v>330</v>
      </c>
      <c r="K290" s="6">
        <f t="shared" si="4"/>
        <v>12688.2</v>
      </c>
      <c r="M290" t="str">
        <f>VLOOKUP(B290,'[2]TABULADOR ok'!$A$2:$I$424,7,FALSE)</f>
        <v>T5</v>
      </c>
      <c r="N290" t="str">
        <f>VLOOKUP(B290,'[2]TABULADOR ok'!$A$2:$I$424,8,FALSE)</f>
        <v>T14034</v>
      </c>
      <c r="O290">
        <f>VLOOKUP(B290,'[2]TABULADOR ok'!$A$2:$I$424,9,FALSE)</f>
        <v>95</v>
      </c>
    </row>
    <row r="291" spans="1:15" x14ac:dyDescent="0.25">
      <c r="A291" s="4">
        <v>2019</v>
      </c>
      <c r="B291" s="11" t="s">
        <v>113</v>
      </c>
      <c r="C291" s="11" t="s">
        <v>114</v>
      </c>
      <c r="D291" s="11" t="s">
        <v>115</v>
      </c>
      <c r="E291" s="12" t="s">
        <v>116</v>
      </c>
      <c r="F291" s="5">
        <v>12287.1</v>
      </c>
      <c r="G291" s="5">
        <v>0</v>
      </c>
      <c r="H291" s="5">
        <v>1255</v>
      </c>
      <c r="I291" s="5">
        <v>55</v>
      </c>
      <c r="J291" s="5">
        <v>330</v>
      </c>
      <c r="K291" s="6">
        <f t="shared" si="4"/>
        <v>13927.1</v>
      </c>
      <c r="M291" t="str">
        <f>VLOOKUP(B291,'[2]TABULADOR ok'!$A$2:$I$424,7,FALSE)</f>
        <v>T6</v>
      </c>
      <c r="N291" t="str">
        <f>VLOOKUP(B291,'[2]TABULADOR ok'!$A$2:$I$424,8,FALSE)</f>
        <v>A03839</v>
      </c>
      <c r="O291">
        <f>VLOOKUP(B291,'[2]TABULADOR ok'!$A$2:$I$424,9,FALSE)</f>
        <v>95</v>
      </c>
    </row>
    <row r="292" spans="1:15" x14ac:dyDescent="0.25">
      <c r="A292" s="4">
        <v>2019</v>
      </c>
      <c r="B292" s="11" t="s">
        <v>117</v>
      </c>
      <c r="C292" s="11" t="s">
        <v>118</v>
      </c>
      <c r="D292" s="11" t="s">
        <v>115</v>
      </c>
      <c r="E292" s="12" t="s">
        <v>119</v>
      </c>
      <c r="F292" s="5">
        <v>12287.1</v>
      </c>
      <c r="G292" s="5">
        <v>0</v>
      </c>
      <c r="H292" s="5">
        <v>1255</v>
      </c>
      <c r="I292" s="5">
        <v>55</v>
      </c>
      <c r="J292" s="5">
        <v>330</v>
      </c>
      <c r="K292" s="6">
        <f t="shared" si="4"/>
        <v>13927.1</v>
      </c>
      <c r="M292" t="str">
        <f>VLOOKUP(B292,'[2]TABULADOR ok'!$A$2:$I$424,7,FALSE)</f>
        <v>T6</v>
      </c>
      <c r="N292" t="str">
        <f>VLOOKUP(B292,'[2]TABULADOR ok'!$A$2:$I$424,8,FALSE)</f>
        <v>P07027</v>
      </c>
      <c r="O292">
        <f>VLOOKUP(B292,'[2]TABULADOR ok'!$A$2:$I$424,9,FALSE)</f>
        <v>95</v>
      </c>
    </row>
    <row r="293" spans="1:15" x14ac:dyDescent="0.25">
      <c r="A293" s="4">
        <v>2019</v>
      </c>
      <c r="B293" s="11" t="s">
        <v>120</v>
      </c>
      <c r="C293" s="11" t="s">
        <v>121</v>
      </c>
      <c r="D293" s="11" t="s">
        <v>115</v>
      </c>
      <c r="E293" s="12" t="s">
        <v>122</v>
      </c>
      <c r="F293" s="5">
        <v>12287.1</v>
      </c>
      <c r="G293" s="5">
        <v>0</v>
      </c>
      <c r="H293" s="5">
        <v>1255</v>
      </c>
      <c r="I293" s="5">
        <v>55</v>
      </c>
      <c r="J293" s="5">
        <v>330</v>
      </c>
      <c r="K293" s="6">
        <f t="shared" si="4"/>
        <v>13927.1</v>
      </c>
      <c r="M293" t="str">
        <f>VLOOKUP(B293,'[2]TABULADOR ok'!$A$2:$I$424,7,FALSE)</f>
        <v>T6</v>
      </c>
      <c r="N293" t="str">
        <f>VLOOKUP(B293,'[2]TABULADOR ok'!$A$2:$I$424,8,FALSE)</f>
        <v>S03830</v>
      </c>
      <c r="O293">
        <f>VLOOKUP(B293,'[2]TABULADOR ok'!$A$2:$I$424,9,FALSE)</f>
        <v>95</v>
      </c>
    </row>
    <row r="294" spans="1:15" x14ac:dyDescent="0.25">
      <c r="A294" s="4">
        <v>2019</v>
      </c>
      <c r="B294" s="11" t="s">
        <v>123</v>
      </c>
      <c r="C294" s="11" t="s">
        <v>124</v>
      </c>
      <c r="D294" s="11" t="s">
        <v>115</v>
      </c>
      <c r="E294" s="12" t="s">
        <v>125</v>
      </c>
      <c r="F294" s="5">
        <v>12287.1</v>
      </c>
      <c r="G294" s="5">
        <v>0</v>
      </c>
      <c r="H294" s="5">
        <v>1255</v>
      </c>
      <c r="I294" s="5">
        <v>55</v>
      </c>
      <c r="J294" s="5">
        <v>330</v>
      </c>
      <c r="K294" s="6">
        <f t="shared" si="4"/>
        <v>13927.1</v>
      </c>
      <c r="M294" t="str">
        <f>VLOOKUP(B294,'[2]TABULADOR ok'!$A$2:$I$424,7,FALSE)</f>
        <v>T6</v>
      </c>
      <c r="N294" t="str">
        <f>VLOOKUP(B294,'[2]TABULADOR ok'!$A$2:$I$424,8,FALSE)</f>
        <v>S03831</v>
      </c>
      <c r="O294">
        <f>VLOOKUP(B294,'[2]TABULADOR ok'!$A$2:$I$424,9,FALSE)</f>
        <v>95</v>
      </c>
    </row>
    <row r="295" spans="1:15" x14ac:dyDescent="0.25">
      <c r="A295" s="4">
        <v>2019</v>
      </c>
      <c r="B295" s="11" t="s">
        <v>126</v>
      </c>
      <c r="C295" s="11" t="s">
        <v>127</v>
      </c>
      <c r="D295" s="11" t="s">
        <v>115</v>
      </c>
      <c r="E295" s="12" t="s">
        <v>128</v>
      </c>
      <c r="F295" s="5">
        <v>12287.1</v>
      </c>
      <c r="G295" s="5">
        <v>0</v>
      </c>
      <c r="H295" s="5">
        <v>1255</v>
      </c>
      <c r="I295" s="5">
        <v>55</v>
      </c>
      <c r="J295" s="5">
        <v>330</v>
      </c>
      <c r="K295" s="6">
        <f t="shared" si="4"/>
        <v>13927.1</v>
      </c>
      <c r="M295" t="str">
        <f>VLOOKUP(B295,'[2]TABULADOR ok'!$A$2:$I$424,7,FALSE)</f>
        <v>T6</v>
      </c>
      <c r="N295" t="str">
        <f>VLOOKUP(B295,'[2]TABULADOR ok'!$A$2:$I$424,8,FALSE)</f>
        <v>S09807</v>
      </c>
      <c r="O295">
        <f>VLOOKUP(B295,'[2]TABULADOR ok'!$A$2:$I$424,9,FALSE)</f>
        <v>95</v>
      </c>
    </row>
    <row r="296" spans="1:15" x14ac:dyDescent="0.25">
      <c r="A296" s="4">
        <v>2019</v>
      </c>
      <c r="B296" s="11" t="s">
        <v>129</v>
      </c>
      <c r="C296" s="11" t="s">
        <v>130</v>
      </c>
      <c r="D296" s="11" t="s">
        <v>115</v>
      </c>
      <c r="E296" s="12" t="s">
        <v>131</v>
      </c>
      <c r="F296" s="5">
        <v>12287.1</v>
      </c>
      <c r="G296" s="5">
        <v>0</v>
      </c>
      <c r="H296" s="5">
        <v>1255</v>
      </c>
      <c r="I296" s="5">
        <v>55</v>
      </c>
      <c r="J296" s="5">
        <v>330</v>
      </c>
      <c r="K296" s="6">
        <f t="shared" si="4"/>
        <v>13927.1</v>
      </c>
      <c r="M296" t="str">
        <f>VLOOKUP(B296,'[2]TABULADOR ok'!$A$2:$I$424,7,FALSE)</f>
        <v>T6</v>
      </c>
      <c r="N296" t="str">
        <f>VLOOKUP(B296,'[2]TABULADOR ok'!$A$2:$I$424,8,FALSE)</f>
        <v>T06823</v>
      </c>
      <c r="O296">
        <f>VLOOKUP(B296,'[2]TABULADOR ok'!$A$2:$I$424,9,FALSE)</f>
        <v>95</v>
      </c>
    </row>
    <row r="297" spans="1:15" x14ac:dyDescent="0.25">
      <c r="A297" s="4">
        <v>2019</v>
      </c>
      <c r="B297" s="11" t="s">
        <v>132</v>
      </c>
      <c r="C297" s="11" t="s">
        <v>133</v>
      </c>
      <c r="D297" s="11" t="s">
        <v>115</v>
      </c>
      <c r="E297" s="12" t="s">
        <v>134</v>
      </c>
      <c r="F297" s="5">
        <v>12287.1</v>
      </c>
      <c r="G297" s="5">
        <v>0</v>
      </c>
      <c r="H297" s="5">
        <v>1255</v>
      </c>
      <c r="I297" s="5">
        <v>55</v>
      </c>
      <c r="J297" s="5">
        <v>330</v>
      </c>
      <c r="K297" s="6">
        <f t="shared" si="4"/>
        <v>13927.1</v>
      </c>
      <c r="M297" t="str">
        <f>VLOOKUP(B297,'[2]TABULADOR ok'!$A$2:$I$424,7,FALSE)</f>
        <v>T6</v>
      </c>
      <c r="N297" t="str">
        <f>VLOOKUP(B297,'[2]TABULADOR ok'!$A$2:$I$424,8,FALSE)</f>
        <v>T08813</v>
      </c>
      <c r="O297">
        <f>VLOOKUP(B297,'[2]TABULADOR ok'!$A$2:$I$424,9,FALSE)</f>
        <v>95</v>
      </c>
    </row>
    <row r="298" spans="1:15" x14ac:dyDescent="0.25">
      <c r="A298" s="4">
        <v>2019</v>
      </c>
      <c r="B298" s="11" t="s">
        <v>135</v>
      </c>
      <c r="C298" s="11" t="s">
        <v>136</v>
      </c>
      <c r="D298" s="11" t="s">
        <v>137</v>
      </c>
      <c r="E298" s="12" t="s">
        <v>138</v>
      </c>
      <c r="F298" s="5">
        <v>13357.9</v>
      </c>
      <c r="G298" s="5">
        <v>0</v>
      </c>
      <c r="H298" s="5">
        <v>1255</v>
      </c>
      <c r="I298" s="5">
        <v>55</v>
      </c>
      <c r="J298" s="5">
        <v>330</v>
      </c>
      <c r="K298" s="6">
        <f t="shared" si="4"/>
        <v>14997.9</v>
      </c>
      <c r="M298" t="str">
        <f>VLOOKUP(B298,'[2]TABULADOR ok'!$A$2:$I$424,7,FALSE)</f>
        <v>T7</v>
      </c>
      <c r="N298" t="str">
        <f>VLOOKUP(B298,'[2]TABULADOR ok'!$A$2:$I$424,8,FALSE)</f>
        <v>A01037</v>
      </c>
      <c r="O298">
        <f>VLOOKUP(B298,'[2]TABULADOR ok'!$A$2:$I$424,9,FALSE)</f>
        <v>95</v>
      </c>
    </row>
    <row r="299" spans="1:15" x14ac:dyDescent="0.25">
      <c r="A299" s="4">
        <v>2019</v>
      </c>
      <c r="B299" s="11" t="s">
        <v>139</v>
      </c>
      <c r="C299" s="11" t="s">
        <v>140</v>
      </c>
      <c r="D299" s="11" t="s">
        <v>137</v>
      </c>
      <c r="E299" s="12" t="s">
        <v>141</v>
      </c>
      <c r="F299" s="5">
        <v>13357.9</v>
      </c>
      <c r="G299" s="5">
        <v>0</v>
      </c>
      <c r="H299" s="5">
        <v>1255</v>
      </c>
      <c r="I299" s="5">
        <v>55</v>
      </c>
      <c r="J299" s="5">
        <v>330</v>
      </c>
      <c r="K299" s="6">
        <f t="shared" si="4"/>
        <v>14997.9</v>
      </c>
      <c r="M299" t="str">
        <f>VLOOKUP(B299,'[2]TABULADOR ok'!$A$2:$I$424,7,FALSE)</f>
        <v>T7</v>
      </c>
      <c r="N299" t="str">
        <f>VLOOKUP(B299,'[2]TABULADOR ok'!$A$2:$I$424,8,FALSE)</f>
        <v>A02815</v>
      </c>
      <c r="O299">
        <f>VLOOKUP(B299,'[2]TABULADOR ok'!$A$2:$I$424,9,FALSE)</f>
        <v>95</v>
      </c>
    </row>
    <row r="300" spans="1:15" x14ac:dyDescent="0.25">
      <c r="A300" s="4">
        <v>2019</v>
      </c>
      <c r="B300" s="11" t="s">
        <v>142</v>
      </c>
      <c r="C300" s="11" t="s">
        <v>143</v>
      </c>
      <c r="D300" s="11" t="s">
        <v>137</v>
      </c>
      <c r="E300" s="12" t="s">
        <v>144</v>
      </c>
      <c r="F300" s="5">
        <v>13357.9</v>
      </c>
      <c r="G300" s="5">
        <v>0</v>
      </c>
      <c r="H300" s="5">
        <v>1255</v>
      </c>
      <c r="I300" s="5">
        <v>55</v>
      </c>
      <c r="J300" s="5">
        <v>330</v>
      </c>
      <c r="K300" s="6">
        <f t="shared" si="4"/>
        <v>14997.9</v>
      </c>
      <c r="M300" t="str">
        <f>VLOOKUP(B300,'[2]TABULADOR ok'!$A$2:$I$424,7,FALSE)</f>
        <v>T7</v>
      </c>
      <c r="N300" t="str">
        <f>VLOOKUP(B300,'[2]TABULADOR ok'!$A$2:$I$424,8,FALSE)</f>
        <v>C01817</v>
      </c>
      <c r="O300">
        <f>VLOOKUP(B300,'[2]TABULADOR ok'!$A$2:$I$424,9,FALSE)</f>
        <v>95</v>
      </c>
    </row>
    <row r="301" spans="1:15" x14ac:dyDescent="0.25">
      <c r="A301" s="4">
        <v>2019</v>
      </c>
      <c r="B301" s="11" t="s">
        <v>145</v>
      </c>
      <c r="C301" s="11" t="s">
        <v>146</v>
      </c>
      <c r="D301" s="11" t="s">
        <v>137</v>
      </c>
      <c r="E301" s="12" t="s">
        <v>147</v>
      </c>
      <c r="F301" s="5">
        <v>13357.9</v>
      </c>
      <c r="G301" s="5">
        <v>0</v>
      </c>
      <c r="H301" s="5">
        <v>1255</v>
      </c>
      <c r="I301" s="5">
        <v>55</v>
      </c>
      <c r="J301" s="5">
        <v>330</v>
      </c>
      <c r="K301" s="6">
        <f t="shared" si="4"/>
        <v>14997.9</v>
      </c>
      <c r="M301" t="str">
        <f>VLOOKUP(B301,'[2]TABULADOR ok'!$A$2:$I$424,7,FALSE)</f>
        <v>T7</v>
      </c>
      <c r="N301" t="str">
        <f>VLOOKUP(B301,'[2]TABULADOR ok'!$A$2:$I$424,8,FALSE)</f>
        <v>P07026</v>
      </c>
      <c r="O301">
        <f>VLOOKUP(B301,'[2]TABULADOR ok'!$A$2:$I$424,9,FALSE)</f>
        <v>95</v>
      </c>
    </row>
    <row r="302" spans="1:15" x14ac:dyDescent="0.25">
      <c r="A302" s="4">
        <v>2019</v>
      </c>
      <c r="B302" s="11" t="s">
        <v>148</v>
      </c>
      <c r="C302" s="11" t="s">
        <v>149</v>
      </c>
      <c r="D302" s="11" t="s">
        <v>137</v>
      </c>
      <c r="E302" s="12" t="s">
        <v>150</v>
      </c>
      <c r="F302" s="5">
        <v>13357.9</v>
      </c>
      <c r="G302" s="5">
        <v>0</v>
      </c>
      <c r="H302" s="5">
        <v>1255</v>
      </c>
      <c r="I302" s="5">
        <v>55</v>
      </c>
      <c r="J302" s="5">
        <v>330</v>
      </c>
      <c r="K302" s="6">
        <f t="shared" si="4"/>
        <v>14997.9</v>
      </c>
      <c r="M302" t="str">
        <f>VLOOKUP(B302,'[2]TABULADOR ok'!$A$2:$I$424,7,FALSE)</f>
        <v>T7</v>
      </c>
      <c r="N302" t="str">
        <f>VLOOKUP(B302,'[2]TABULADOR ok'!$A$2:$I$424,8,FALSE)</f>
        <v>T05822</v>
      </c>
      <c r="O302">
        <f>VLOOKUP(B302,'[2]TABULADOR ok'!$A$2:$I$424,9,FALSE)</f>
        <v>95</v>
      </c>
    </row>
    <row r="303" spans="1:15" x14ac:dyDescent="0.25">
      <c r="A303" s="4">
        <v>2019</v>
      </c>
      <c r="B303" s="11" t="s">
        <v>151</v>
      </c>
      <c r="C303" s="11" t="s">
        <v>152</v>
      </c>
      <c r="D303" s="11" t="s">
        <v>137</v>
      </c>
      <c r="E303" s="12" t="s">
        <v>153</v>
      </c>
      <c r="F303" s="5">
        <v>13357.9</v>
      </c>
      <c r="G303" s="5">
        <v>0</v>
      </c>
      <c r="H303" s="5">
        <v>1255</v>
      </c>
      <c r="I303" s="5">
        <v>55</v>
      </c>
      <c r="J303" s="5">
        <v>330</v>
      </c>
      <c r="K303" s="6">
        <f t="shared" si="4"/>
        <v>14997.9</v>
      </c>
      <c r="M303" t="str">
        <f>VLOOKUP(B303,'[2]TABULADOR ok'!$A$2:$I$424,7,FALSE)</f>
        <v>T7</v>
      </c>
      <c r="N303" t="str">
        <f>VLOOKUP(B303,'[2]TABULADOR ok'!$A$2:$I$424,8,FALSE)</f>
        <v>T09001</v>
      </c>
      <c r="O303">
        <f>VLOOKUP(B303,'[2]TABULADOR ok'!$A$2:$I$424,9,FALSE)</f>
        <v>95</v>
      </c>
    </row>
    <row r="304" spans="1:15" x14ac:dyDescent="0.25">
      <c r="A304" s="4">
        <v>2019</v>
      </c>
      <c r="B304" s="11" t="s">
        <v>154</v>
      </c>
      <c r="C304" s="11" t="s">
        <v>155</v>
      </c>
      <c r="D304" s="11" t="s">
        <v>137</v>
      </c>
      <c r="E304" s="12" t="s">
        <v>156</v>
      </c>
      <c r="F304" s="5">
        <v>13357.9</v>
      </c>
      <c r="G304" s="5">
        <v>0</v>
      </c>
      <c r="H304" s="5">
        <v>1255</v>
      </c>
      <c r="I304" s="5">
        <v>55</v>
      </c>
      <c r="J304" s="5">
        <v>330</v>
      </c>
      <c r="K304" s="6">
        <f t="shared" si="4"/>
        <v>14997.9</v>
      </c>
      <c r="M304" t="str">
        <f>VLOOKUP(B304,'[2]TABULADOR ok'!$A$2:$I$424,7,FALSE)</f>
        <v>T7</v>
      </c>
      <c r="N304" t="str">
        <f>VLOOKUP(B304,'[2]TABULADOR ok'!$A$2:$I$424,8,FALSE)</f>
        <v>T13817</v>
      </c>
      <c r="O304">
        <f>VLOOKUP(B304,'[2]TABULADOR ok'!$A$2:$I$424,9,FALSE)</f>
        <v>95</v>
      </c>
    </row>
    <row r="305" spans="1:15" x14ac:dyDescent="0.25">
      <c r="A305" s="4">
        <v>2019</v>
      </c>
      <c r="B305" s="11" t="s">
        <v>157</v>
      </c>
      <c r="C305" s="11" t="s">
        <v>158</v>
      </c>
      <c r="D305" s="11" t="s">
        <v>137</v>
      </c>
      <c r="E305" s="12" t="s">
        <v>159</v>
      </c>
      <c r="F305" s="5">
        <v>13357.9</v>
      </c>
      <c r="G305" s="5">
        <v>0</v>
      </c>
      <c r="H305" s="5">
        <v>1255</v>
      </c>
      <c r="I305" s="5">
        <v>55</v>
      </c>
      <c r="J305" s="5">
        <v>330</v>
      </c>
      <c r="K305" s="6">
        <f t="shared" si="4"/>
        <v>14997.9</v>
      </c>
      <c r="M305" t="str">
        <f>VLOOKUP(B305,'[2]TABULADOR ok'!$A$2:$I$424,7,FALSE)</f>
        <v>T7</v>
      </c>
      <c r="N305" t="str">
        <f>VLOOKUP(B305,'[2]TABULADOR ok'!$A$2:$I$424,8,FALSE)</f>
        <v>T14019</v>
      </c>
      <c r="O305">
        <f>VLOOKUP(B305,'[2]TABULADOR ok'!$A$2:$I$424,9,FALSE)</f>
        <v>95</v>
      </c>
    </row>
    <row r="306" spans="1:15" x14ac:dyDescent="0.25">
      <c r="A306" s="4">
        <v>2019</v>
      </c>
      <c r="B306" s="11" t="s">
        <v>160</v>
      </c>
      <c r="C306" s="11" t="s">
        <v>161</v>
      </c>
      <c r="D306" s="11" t="s">
        <v>137</v>
      </c>
      <c r="E306" s="12" t="s">
        <v>162</v>
      </c>
      <c r="F306" s="5">
        <v>13357.9</v>
      </c>
      <c r="G306" s="5">
        <v>0</v>
      </c>
      <c r="H306" s="5">
        <v>1255</v>
      </c>
      <c r="I306" s="5">
        <v>55</v>
      </c>
      <c r="J306" s="5">
        <v>330</v>
      </c>
      <c r="K306" s="6">
        <f t="shared" si="4"/>
        <v>14997.9</v>
      </c>
      <c r="M306" t="str">
        <f>VLOOKUP(B306,'[2]TABULADOR ok'!$A$2:$I$424,7,FALSE)</f>
        <v>T7</v>
      </c>
      <c r="N306" t="str">
        <f>VLOOKUP(B306,'[2]TABULADOR ok'!$A$2:$I$424,8,FALSE)</f>
        <v>T16817</v>
      </c>
      <c r="O306">
        <f>VLOOKUP(B306,'[2]TABULADOR ok'!$A$2:$I$424,9,FALSE)</f>
        <v>95</v>
      </c>
    </row>
    <row r="307" spans="1:15" x14ac:dyDescent="0.25">
      <c r="A307" s="4">
        <v>2019</v>
      </c>
      <c r="B307" s="11" t="s">
        <v>163</v>
      </c>
      <c r="C307" s="11" t="s">
        <v>164</v>
      </c>
      <c r="D307" s="11" t="s">
        <v>165</v>
      </c>
      <c r="E307" s="12" t="s">
        <v>166</v>
      </c>
      <c r="F307" s="5">
        <v>14759.2</v>
      </c>
      <c r="G307" s="5">
        <v>0</v>
      </c>
      <c r="H307" s="5">
        <v>1255</v>
      </c>
      <c r="I307" s="5">
        <v>55</v>
      </c>
      <c r="J307" s="5">
        <v>330</v>
      </c>
      <c r="K307" s="6">
        <f t="shared" si="4"/>
        <v>16399.2</v>
      </c>
      <c r="M307" t="str">
        <f>VLOOKUP(B307,'[2]TABULADOR ok'!$A$2:$I$424,7,FALSE)</f>
        <v>T8</v>
      </c>
      <c r="N307" t="str">
        <f>VLOOKUP(B307,'[2]TABULADOR ok'!$A$2:$I$424,8,FALSE)</f>
        <v>A01036</v>
      </c>
      <c r="O307">
        <f>VLOOKUP(B307,'[2]TABULADOR ok'!$A$2:$I$424,9,FALSE)</f>
        <v>95</v>
      </c>
    </row>
    <row r="308" spans="1:15" x14ac:dyDescent="0.25">
      <c r="A308" s="4">
        <v>2019</v>
      </c>
      <c r="B308" s="11" t="s">
        <v>167</v>
      </c>
      <c r="C308" s="11" t="s">
        <v>168</v>
      </c>
      <c r="D308" s="11" t="s">
        <v>165</v>
      </c>
      <c r="E308" s="12" t="s">
        <v>169</v>
      </c>
      <c r="F308" s="5">
        <v>14759.2</v>
      </c>
      <c r="G308" s="5">
        <v>0</v>
      </c>
      <c r="H308" s="5">
        <v>1255</v>
      </c>
      <c r="I308" s="5">
        <v>55</v>
      </c>
      <c r="J308" s="5">
        <v>330</v>
      </c>
      <c r="K308" s="6">
        <f t="shared" si="4"/>
        <v>16399.2</v>
      </c>
      <c r="M308" t="str">
        <f>VLOOKUP(B308,'[2]TABULADOR ok'!$A$2:$I$424,7,FALSE)</f>
        <v>T8</v>
      </c>
      <c r="N308" t="str">
        <f>VLOOKUP(B308,'[2]TABULADOR ok'!$A$2:$I$424,8,FALSE)</f>
        <v>A06009</v>
      </c>
      <c r="O308">
        <f>VLOOKUP(B308,'[2]TABULADOR ok'!$A$2:$I$424,9,FALSE)</f>
        <v>95</v>
      </c>
    </row>
    <row r="309" spans="1:15" x14ac:dyDescent="0.25">
      <c r="A309" s="4">
        <v>2019</v>
      </c>
      <c r="B309" s="11" t="s">
        <v>170</v>
      </c>
      <c r="C309" s="11" t="s">
        <v>171</v>
      </c>
      <c r="D309" s="11" t="s">
        <v>165</v>
      </c>
      <c r="E309" s="12" t="s">
        <v>172</v>
      </c>
      <c r="F309" s="5">
        <v>14759.2</v>
      </c>
      <c r="G309" s="5">
        <v>0</v>
      </c>
      <c r="H309" s="5">
        <v>1255</v>
      </c>
      <c r="I309" s="5">
        <v>55</v>
      </c>
      <c r="J309" s="5">
        <v>330</v>
      </c>
      <c r="K309" s="6">
        <f t="shared" si="4"/>
        <v>16399.2</v>
      </c>
      <c r="M309" t="str">
        <f>VLOOKUP(B309,'[2]TABULADOR ok'!$A$2:$I$424,7,FALSE)</f>
        <v>T8</v>
      </c>
      <c r="N309" t="str">
        <f>VLOOKUP(B309,'[2]TABULADOR ok'!$A$2:$I$424,8,FALSE)</f>
        <v>C01818</v>
      </c>
      <c r="O309">
        <f>VLOOKUP(B309,'[2]TABULADOR ok'!$A$2:$I$424,9,FALSE)</f>
        <v>95</v>
      </c>
    </row>
    <row r="310" spans="1:15" x14ac:dyDescent="0.25">
      <c r="A310" s="4">
        <v>2019</v>
      </c>
      <c r="B310" s="11" t="s">
        <v>173</v>
      </c>
      <c r="C310" s="11" t="s">
        <v>174</v>
      </c>
      <c r="D310" s="11" t="s">
        <v>165</v>
      </c>
      <c r="E310" s="12" t="s">
        <v>175</v>
      </c>
      <c r="F310" s="5">
        <v>14759.2</v>
      </c>
      <c r="G310" s="5">
        <v>0</v>
      </c>
      <c r="H310" s="5">
        <v>1255</v>
      </c>
      <c r="I310" s="5">
        <v>55</v>
      </c>
      <c r="J310" s="5">
        <v>330</v>
      </c>
      <c r="K310" s="6">
        <f t="shared" si="4"/>
        <v>16399.2</v>
      </c>
      <c r="M310" t="str">
        <f>VLOOKUP(B310,'[2]TABULADOR ok'!$A$2:$I$424,7,FALSE)</f>
        <v>T8</v>
      </c>
      <c r="N310" t="str">
        <f>VLOOKUP(B310,'[2]TABULADOR ok'!$A$2:$I$424,8,FALSE)</f>
        <v>T03854</v>
      </c>
      <c r="O310">
        <f>VLOOKUP(B310,'[2]TABULADOR ok'!$A$2:$I$424,9,FALSE)</f>
        <v>95</v>
      </c>
    </row>
    <row r="311" spans="1:15" x14ac:dyDescent="0.25">
      <c r="A311" s="4">
        <v>2019</v>
      </c>
      <c r="B311" s="11" t="s">
        <v>176</v>
      </c>
      <c r="C311" s="11" t="s">
        <v>177</v>
      </c>
      <c r="D311" s="11" t="s">
        <v>165</v>
      </c>
      <c r="E311" s="12" t="s">
        <v>178</v>
      </c>
      <c r="F311" s="5">
        <v>14759.2</v>
      </c>
      <c r="G311" s="5">
        <v>0</v>
      </c>
      <c r="H311" s="5">
        <v>1255</v>
      </c>
      <c r="I311" s="5">
        <v>55</v>
      </c>
      <c r="J311" s="5">
        <v>330</v>
      </c>
      <c r="K311" s="6">
        <f t="shared" si="4"/>
        <v>16399.2</v>
      </c>
      <c r="M311" t="str">
        <f>VLOOKUP(B311,'[2]TABULADOR ok'!$A$2:$I$424,7,FALSE)</f>
        <v>T8</v>
      </c>
      <c r="N311" t="str">
        <f>VLOOKUP(B311,'[2]TABULADOR ok'!$A$2:$I$424,8,FALSE)</f>
        <v>T04875</v>
      </c>
      <c r="O311">
        <f>VLOOKUP(B311,'[2]TABULADOR ok'!$A$2:$I$424,9,FALSE)</f>
        <v>95</v>
      </c>
    </row>
    <row r="312" spans="1:15" x14ac:dyDescent="0.25">
      <c r="A312" s="4">
        <v>2019</v>
      </c>
      <c r="B312" s="11" t="s">
        <v>179</v>
      </c>
      <c r="C312" s="11" t="s">
        <v>180</v>
      </c>
      <c r="D312" s="11" t="s">
        <v>165</v>
      </c>
      <c r="E312" s="12" t="s">
        <v>181</v>
      </c>
      <c r="F312" s="5">
        <v>14759.2</v>
      </c>
      <c r="G312" s="5">
        <v>0</v>
      </c>
      <c r="H312" s="5">
        <v>1255</v>
      </c>
      <c r="I312" s="5">
        <v>55</v>
      </c>
      <c r="J312" s="5">
        <v>330</v>
      </c>
      <c r="K312" s="6">
        <f t="shared" si="4"/>
        <v>16399.2</v>
      </c>
      <c r="M312" t="str">
        <f>VLOOKUP(B312,'[2]TABULADOR ok'!$A$2:$I$424,7,FALSE)</f>
        <v>T8</v>
      </c>
      <c r="N312" t="str">
        <f>VLOOKUP(B312,'[2]TABULADOR ok'!$A$2:$I$424,8,FALSE)</f>
        <v>T08812</v>
      </c>
      <c r="O312">
        <f>VLOOKUP(B312,'[2]TABULADOR ok'!$A$2:$I$424,9,FALSE)</f>
        <v>95</v>
      </c>
    </row>
    <row r="313" spans="1:15" x14ac:dyDescent="0.25">
      <c r="A313" s="4">
        <v>2019</v>
      </c>
      <c r="B313" s="11" t="s">
        <v>182</v>
      </c>
      <c r="C313" s="11" t="s">
        <v>183</v>
      </c>
      <c r="D313" s="11" t="s">
        <v>184</v>
      </c>
      <c r="E313" s="12" t="s">
        <v>185</v>
      </c>
      <c r="F313" s="5">
        <v>16496.099999999999</v>
      </c>
      <c r="G313" s="5">
        <v>0</v>
      </c>
      <c r="H313" s="5">
        <v>1255</v>
      </c>
      <c r="I313" s="5">
        <v>55</v>
      </c>
      <c r="J313" s="5">
        <v>330</v>
      </c>
      <c r="K313" s="6">
        <f t="shared" si="4"/>
        <v>18136.099999999999</v>
      </c>
      <c r="M313" t="str">
        <f>VLOOKUP(B313,'[2]TABULADOR ok'!$A$2:$I$424,7,FALSE)</f>
        <v>T9</v>
      </c>
      <c r="N313" t="str">
        <f>VLOOKUP(B313,'[2]TABULADOR ok'!$A$2:$I$424,8,FALSE)</f>
        <v>P02809</v>
      </c>
      <c r="O313">
        <f>VLOOKUP(B313,'[2]TABULADOR ok'!$A$2:$I$424,9,FALSE)</f>
        <v>95</v>
      </c>
    </row>
    <row r="314" spans="1:15" x14ac:dyDescent="0.25">
      <c r="A314" s="4">
        <v>2019</v>
      </c>
      <c r="B314" s="11" t="s">
        <v>186</v>
      </c>
      <c r="C314" s="11" t="s">
        <v>187</v>
      </c>
      <c r="D314" s="11" t="s">
        <v>184</v>
      </c>
      <c r="E314" s="12" t="s">
        <v>188</v>
      </c>
      <c r="F314" s="5">
        <v>16496.099999999999</v>
      </c>
      <c r="G314" s="5">
        <v>0</v>
      </c>
      <c r="H314" s="5">
        <v>1255</v>
      </c>
      <c r="I314" s="5">
        <v>55</v>
      </c>
      <c r="J314" s="5">
        <v>330</v>
      </c>
      <c r="K314" s="6">
        <f t="shared" si="4"/>
        <v>18136.099999999999</v>
      </c>
      <c r="M314" t="str">
        <f>VLOOKUP(B314,'[2]TABULADOR ok'!$A$2:$I$424,7,FALSE)</f>
        <v>T9</v>
      </c>
      <c r="N314" t="str">
        <f>VLOOKUP(B314,'[2]TABULADOR ok'!$A$2:$I$424,8,FALSE)</f>
        <v>P04806</v>
      </c>
      <c r="O314">
        <f>VLOOKUP(B314,'[2]TABULADOR ok'!$A$2:$I$424,9,FALSE)</f>
        <v>95</v>
      </c>
    </row>
    <row r="315" spans="1:15" x14ac:dyDescent="0.25">
      <c r="A315" s="4">
        <v>2019</v>
      </c>
      <c r="B315" s="11" t="s">
        <v>189</v>
      </c>
      <c r="C315" s="11" t="s">
        <v>190</v>
      </c>
      <c r="D315" s="11" t="s">
        <v>184</v>
      </c>
      <c r="E315" s="12" t="s">
        <v>191</v>
      </c>
      <c r="F315" s="5">
        <v>16496.099999999999</v>
      </c>
      <c r="G315" s="5">
        <v>0</v>
      </c>
      <c r="H315" s="5">
        <v>1255</v>
      </c>
      <c r="I315" s="5">
        <v>55</v>
      </c>
      <c r="J315" s="5">
        <v>330</v>
      </c>
      <c r="K315" s="6">
        <f t="shared" si="4"/>
        <v>18136.099999999999</v>
      </c>
      <c r="M315" t="str">
        <f>VLOOKUP(B315,'[2]TABULADOR ok'!$A$2:$I$424,7,FALSE)</f>
        <v>T9</v>
      </c>
      <c r="N315" t="str">
        <f>VLOOKUP(B315,'[2]TABULADOR ok'!$A$2:$I$424,8,FALSE)</f>
        <v>P05808</v>
      </c>
      <c r="O315">
        <f>VLOOKUP(B315,'[2]TABULADOR ok'!$A$2:$I$424,9,FALSE)</f>
        <v>95</v>
      </c>
    </row>
    <row r="316" spans="1:15" x14ac:dyDescent="0.25">
      <c r="A316" s="4">
        <v>2019</v>
      </c>
      <c r="B316" s="11" t="s">
        <v>192</v>
      </c>
      <c r="C316" s="11" t="s">
        <v>193</v>
      </c>
      <c r="D316" s="11" t="s">
        <v>184</v>
      </c>
      <c r="E316" s="12" t="s">
        <v>194</v>
      </c>
      <c r="F316" s="5">
        <v>16496.099999999999</v>
      </c>
      <c r="G316" s="5">
        <v>0</v>
      </c>
      <c r="H316" s="5">
        <v>1255</v>
      </c>
      <c r="I316" s="5">
        <v>55</v>
      </c>
      <c r="J316" s="5">
        <v>330</v>
      </c>
      <c r="K316" s="6">
        <f t="shared" si="4"/>
        <v>18136.099999999999</v>
      </c>
      <c r="M316" t="str">
        <f>VLOOKUP(B316,'[2]TABULADOR ok'!$A$2:$I$424,7,FALSE)</f>
        <v>T9</v>
      </c>
      <c r="N316" t="str">
        <f>VLOOKUP(B316,'[2]TABULADOR ok'!$A$2:$I$424,8,FALSE)</f>
        <v>T03850</v>
      </c>
      <c r="O316">
        <f>VLOOKUP(B316,'[2]TABULADOR ok'!$A$2:$I$424,9,FALSE)</f>
        <v>95</v>
      </c>
    </row>
    <row r="317" spans="1:15" x14ac:dyDescent="0.25">
      <c r="A317" s="4">
        <v>2019</v>
      </c>
      <c r="B317" s="11" t="s">
        <v>195</v>
      </c>
      <c r="C317" s="11" t="s">
        <v>196</v>
      </c>
      <c r="D317" s="11" t="s">
        <v>184</v>
      </c>
      <c r="E317" s="12" t="s">
        <v>197</v>
      </c>
      <c r="F317" s="5">
        <v>16496.099999999999</v>
      </c>
      <c r="G317" s="5">
        <v>0</v>
      </c>
      <c r="H317" s="5">
        <v>1255</v>
      </c>
      <c r="I317" s="5">
        <v>55</v>
      </c>
      <c r="J317" s="5">
        <v>330</v>
      </c>
      <c r="K317" s="6">
        <f t="shared" si="4"/>
        <v>18136.099999999999</v>
      </c>
      <c r="M317" t="str">
        <f>VLOOKUP(B317,'[2]TABULADOR ok'!$A$2:$I$424,7,FALSE)</f>
        <v>T9</v>
      </c>
      <c r="N317" t="str">
        <f>VLOOKUP(B317,'[2]TABULADOR ok'!$A$2:$I$424,8,FALSE)</f>
        <v>T03851</v>
      </c>
      <c r="O317">
        <f>VLOOKUP(B317,'[2]TABULADOR ok'!$A$2:$I$424,9,FALSE)</f>
        <v>95</v>
      </c>
    </row>
    <row r="318" spans="1:15" x14ac:dyDescent="0.25">
      <c r="A318" s="4">
        <v>2019</v>
      </c>
      <c r="B318" s="11" t="s">
        <v>198</v>
      </c>
      <c r="C318" s="11" t="s">
        <v>199</v>
      </c>
      <c r="D318" s="11" t="s">
        <v>184</v>
      </c>
      <c r="E318" s="12" t="s">
        <v>200</v>
      </c>
      <c r="F318" s="5">
        <v>16496.099999999999</v>
      </c>
      <c r="G318" s="5">
        <v>0</v>
      </c>
      <c r="H318" s="5">
        <v>1255</v>
      </c>
      <c r="I318" s="5">
        <v>55</v>
      </c>
      <c r="J318" s="5">
        <v>330</v>
      </c>
      <c r="K318" s="6">
        <f>SUM(F318:J318)</f>
        <v>18136.099999999999</v>
      </c>
      <c r="M318" t="str">
        <f>VLOOKUP(B318,'[2]TABULADOR ok'!$A$2:$I$424,7,FALSE)</f>
        <v>T9</v>
      </c>
      <c r="N318" t="str">
        <f>VLOOKUP(B318,'[2]TABULADOR ok'!$A$2:$I$424,8,FALSE)</f>
        <v>T03855</v>
      </c>
      <c r="O318">
        <f>VLOOKUP(B318,'[2]TABULADOR ok'!$A$2:$I$424,9,FALSE)</f>
        <v>95</v>
      </c>
    </row>
    <row r="319" spans="1:15" x14ac:dyDescent="0.25">
      <c r="A319" s="4">
        <v>2019</v>
      </c>
      <c r="B319" s="11" t="s">
        <v>201</v>
      </c>
      <c r="C319" s="11" t="s">
        <v>202</v>
      </c>
      <c r="D319" s="11" t="s">
        <v>184</v>
      </c>
      <c r="E319" s="12" t="s">
        <v>203</v>
      </c>
      <c r="F319" s="5">
        <v>16496.099999999999</v>
      </c>
      <c r="G319" s="5">
        <v>0</v>
      </c>
      <c r="H319" s="5">
        <v>1255</v>
      </c>
      <c r="I319" s="5">
        <v>55</v>
      </c>
      <c r="J319" s="5">
        <v>330</v>
      </c>
      <c r="K319" s="6">
        <f t="shared" si="4"/>
        <v>18136.099999999999</v>
      </c>
      <c r="M319" t="str">
        <f>VLOOKUP(B319,'[2]TABULADOR ok'!$A$2:$I$424,7,FALSE)</f>
        <v>T9</v>
      </c>
      <c r="N319" t="str">
        <f>VLOOKUP(B319,'[2]TABULADOR ok'!$A$2:$I$424,8,FALSE)</f>
        <v>T04873</v>
      </c>
      <c r="O319">
        <f>VLOOKUP(B319,'[2]TABULADOR ok'!$A$2:$I$424,9,FALSE)</f>
        <v>95</v>
      </c>
    </row>
    <row r="320" spans="1:15" x14ac:dyDescent="0.25">
      <c r="A320" s="4">
        <v>2019</v>
      </c>
      <c r="B320" s="11" t="s">
        <v>204</v>
      </c>
      <c r="C320" s="11" t="s">
        <v>205</v>
      </c>
      <c r="D320" s="11" t="s">
        <v>184</v>
      </c>
      <c r="E320" s="12" t="s">
        <v>206</v>
      </c>
      <c r="F320" s="5">
        <v>16496.099999999999</v>
      </c>
      <c r="G320" s="5">
        <v>0</v>
      </c>
      <c r="H320" s="5">
        <v>1255</v>
      </c>
      <c r="I320" s="5">
        <v>55</v>
      </c>
      <c r="J320" s="5">
        <v>330</v>
      </c>
      <c r="K320" s="6">
        <f t="shared" si="4"/>
        <v>18136.099999999999</v>
      </c>
      <c r="M320" t="str">
        <f>VLOOKUP(B320,'[2]TABULADOR ok'!$A$2:$I$424,7,FALSE)</f>
        <v>T9</v>
      </c>
      <c r="N320" t="str">
        <f>VLOOKUP(B320,'[2]TABULADOR ok'!$A$2:$I$424,8,FALSE)</f>
        <v>T14007</v>
      </c>
      <c r="O320">
        <f>VLOOKUP(B320,'[2]TABULADOR ok'!$A$2:$I$424,9,FALSE)</f>
        <v>95</v>
      </c>
    </row>
    <row r="321" spans="1:15" x14ac:dyDescent="0.25">
      <c r="A321" s="4">
        <v>2019</v>
      </c>
      <c r="B321" s="11" t="s">
        <v>207</v>
      </c>
      <c r="C321" s="11" t="s">
        <v>208</v>
      </c>
      <c r="D321" s="11" t="s">
        <v>184</v>
      </c>
      <c r="E321" s="12" t="s">
        <v>209</v>
      </c>
      <c r="F321" s="5">
        <v>16496.099999999999</v>
      </c>
      <c r="G321" s="5">
        <v>0</v>
      </c>
      <c r="H321" s="5">
        <v>1255</v>
      </c>
      <c r="I321" s="5">
        <v>55</v>
      </c>
      <c r="J321" s="5">
        <v>330</v>
      </c>
      <c r="K321" s="6">
        <f t="shared" si="4"/>
        <v>18136.099999999999</v>
      </c>
      <c r="M321" t="str">
        <f>VLOOKUP(B321,'[2]TABULADOR ok'!$A$2:$I$424,7,FALSE)</f>
        <v>T9</v>
      </c>
      <c r="N321" t="str">
        <f>VLOOKUP(B321,'[2]TABULADOR ok'!$A$2:$I$424,8,FALSE)</f>
        <v>T26806</v>
      </c>
      <c r="O321">
        <f>VLOOKUP(B321,'[2]TABULADOR ok'!$A$2:$I$424,9,FALSE)</f>
        <v>95</v>
      </c>
    </row>
    <row r="322" spans="1:15" x14ac:dyDescent="0.25">
      <c r="A322" s="7">
        <v>2018</v>
      </c>
      <c r="B322" s="8" t="s">
        <v>10</v>
      </c>
      <c r="C322" s="8" t="s">
        <v>11</v>
      </c>
      <c r="D322" s="8" t="s">
        <v>12</v>
      </c>
      <c r="E322" s="9" t="s">
        <v>13</v>
      </c>
      <c r="F322" s="10">
        <v>7807.3</v>
      </c>
      <c r="G322" s="10">
        <v>0</v>
      </c>
      <c r="H322" s="10">
        <v>1091</v>
      </c>
      <c r="I322" s="10">
        <v>50</v>
      </c>
      <c r="J322" s="10">
        <v>295</v>
      </c>
      <c r="K322" s="6">
        <f>SUM(F322:J322)</f>
        <v>9243.2999999999993</v>
      </c>
      <c r="M322" t="str">
        <f>VLOOKUP(B322,'[2]TABULADOR ok'!$A$2:$I$424,7,FALSE)</f>
        <v>T1</v>
      </c>
      <c r="N322" t="str">
        <f>VLOOKUP(B322,'[2]TABULADOR ok'!$A$2:$I$424,8,FALSE)</f>
        <v>S01893</v>
      </c>
      <c r="O322">
        <f>VLOOKUP(B322,'[2]TABULADOR ok'!$A$2:$I$424,9,FALSE)</f>
        <v>95</v>
      </c>
    </row>
    <row r="323" spans="1:15" x14ac:dyDescent="0.25">
      <c r="A323" s="7">
        <v>2018</v>
      </c>
      <c r="B323" s="8" t="s">
        <v>14</v>
      </c>
      <c r="C323" s="8" t="s">
        <v>15</v>
      </c>
      <c r="D323" s="8" t="s">
        <v>16</v>
      </c>
      <c r="E323" s="9" t="s">
        <v>17</v>
      </c>
      <c r="F323" s="10">
        <v>8188.3</v>
      </c>
      <c r="G323" s="10">
        <v>0</v>
      </c>
      <c r="H323" s="10">
        <v>1091</v>
      </c>
      <c r="I323" s="10">
        <v>50</v>
      </c>
      <c r="J323" s="10">
        <v>295</v>
      </c>
      <c r="K323" s="6">
        <f t="shared" ref="K323:K385" si="5">SUM(F323:J323)</f>
        <v>9624.2999999999993</v>
      </c>
      <c r="M323" t="str">
        <f>VLOOKUP(B323,'[2]TABULADOR ok'!$A$2:$I$424,7,FALSE)</f>
        <v>T2</v>
      </c>
      <c r="N323" t="str">
        <f>VLOOKUP(B323,'[2]TABULADOR ok'!$A$2:$I$424,8,FALSE)</f>
        <v>S01891</v>
      </c>
      <c r="O323">
        <f>VLOOKUP(B323,'[2]TABULADOR ok'!$A$2:$I$424,9,FALSE)</f>
        <v>95</v>
      </c>
    </row>
    <row r="324" spans="1:15" x14ac:dyDescent="0.25">
      <c r="A324" s="7">
        <v>2018</v>
      </c>
      <c r="B324" s="8" t="s">
        <v>18</v>
      </c>
      <c r="C324" s="8" t="s">
        <v>19</v>
      </c>
      <c r="D324" s="8" t="s">
        <v>16</v>
      </c>
      <c r="E324" s="9" t="s">
        <v>20</v>
      </c>
      <c r="F324" s="10">
        <v>8188.3</v>
      </c>
      <c r="G324" s="10">
        <v>0</v>
      </c>
      <c r="H324" s="10">
        <v>1091</v>
      </c>
      <c r="I324" s="10">
        <v>50</v>
      </c>
      <c r="J324" s="10">
        <v>295</v>
      </c>
      <c r="K324" s="6">
        <f t="shared" si="5"/>
        <v>9624.2999999999993</v>
      </c>
      <c r="M324" t="str">
        <f>VLOOKUP(B324,'[2]TABULADOR ok'!$A$2:$I$424,7,FALSE)</f>
        <v>T2</v>
      </c>
      <c r="N324" t="str">
        <f>VLOOKUP(B324,'[2]TABULADOR ok'!$A$2:$I$424,8,FALSE)</f>
        <v>S03833</v>
      </c>
      <c r="O324">
        <f>VLOOKUP(B324,'[2]TABULADOR ok'!$A$2:$I$424,9,FALSE)</f>
        <v>95</v>
      </c>
    </row>
    <row r="325" spans="1:15" x14ac:dyDescent="0.25">
      <c r="A325" s="7">
        <v>2018</v>
      </c>
      <c r="B325" s="8" t="s">
        <v>21</v>
      </c>
      <c r="C325" s="8" t="s">
        <v>22</v>
      </c>
      <c r="D325" s="8" t="s">
        <v>16</v>
      </c>
      <c r="E325" s="9" t="s">
        <v>23</v>
      </c>
      <c r="F325" s="10">
        <v>8188.3</v>
      </c>
      <c r="G325" s="10">
        <v>0</v>
      </c>
      <c r="H325" s="10">
        <v>1091</v>
      </c>
      <c r="I325" s="10">
        <v>50</v>
      </c>
      <c r="J325" s="10">
        <v>295</v>
      </c>
      <c r="K325" s="6">
        <f t="shared" si="5"/>
        <v>9624.2999999999993</v>
      </c>
      <c r="M325" t="str">
        <f>VLOOKUP(B325,'[2]TABULADOR ok'!$A$2:$I$424,7,FALSE)</f>
        <v>T2</v>
      </c>
      <c r="N325" t="str">
        <f>VLOOKUP(B325,'[2]TABULADOR ok'!$A$2:$I$424,8,FALSE)</f>
        <v>S12091</v>
      </c>
      <c r="O325">
        <f>VLOOKUP(B325,'[2]TABULADOR ok'!$A$2:$I$424,9,FALSE)</f>
        <v>95</v>
      </c>
    </row>
    <row r="326" spans="1:15" x14ac:dyDescent="0.25">
      <c r="A326" s="7">
        <v>2018</v>
      </c>
      <c r="B326" s="8" t="s">
        <v>24</v>
      </c>
      <c r="C326" s="8" t="s">
        <v>24</v>
      </c>
      <c r="D326" s="8" t="s">
        <v>25</v>
      </c>
      <c r="E326" s="9" t="s">
        <v>26</v>
      </c>
      <c r="F326" s="10">
        <v>8569.0499999999993</v>
      </c>
      <c r="G326" s="10">
        <v>0</v>
      </c>
      <c r="H326" s="10">
        <v>1091</v>
      </c>
      <c r="I326" s="10">
        <v>50</v>
      </c>
      <c r="J326" s="10">
        <v>295</v>
      </c>
      <c r="K326" s="6">
        <f t="shared" si="5"/>
        <v>10005.049999999999</v>
      </c>
      <c r="M326" t="str">
        <f>VLOOKUP(B326,'[2]TABULADOR ok'!$A$2:$I$424,7,FALSE)</f>
        <v>T3</v>
      </c>
      <c r="N326" t="str">
        <f>VLOOKUP(B326,'[2]TABULADOR ok'!$A$2:$I$424,8,FALSE)</f>
        <v>A01023</v>
      </c>
      <c r="O326">
        <f>VLOOKUP(B326,'[2]TABULADOR ok'!$A$2:$I$424,9,FALSE)</f>
        <v>95</v>
      </c>
    </row>
    <row r="327" spans="1:15" x14ac:dyDescent="0.25">
      <c r="A327" s="7">
        <v>2018</v>
      </c>
      <c r="B327" s="8" t="s">
        <v>27</v>
      </c>
      <c r="C327" s="8" t="s">
        <v>28</v>
      </c>
      <c r="D327" s="8" t="s">
        <v>25</v>
      </c>
      <c r="E327" s="9" t="s">
        <v>29</v>
      </c>
      <c r="F327" s="10">
        <v>8569.0499999999993</v>
      </c>
      <c r="G327" s="10">
        <v>0</v>
      </c>
      <c r="H327" s="10">
        <v>1091</v>
      </c>
      <c r="I327" s="10">
        <v>50</v>
      </c>
      <c r="J327" s="10">
        <v>295</v>
      </c>
      <c r="K327" s="6">
        <f t="shared" si="5"/>
        <v>10005.049999999999</v>
      </c>
      <c r="M327" t="str">
        <f>VLOOKUP(B327,'[2]TABULADOR ok'!$A$2:$I$424,7,FALSE)</f>
        <v>T3</v>
      </c>
      <c r="N327" t="str">
        <f>VLOOKUP(B327,'[2]TABULADOR ok'!$A$2:$I$424,8,FALSE)</f>
        <v>A01040</v>
      </c>
      <c r="O327">
        <f>VLOOKUP(B327,'[2]TABULADOR ok'!$A$2:$I$424,9,FALSE)</f>
        <v>95</v>
      </c>
    </row>
    <row r="328" spans="1:15" x14ac:dyDescent="0.25">
      <c r="A328" s="7">
        <v>2018</v>
      </c>
      <c r="B328" s="8" t="s">
        <v>30</v>
      </c>
      <c r="C328" s="8" t="s">
        <v>31</v>
      </c>
      <c r="D328" s="8" t="s">
        <v>25</v>
      </c>
      <c r="E328" s="9" t="s">
        <v>32</v>
      </c>
      <c r="F328" s="10">
        <v>8569.0499999999993</v>
      </c>
      <c r="G328" s="10">
        <v>0</v>
      </c>
      <c r="H328" s="10">
        <v>1091</v>
      </c>
      <c r="I328" s="10">
        <v>50</v>
      </c>
      <c r="J328" s="10">
        <v>295</v>
      </c>
      <c r="K328" s="6">
        <f t="shared" si="5"/>
        <v>10005.049999999999</v>
      </c>
      <c r="M328" t="str">
        <f>VLOOKUP(B328,'[2]TABULADOR ok'!$A$2:$I$424,7,FALSE)</f>
        <v>T3</v>
      </c>
      <c r="N328" t="str">
        <f>VLOOKUP(B328,'[2]TABULADOR ok'!$A$2:$I$424,8,FALSE)</f>
        <v>A02813</v>
      </c>
      <c r="O328">
        <f>VLOOKUP(B328,'[2]TABULADOR ok'!$A$2:$I$424,9,FALSE)</f>
        <v>95</v>
      </c>
    </row>
    <row r="329" spans="1:15" x14ac:dyDescent="0.25">
      <c r="A329" s="7">
        <v>2018</v>
      </c>
      <c r="B329" s="8" t="s">
        <v>33</v>
      </c>
      <c r="C329" s="8" t="s">
        <v>34</v>
      </c>
      <c r="D329" s="8" t="s">
        <v>25</v>
      </c>
      <c r="E329" s="9" t="s">
        <v>35</v>
      </c>
      <c r="F329" s="10">
        <v>8569.0499999999993</v>
      </c>
      <c r="G329" s="10">
        <v>0</v>
      </c>
      <c r="H329" s="10">
        <v>1091</v>
      </c>
      <c r="I329" s="10">
        <v>50</v>
      </c>
      <c r="J329" s="10">
        <v>295</v>
      </c>
      <c r="K329" s="6">
        <f t="shared" si="5"/>
        <v>10005.049999999999</v>
      </c>
      <c r="M329" t="str">
        <f>VLOOKUP(B329,'[2]TABULADOR ok'!$A$2:$I$424,7,FALSE)</f>
        <v>T3</v>
      </c>
      <c r="N329" t="str">
        <f>VLOOKUP(B329,'[2]TABULADOR ok'!$A$2:$I$424,8,FALSE)</f>
        <v>A03832</v>
      </c>
      <c r="O329">
        <f>VLOOKUP(B329,'[2]TABULADOR ok'!$A$2:$I$424,9,FALSE)</f>
        <v>95</v>
      </c>
    </row>
    <row r="330" spans="1:15" x14ac:dyDescent="0.25">
      <c r="A330" s="7">
        <v>2018</v>
      </c>
      <c r="B330" s="8" t="s">
        <v>36</v>
      </c>
      <c r="C330" s="8" t="s">
        <v>37</v>
      </c>
      <c r="D330" s="8" t="s">
        <v>25</v>
      </c>
      <c r="E330" s="9" t="s">
        <v>38</v>
      </c>
      <c r="F330" s="10">
        <v>8569.0499999999993</v>
      </c>
      <c r="G330" s="10">
        <v>0</v>
      </c>
      <c r="H330" s="10">
        <v>1091</v>
      </c>
      <c r="I330" s="10">
        <v>50</v>
      </c>
      <c r="J330" s="10">
        <v>295</v>
      </c>
      <c r="K330" s="6">
        <f t="shared" si="5"/>
        <v>10005.049999999999</v>
      </c>
      <c r="M330" t="str">
        <f>VLOOKUP(B330,'[2]TABULADOR ok'!$A$2:$I$424,7,FALSE)</f>
        <v>T3</v>
      </c>
      <c r="N330" t="str">
        <f>VLOOKUP(B330,'[2]TABULADOR ok'!$A$2:$I$424,8,FALSE)</f>
        <v>A05012</v>
      </c>
      <c r="O330">
        <f>VLOOKUP(B330,'[2]TABULADOR ok'!$A$2:$I$424,9,FALSE)</f>
        <v>95</v>
      </c>
    </row>
    <row r="331" spans="1:15" x14ac:dyDescent="0.25">
      <c r="A331" s="7">
        <v>2018</v>
      </c>
      <c r="B331" s="8" t="s">
        <v>39</v>
      </c>
      <c r="C331" s="8" t="s">
        <v>40</v>
      </c>
      <c r="D331" s="8" t="s">
        <v>25</v>
      </c>
      <c r="E331" s="9" t="s">
        <v>41</v>
      </c>
      <c r="F331" s="10">
        <v>8569.0499999999993</v>
      </c>
      <c r="G331" s="10">
        <v>0</v>
      </c>
      <c r="H331" s="10">
        <v>1091</v>
      </c>
      <c r="I331" s="10">
        <v>50</v>
      </c>
      <c r="J331" s="10">
        <v>295</v>
      </c>
      <c r="K331" s="6">
        <f t="shared" si="5"/>
        <v>10005.049999999999</v>
      </c>
      <c r="M331" t="str">
        <f>VLOOKUP(B331,'[2]TABULADOR ok'!$A$2:$I$424,7,FALSE)</f>
        <v>T3</v>
      </c>
      <c r="N331" t="str">
        <f>VLOOKUP(B331,'[2]TABULADOR ok'!$A$2:$I$424,8,FALSE)</f>
        <v>S01890</v>
      </c>
      <c r="O331">
        <f>VLOOKUP(B331,'[2]TABULADOR ok'!$A$2:$I$424,9,FALSE)</f>
        <v>95</v>
      </c>
    </row>
    <row r="332" spans="1:15" x14ac:dyDescent="0.25">
      <c r="A332" s="7">
        <v>2018</v>
      </c>
      <c r="B332" s="8" t="s">
        <v>42</v>
      </c>
      <c r="C332" s="8" t="s">
        <v>43</v>
      </c>
      <c r="D332" s="8" t="s">
        <v>25</v>
      </c>
      <c r="E332" s="9" t="s">
        <v>44</v>
      </c>
      <c r="F332" s="10">
        <v>8569.0499999999993</v>
      </c>
      <c r="G332" s="10">
        <v>0</v>
      </c>
      <c r="H332" s="10">
        <v>1091</v>
      </c>
      <c r="I332" s="10">
        <v>50</v>
      </c>
      <c r="J332" s="10">
        <v>295</v>
      </c>
      <c r="K332" s="6">
        <f t="shared" si="5"/>
        <v>10005.049999999999</v>
      </c>
      <c r="M332" t="str">
        <f>VLOOKUP(B332,'[2]TABULADOR ok'!$A$2:$I$424,7,FALSE)</f>
        <v>T3</v>
      </c>
      <c r="N332" t="str">
        <f>VLOOKUP(B332,'[2]TABULADOR ok'!$A$2:$I$424,8,FALSE)</f>
        <v>S01894</v>
      </c>
      <c r="O332">
        <f>VLOOKUP(B332,'[2]TABULADOR ok'!$A$2:$I$424,9,FALSE)</f>
        <v>95</v>
      </c>
    </row>
    <row r="333" spans="1:15" x14ac:dyDescent="0.25">
      <c r="A333" s="7">
        <v>2018</v>
      </c>
      <c r="B333" s="8" t="s">
        <v>45</v>
      </c>
      <c r="C333" s="8" t="s">
        <v>46</v>
      </c>
      <c r="D333" s="8" t="s">
        <v>47</v>
      </c>
      <c r="E333" s="9" t="s">
        <v>48</v>
      </c>
      <c r="F333" s="10">
        <v>9406.35</v>
      </c>
      <c r="G333" s="10">
        <v>0</v>
      </c>
      <c r="H333" s="10">
        <v>1091</v>
      </c>
      <c r="I333" s="10">
        <v>50</v>
      </c>
      <c r="J333" s="10">
        <v>295</v>
      </c>
      <c r="K333" s="6">
        <f t="shared" si="5"/>
        <v>10842.35</v>
      </c>
      <c r="M333" t="str">
        <f>VLOOKUP(B333,'[2]TABULADOR ok'!$A$2:$I$424,7,FALSE)</f>
        <v>T4</v>
      </c>
      <c r="N333" t="str">
        <f>VLOOKUP(B333,'[2]TABULADOR ok'!$A$2:$I$424,8,FALSE)</f>
        <v>A03841</v>
      </c>
      <c r="O333">
        <f>VLOOKUP(B333,'[2]TABULADOR ok'!$A$2:$I$424,9,FALSE)</f>
        <v>95</v>
      </c>
    </row>
    <row r="334" spans="1:15" x14ac:dyDescent="0.25">
      <c r="A334" s="7">
        <v>2018</v>
      </c>
      <c r="B334" s="8" t="s">
        <v>49</v>
      </c>
      <c r="C334" s="8" t="s">
        <v>50</v>
      </c>
      <c r="D334" s="8" t="s">
        <v>47</v>
      </c>
      <c r="E334" s="9" t="s">
        <v>51</v>
      </c>
      <c r="F334" s="10">
        <v>9406.35</v>
      </c>
      <c r="G334" s="10">
        <v>0</v>
      </c>
      <c r="H334" s="10">
        <v>1091</v>
      </c>
      <c r="I334" s="10">
        <v>50</v>
      </c>
      <c r="J334" s="10">
        <v>295</v>
      </c>
      <c r="K334" s="6">
        <f t="shared" si="5"/>
        <v>10842.35</v>
      </c>
      <c r="M334" t="str">
        <f>VLOOKUP(B334,'[2]TABULADOR ok'!$A$2:$I$424,7,FALSE)</f>
        <v>T4</v>
      </c>
      <c r="N334" t="str">
        <f>VLOOKUP(B334,'[2]TABULADOR ok'!$A$2:$I$424,8,FALSE)</f>
        <v>C02810</v>
      </c>
      <c r="O334">
        <f>VLOOKUP(B334,'[2]TABULADOR ok'!$A$2:$I$424,9,FALSE)</f>
        <v>95</v>
      </c>
    </row>
    <row r="335" spans="1:15" x14ac:dyDescent="0.25">
      <c r="A335" s="7">
        <v>2018</v>
      </c>
      <c r="B335" s="8" t="s">
        <v>52</v>
      </c>
      <c r="C335" s="8" t="s">
        <v>53</v>
      </c>
      <c r="D335" s="8" t="s">
        <v>47</v>
      </c>
      <c r="E335" s="9" t="s">
        <v>54</v>
      </c>
      <c r="F335" s="10">
        <v>9406.35</v>
      </c>
      <c r="G335" s="10">
        <v>0</v>
      </c>
      <c r="H335" s="10">
        <v>1091</v>
      </c>
      <c r="I335" s="10">
        <v>50</v>
      </c>
      <c r="J335" s="10">
        <v>295</v>
      </c>
      <c r="K335" s="6">
        <f t="shared" si="5"/>
        <v>10842.35</v>
      </c>
      <c r="M335" t="str">
        <f>VLOOKUP(B335,'[2]TABULADOR ok'!$A$2:$I$424,7,FALSE)</f>
        <v>T4</v>
      </c>
      <c r="N335" t="str">
        <f>VLOOKUP(B335,'[2]TABULADOR ok'!$A$2:$I$424,8,FALSE)</f>
        <v>S01889</v>
      </c>
      <c r="O335">
        <f>VLOOKUP(B335,'[2]TABULADOR ok'!$A$2:$I$424,9,FALSE)</f>
        <v>95</v>
      </c>
    </row>
    <row r="336" spans="1:15" x14ac:dyDescent="0.25">
      <c r="A336" s="7">
        <v>2018</v>
      </c>
      <c r="B336" s="8" t="s">
        <v>55</v>
      </c>
      <c r="C336" s="8" t="s">
        <v>56</v>
      </c>
      <c r="D336" s="8" t="s">
        <v>47</v>
      </c>
      <c r="E336" s="9" t="s">
        <v>57</v>
      </c>
      <c r="F336" s="10">
        <v>9406.35</v>
      </c>
      <c r="G336" s="10">
        <v>0</v>
      </c>
      <c r="H336" s="10">
        <v>1091</v>
      </c>
      <c r="I336" s="10">
        <v>50</v>
      </c>
      <c r="J336" s="10">
        <v>295</v>
      </c>
      <c r="K336" s="6">
        <f t="shared" si="5"/>
        <v>10842.35</v>
      </c>
      <c r="M336" t="str">
        <f>VLOOKUP(B336,'[2]TABULADOR ok'!$A$2:$I$424,7,FALSE)</f>
        <v>T4</v>
      </c>
      <c r="N336" t="str">
        <f>VLOOKUP(B336,'[2]TABULADOR ok'!$A$2:$I$424,8,FALSE)</f>
        <v>S01895</v>
      </c>
      <c r="O336">
        <f>VLOOKUP(B336,'[2]TABULADOR ok'!$A$2:$I$424,9,FALSE)</f>
        <v>95</v>
      </c>
    </row>
    <row r="337" spans="1:15" x14ac:dyDescent="0.25">
      <c r="A337" s="7">
        <v>2018</v>
      </c>
      <c r="B337" s="8" t="s">
        <v>58</v>
      </c>
      <c r="C337" s="8" t="s">
        <v>59</v>
      </c>
      <c r="D337" s="8" t="s">
        <v>47</v>
      </c>
      <c r="E337" s="9" t="s">
        <v>60</v>
      </c>
      <c r="F337" s="10">
        <v>9406.35</v>
      </c>
      <c r="G337" s="10">
        <v>0</v>
      </c>
      <c r="H337" s="10">
        <v>1091</v>
      </c>
      <c r="I337" s="10">
        <v>50</v>
      </c>
      <c r="J337" s="10">
        <v>295</v>
      </c>
      <c r="K337" s="6">
        <f t="shared" si="5"/>
        <v>10842.35</v>
      </c>
      <c r="M337" t="str">
        <f>VLOOKUP(B337,'[2]TABULADOR ok'!$A$2:$I$424,7,FALSE)</f>
        <v>T4</v>
      </c>
      <c r="N337" t="str">
        <f>VLOOKUP(B337,'[2]TABULADOR ok'!$A$2:$I$424,8,FALSE)</f>
        <v>S03834</v>
      </c>
      <c r="O337">
        <f>VLOOKUP(B337,'[2]TABULADOR ok'!$A$2:$I$424,9,FALSE)</f>
        <v>95</v>
      </c>
    </row>
    <row r="338" spans="1:15" x14ac:dyDescent="0.25">
      <c r="A338" s="7">
        <v>2018</v>
      </c>
      <c r="B338" s="8" t="s">
        <v>61</v>
      </c>
      <c r="C338" s="8" t="s">
        <v>62</v>
      </c>
      <c r="D338" s="8" t="s">
        <v>47</v>
      </c>
      <c r="E338" s="9" t="s">
        <v>63</v>
      </c>
      <c r="F338" s="10">
        <v>9406.35</v>
      </c>
      <c r="G338" s="10">
        <v>0</v>
      </c>
      <c r="H338" s="10">
        <v>1091</v>
      </c>
      <c r="I338" s="10">
        <v>50</v>
      </c>
      <c r="J338" s="10">
        <v>295</v>
      </c>
      <c r="K338" s="6">
        <f t="shared" si="5"/>
        <v>10842.35</v>
      </c>
      <c r="M338" t="str">
        <f>VLOOKUP(B338,'[2]TABULADOR ok'!$A$2:$I$424,7,FALSE)</f>
        <v>T4</v>
      </c>
      <c r="N338" t="str">
        <f>VLOOKUP(B338,'[2]TABULADOR ok'!$A$2:$I$424,8,FALSE)</f>
        <v>S12020</v>
      </c>
      <c r="O338">
        <f>VLOOKUP(B338,'[2]TABULADOR ok'!$A$2:$I$424,9,FALSE)</f>
        <v>95</v>
      </c>
    </row>
    <row r="339" spans="1:15" x14ac:dyDescent="0.25">
      <c r="A339" s="7">
        <v>2018</v>
      </c>
      <c r="B339" s="8" t="s">
        <v>64</v>
      </c>
      <c r="C339" s="8" t="s">
        <v>65</v>
      </c>
      <c r="D339" s="8" t="s">
        <v>47</v>
      </c>
      <c r="E339" s="9" t="s">
        <v>66</v>
      </c>
      <c r="F339" s="10">
        <v>9406.35</v>
      </c>
      <c r="G339" s="10">
        <v>0</v>
      </c>
      <c r="H339" s="10">
        <v>1091</v>
      </c>
      <c r="I339" s="10">
        <v>50</v>
      </c>
      <c r="J339" s="10">
        <v>295</v>
      </c>
      <c r="K339" s="6">
        <f t="shared" si="5"/>
        <v>10842.35</v>
      </c>
      <c r="M339" t="str">
        <f>VLOOKUP(B339,'[2]TABULADOR ok'!$A$2:$I$424,7,FALSE)</f>
        <v>T4</v>
      </c>
      <c r="N339" t="str">
        <f>VLOOKUP(B339,'[2]TABULADOR ok'!$A$2:$I$424,8,FALSE)</f>
        <v>S12092</v>
      </c>
      <c r="O339">
        <f>VLOOKUP(B339,'[2]TABULADOR ok'!$A$2:$I$424,9,FALSE)</f>
        <v>95</v>
      </c>
    </row>
    <row r="340" spans="1:15" x14ac:dyDescent="0.25">
      <c r="A340" s="7">
        <v>2018</v>
      </c>
      <c r="B340" s="8" t="s">
        <v>67</v>
      </c>
      <c r="C340" s="8" t="s">
        <v>68</v>
      </c>
      <c r="D340" s="8" t="s">
        <v>47</v>
      </c>
      <c r="E340" s="9" t="s">
        <v>69</v>
      </c>
      <c r="F340" s="10">
        <v>9406.35</v>
      </c>
      <c r="G340" s="10">
        <v>0</v>
      </c>
      <c r="H340" s="10">
        <v>1091</v>
      </c>
      <c r="I340" s="10">
        <v>50</v>
      </c>
      <c r="J340" s="10">
        <v>295</v>
      </c>
      <c r="K340" s="6">
        <f t="shared" si="5"/>
        <v>10842.35</v>
      </c>
      <c r="M340" t="str">
        <f>VLOOKUP(B340,'[2]TABULADOR ok'!$A$2:$I$424,7,FALSE)</f>
        <v>T4</v>
      </c>
      <c r="N340" t="str">
        <f>VLOOKUP(B340,'[2]TABULADOR ok'!$A$2:$I$424,8,FALSE)</f>
        <v>S12093</v>
      </c>
      <c r="O340">
        <f>VLOOKUP(B340,'[2]TABULADOR ok'!$A$2:$I$424,9,FALSE)</f>
        <v>95</v>
      </c>
    </row>
    <row r="341" spans="1:15" x14ac:dyDescent="0.25">
      <c r="A341" s="7">
        <v>2018</v>
      </c>
      <c r="B341" s="8" t="s">
        <v>70</v>
      </c>
      <c r="C341" s="8" t="s">
        <v>71</v>
      </c>
      <c r="D341" s="8" t="s">
        <v>47</v>
      </c>
      <c r="E341" s="9" t="s">
        <v>72</v>
      </c>
      <c r="F341" s="10">
        <v>9406.35</v>
      </c>
      <c r="G341" s="10">
        <v>0</v>
      </c>
      <c r="H341" s="10">
        <v>1091</v>
      </c>
      <c r="I341" s="10">
        <v>50</v>
      </c>
      <c r="J341" s="10">
        <v>295</v>
      </c>
      <c r="K341" s="6">
        <f t="shared" si="5"/>
        <v>10842.35</v>
      </c>
      <c r="M341" t="str">
        <f>VLOOKUP(B341,'[2]TABULADOR ok'!$A$2:$I$424,7,FALSE)</f>
        <v>T4</v>
      </c>
      <c r="N341" t="str">
        <f>VLOOKUP(B341,'[2]TABULADOR ok'!$A$2:$I$424,8,FALSE)</f>
        <v>S12096</v>
      </c>
      <c r="O341">
        <f>VLOOKUP(B341,'[2]TABULADOR ok'!$A$2:$I$424,9,FALSE)</f>
        <v>95</v>
      </c>
    </row>
    <row r="342" spans="1:15" x14ac:dyDescent="0.25">
      <c r="A342" s="7">
        <v>2018</v>
      </c>
      <c r="B342" s="8" t="s">
        <v>73</v>
      </c>
      <c r="C342" s="8" t="s">
        <v>74</v>
      </c>
      <c r="D342" s="8" t="s">
        <v>47</v>
      </c>
      <c r="E342" s="9" t="s">
        <v>75</v>
      </c>
      <c r="F342" s="10">
        <v>9406.35</v>
      </c>
      <c r="G342" s="10">
        <v>0</v>
      </c>
      <c r="H342" s="10">
        <v>1091</v>
      </c>
      <c r="I342" s="10">
        <v>50</v>
      </c>
      <c r="J342" s="10">
        <v>295</v>
      </c>
      <c r="K342" s="6">
        <f t="shared" si="5"/>
        <v>10842.35</v>
      </c>
      <c r="M342" t="str">
        <f>VLOOKUP(B342,'[2]TABULADOR ok'!$A$2:$I$424,7,FALSE)</f>
        <v>T4</v>
      </c>
      <c r="N342" t="str">
        <f>VLOOKUP(B342,'[2]TABULADOR ok'!$A$2:$I$424,8,FALSE)</f>
        <v>S12097</v>
      </c>
      <c r="O342">
        <f>VLOOKUP(B342,'[2]TABULADOR ok'!$A$2:$I$424,9,FALSE)</f>
        <v>95</v>
      </c>
    </row>
    <row r="343" spans="1:15" x14ac:dyDescent="0.25">
      <c r="A343" s="7">
        <v>2018</v>
      </c>
      <c r="B343" s="8" t="s">
        <v>76</v>
      </c>
      <c r="C343" s="8" t="s">
        <v>77</v>
      </c>
      <c r="D343" s="8" t="s">
        <v>47</v>
      </c>
      <c r="E343" s="9" t="s">
        <v>78</v>
      </c>
      <c r="F343" s="10">
        <v>9406.35</v>
      </c>
      <c r="G343" s="10">
        <v>0</v>
      </c>
      <c r="H343" s="10">
        <v>1091</v>
      </c>
      <c r="I343" s="10">
        <v>50</v>
      </c>
      <c r="J343" s="10">
        <v>295</v>
      </c>
      <c r="K343" s="6">
        <f t="shared" si="5"/>
        <v>10842.35</v>
      </c>
      <c r="M343" t="str">
        <f>VLOOKUP(B343,'[2]TABULADOR ok'!$A$2:$I$424,7,FALSE)</f>
        <v>T4</v>
      </c>
      <c r="N343" t="str">
        <f>VLOOKUP(B343,'[2]TABULADOR ok'!$A$2:$I$424,8,FALSE)</f>
        <v>S12098</v>
      </c>
      <c r="O343">
        <f>VLOOKUP(B343,'[2]TABULADOR ok'!$A$2:$I$424,9,FALSE)</f>
        <v>95</v>
      </c>
    </row>
    <row r="344" spans="1:15" x14ac:dyDescent="0.25">
      <c r="A344" s="7">
        <v>2018</v>
      </c>
      <c r="B344" s="8" t="s">
        <v>79</v>
      </c>
      <c r="C344" s="8" t="s">
        <v>80</v>
      </c>
      <c r="D344" s="8" t="s">
        <v>47</v>
      </c>
      <c r="E344" s="9" t="s">
        <v>81</v>
      </c>
      <c r="F344" s="10">
        <v>9406.35</v>
      </c>
      <c r="G344" s="10">
        <v>0</v>
      </c>
      <c r="H344" s="10">
        <v>1091</v>
      </c>
      <c r="I344" s="10">
        <v>50</v>
      </c>
      <c r="J344" s="10">
        <v>295</v>
      </c>
      <c r="K344" s="6">
        <f t="shared" si="5"/>
        <v>10842.35</v>
      </c>
      <c r="M344" t="str">
        <f>VLOOKUP(B344,'[2]TABULADOR ok'!$A$2:$I$424,7,FALSE)</f>
        <v>T4</v>
      </c>
      <c r="N344" t="str">
        <f>VLOOKUP(B344,'[2]TABULADOR ok'!$A$2:$I$424,8,FALSE)</f>
        <v>T06824</v>
      </c>
      <c r="O344">
        <f>VLOOKUP(B344,'[2]TABULADOR ok'!$A$2:$I$424,9,FALSE)</f>
        <v>95</v>
      </c>
    </row>
    <row r="345" spans="1:15" x14ac:dyDescent="0.25">
      <c r="A345" s="7">
        <v>2018</v>
      </c>
      <c r="B345" s="8" t="s">
        <v>82</v>
      </c>
      <c r="C345" s="8" t="s">
        <v>83</v>
      </c>
      <c r="D345" s="8" t="s">
        <v>84</v>
      </c>
      <c r="E345" s="9" t="s">
        <v>85</v>
      </c>
      <c r="F345" s="10">
        <v>10351.450000000001</v>
      </c>
      <c r="G345" s="10">
        <v>0</v>
      </c>
      <c r="H345" s="10">
        <v>1091</v>
      </c>
      <c r="I345" s="10">
        <v>50</v>
      </c>
      <c r="J345" s="10">
        <v>295</v>
      </c>
      <c r="K345" s="6">
        <f t="shared" si="5"/>
        <v>11787.45</v>
      </c>
      <c r="M345" t="str">
        <f>VLOOKUP(B345,'[2]TABULADOR ok'!$A$2:$I$424,7,FALSE)</f>
        <v>T5</v>
      </c>
      <c r="N345" t="str">
        <f>VLOOKUP(B345,'[2]TABULADOR ok'!$A$2:$I$424,8,FALSE)</f>
        <v>A01038</v>
      </c>
      <c r="O345">
        <f>VLOOKUP(B345,'[2]TABULADOR ok'!$A$2:$I$424,9,FALSE)</f>
        <v>95</v>
      </c>
    </row>
    <row r="346" spans="1:15" x14ac:dyDescent="0.25">
      <c r="A346" s="7">
        <v>2018</v>
      </c>
      <c r="B346" s="8" t="s">
        <v>86</v>
      </c>
      <c r="C346" s="8" t="s">
        <v>87</v>
      </c>
      <c r="D346" s="8" t="s">
        <v>84</v>
      </c>
      <c r="E346" s="9" t="s">
        <v>88</v>
      </c>
      <c r="F346" s="10">
        <v>10351.450000000001</v>
      </c>
      <c r="G346" s="10">
        <v>0</v>
      </c>
      <c r="H346" s="10">
        <v>1091</v>
      </c>
      <c r="I346" s="10">
        <v>50</v>
      </c>
      <c r="J346" s="10">
        <v>295</v>
      </c>
      <c r="K346" s="6">
        <f t="shared" si="5"/>
        <v>11787.45</v>
      </c>
      <c r="M346" t="str">
        <f>VLOOKUP(B346,'[2]TABULADOR ok'!$A$2:$I$424,7,FALSE)</f>
        <v>T5</v>
      </c>
      <c r="N346" t="str">
        <f>VLOOKUP(B346,'[2]TABULADOR ok'!$A$2:$I$424,8,FALSE)</f>
        <v>A03840</v>
      </c>
      <c r="O346">
        <f>VLOOKUP(B346,'[2]TABULADOR ok'!$A$2:$I$424,9,FALSE)</f>
        <v>95</v>
      </c>
    </row>
    <row r="347" spans="1:15" x14ac:dyDescent="0.25">
      <c r="A347" s="7">
        <v>2018</v>
      </c>
      <c r="B347" s="8" t="s">
        <v>89</v>
      </c>
      <c r="C347" s="8" t="s">
        <v>90</v>
      </c>
      <c r="D347" s="8" t="s">
        <v>84</v>
      </c>
      <c r="E347" s="9" t="s">
        <v>91</v>
      </c>
      <c r="F347" s="10">
        <v>10351.450000000001</v>
      </c>
      <c r="G347" s="10">
        <v>0</v>
      </c>
      <c r="H347" s="10">
        <v>1091</v>
      </c>
      <c r="I347" s="10">
        <v>50</v>
      </c>
      <c r="J347" s="10">
        <v>295</v>
      </c>
      <c r="K347" s="6">
        <f t="shared" si="5"/>
        <v>11787.45</v>
      </c>
      <c r="M347" t="str">
        <f>VLOOKUP(B347,'[2]TABULADOR ok'!$A$2:$I$424,7,FALSE)</f>
        <v>T5</v>
      </c>
      <c r="N347" t="str">
        <f>VLOOKUP(B347,'[2]TABULADOR ok'!$A$2:$I$424,8,FALSE)</f>
        <v>A05011</v>
      </c>
      <c r="O347">
        <f>VLOOKUP(B347,'[2]TABULADOR ok'!$A$2:$I$424,9,FALSE)</f>
        <v>95</v>
      </c>
    </row>
    <row r="348" spans="1:15" x14ac:dyDescent="0.25">
      <c r="A348" s="7">
        <v>2018</v>
      </c>
      <c r="B348" s="8" t="s">
        <v>92</v>
      </c>
      <c r="C348" s="8" t="s">
        <v>93</v>
      </c>
      <c r="D348" s="8" t="s">
        <v>84</v>
      </c>
      <c r="E348" s="9" t="s">
        <v>94</v>
      </c>
      <c r="F348" s="10">
        <v>10351.450000000001</v>
      </c>
      <c r="G348" s="10">
        <v>0</v>
      </c>
      <c r="H348" s="10">
        <v>1091</v>
      </c>
      <c r="I348" s="10">
        <v>50</v>
      </c>
      <c r="J348" s="10">
        <v>295</v>
      </c>
      <c r="K348" s="6">
        <f t="shared" si="5"/>
        <v>11787.45</v>
      </c>
      <c r="M348" t="str">
        <f>VLOOKUP(B348,'[2]TABULADOR ok'!$A$2:$I$424,7,FALSE)</f>
        <v>T5</v>
      </c>
      <c r="N348" t="str">
        <f>VLOOKUP(B348,'[2]TABULADOR ok'!$A$2:$I$424,8,FALSE)</f>
        <v>S01892</v>
      </c>
      <c r="O348">
        <f>VLOOKUP(B348,'[2]TABULADOR ok'!$A$2:$I$424,9,FALSE)</f>
        <v>95</v>
      </c>
    </row>
    <row r="349" spans="1:15" x14ac:dyDescent="0.25">
      <c r="A349" s="7">
        <v>2018</v>
      </c>
      <c r="B349" s="8" t="s">
        <v>95</v>
      </c>
      <c r="C349" s="8" t="s">
        <v>96</v>
      </c>
      <c r="D349" s="8" t="s">
        <v>84</v>
      </c>
      <c r="E349" s="9" t="s">
        <v>97</v>
      </c>
      <c r="F349" s="10">
        <v>10351.450000000001</v>
      </c>
      <c r="G349" s="10">
        <v>0</v>
      </c>
      <c r="H349" s="10">
        <v>1091</v>
      </c>
      <c r="I349" s="10">
        <v>50</v>
      </c>
      <c r="J349" s="10">
        <v>295</v>
      </c>
      <c r="K349" s="6">
        <f t="shared" si="5"/>
        <v>11787.45</v>
      </c>
      <c r="M349" t="str">
        <f>VLOOKUP(B349,'[2]TABULADOR ok'!$A$2:$I$424,7,FALSE)</f>
        <v>T5</v>
      </c>
      <c r="N349" t="str">
        <f>VLOOKUP(B349,'[2]TABULADOR ok'!$A$2:$I$424,8,FALSE)</f>
        <v>S01896</v>
      </c>
      <c r="O349">
        <f>VLOOKUP(B349,'[2]TABULADOR ok'!$A$2:$I$424,9,FALSE)</f>
        <v>95</v>
      </c>
    </row>
    <row r="350" spans="1:15" x14ac:dyDescent="0.25">
      <c r="A350" s="7">
        <v>2018</v>
      </c>
      <c r="B350" s="8" t="s">
        <v>98</v>
      </c>
      <c r="C350" s="8" t="s">
        <v>99</v>
      </c>
      <c r="D350" s="8" t="s">
        <v>84</v>
      </c>
      <c r="E350" s="9" t="s">
        <v>100</v>
      </c>
      <c r="F350" s="10">
        <v>10351.450000000001</v>
      </c>
      <c r="G350" s="10">
        <v>0</v>
      </c>
      <c r="H350" s="10">
        <v>1091</v>
      </c>
      <c r="I350" s="10">
        <v>50</v>
      </c>
      <c r="J350" s="10">
        <v>295</v>
      </c>
      <c r="K350" s="6">
        <f t="shared" si="5"/>
        <v>11787.45</v>
      </c>
      <c r="M350" t="str">
        <f>VLOOKUP(B350,'[2]TABULADOR ok'!$A$2:$I$424,7,FALSE)</f>
        <v>T5</v>
      </c>
      <c r="N350" t="str">
        <f>VLOOKUP(B350,'[2]TABULADOR ok'!$A$2:$I$424,8,FALSE)</f>
        <v>S12011</v>
      </c>
      <c r="O350">
        <f>VLOOKUP(B350,'[2]TABULADOR ok'!$A$2:$I$424,9,FALSE)</f>
        <v>95</v>
      </c>
    </row>
    <row r="351" spans="1:15" x14ac:dyDescent="0.25">
      <c r="A351" s="7">
        <v>2018</v>
      </c>
      <c r="B351" s="8" t="s">
        <v>101</v>
      </c>
      <c r="C351" s="8" t="s">
        <v>102</v>
      </c>
      <c r="D351" s="8" t="s">
        <v>84</v>
      </c>
      <c r="E351" s="9" t="s">
        <v>103</v>
      </c>
      <c r="F351" s="10">
        <v>10351.450000000001</v>
      </c>
      <c r="G351" s="10">
        <v>0</v>
      </c>
      <c r="H351" s="10">
        <v>1091</v>
      </c>
      <c r="I351" s="10">
        <v>50</v>
      </c>
      <c r="J351" s="10">
        <v>295</v>
      </c>
      <c r="K351" s="6">
        <f t="shared" si="5"/>
        <v>11787.45</v>
      </c>
      <c r="M351" t="str">
        <f>VLOOKUP(B351,'[2]TABULADOR ok'!$A$2:$I$424,7,FALSE)</f>
        <v>T5</v>
      </c>
      <c r="N351" t="str">
        <f>VLOOKUP(B351,'[2]TABULADOR ok'!$A$2:$I$424,8,FALSE)</f>
        <v>S12094</v>
      </c>
      <c r="O351">
        <f>VLOOKUP(B351,'[2]TABULADOR ok'!$A$2:$I$424,9,FALSE)</f>
        <v>95</v>
      </c>
    </row>
    <row r="352" spans="1:15" x14ac:dyDescent="0.25">
      <c r="A352" s="7">
        <v>2018</v>
      </c>
      <c r="B352" s="8" t="s">
        <v>104</v>
      </c>
      <c r="C352" s="8" t="s">
        <v>105</v>
      </c>
      <c r="D352" s="8" t="s">
        <v>84</v>
      </c>
      <c r="E352" s="9" t="s">
        <v>106</v>
      </c>
      <c r="F352" s="10">
        <v>10351.450000000001</v>
      </c>
      <c r="G352" s="10">
        <v>0</v>
      </c>
      <c r="H352" s="10">
        <v>1091</v>
      </c>
      <c r="I352" s="10">
        <v>50</v>
      </c>
      <c r="J352" s="10">
        <v>295</v>
      </c>
      <c r="K352" s="6">
        <f t="shared" si="5"/>
        <v>11787.45</v>
      </c>
      <c r="M352" t="str">
        <f>VLOOKUP(B352,'[2]TABULADOR ok'!$A$2:$I$424,7,FALSE)</f>
        <v>T5</v>
      </c>
      <c r="N352" t="str">
        <f>VLOOKUP(B352,'[2]TABULADOR ok'!$A$2:$I$424,8,FALSE)</f>
        <v>T03853</v>
      </c>
      <c r="O352">
        <f>VLOOKUP(B352,'[2]TABULADOR ok'!$A$2:$I$424,9,FALSE)</f>
        <v>95</v>
      </c>
    </row>
    <row r="353" spans="1:15" x14ac:dyDescent="0.25">
      <c r="A353" s="7">
        <v>2018</v>
      </c>
      <c r="B353" s="8" t="s">
        <v>107</v>
      </c>
      <c r="C353" s="8" t="s">
        <v>108</v>
      </c>
      <c r="D353" s="8" t="s">
        <v>84</v>
      </c>
      <c r="E353" s="9" t="s">
        <v>109</v>
      </c>
      <c r="F353" s="10">
        <v>10351.450000000001</v>
      </c>
      <c r="G353" s="10">
        <v>0</v>
      </c>
      <c r="H353" s="10">
        <v>1091</v>
      </c>
      <c r="I353" s="10">
        <v>50</v>
      </c>
      <c r="J353" s="10">
        <v>295</v>
      </c>
      <c r="K353" s="6">
        <f t="shared" si="5"/>
        <v>11787.45</v>
      </c>
      <c r="M353" t="str">
        <f>VLOOKUP(B353,'[2]TABULADOR ok'!$A$2:$I$424,7,FALSE)</f>
        <v>T5</v>
      </c>
      <c r="N353" t="str">
        <f>VLOOKUP(B353,'[2]TABULADOR ok'!$A$2:$I$424,8,FALSE)</f>
        <v>T13818</v>
      </c>
      <c r="O353">
        <f>VLOOKUP(B353,'[2]TABULADOR ok'!$A$2:$I$424,9,FALSE)</f>
        <v>95</v>
      </c>
    </row>
    <row r="354" spans="1:15" x14ac:dyDescent="0.25">
      <c r="A354" s="7">
        <v>2018</v>
      </c>
      <c r="B354" s="8" t="s">
        <v>110</v>
      </c>
      <c r="C354" s="8" t="s">
        <v>111</v>
      </c>
      <c r="D354" s="8" t="s">
        <v>84</v>
      </c>
      <c r="E354" s="9" t="s">
        <v>112</v>
      </c>
      <c r="F354" s="10">
        <v>10351.450000000001</v>
      </c>
      <c r="G354" s="10">
        <v>0</v>
      </c>
      <c r="H354" s="10">
        <v>1091</v>
      </c>
      <c r="I354" s="10">
        <v>50</v>
      </c>
      <c r="J354" s="10">
        <v>295</v>
      </c>
      <c r="K354" s="6">
        <f t="shared" si="5"/>
        <v>11787.45</v>
      </c>
      <c r="M354" t="str">
        <f>VLOOKUP(B354,'[2]TABULADOR ok'!$A$2:$I$424,7,FALSE)</f>
        <v>T5</v>
      </c>
      <c r="N354" t="str">
        <f>VLOOKUP(B354,'[2]TABULADOR ok'!$A$2:$I$424,8,FALSE)</f>
        <v>T14034</v>
      </c>
      <c r="O354">
        <f>VLOOKUP(B354,'[2]TABULADOR ok'!$A$2:$I$424,9,FALSE)</f>
        <v>95</v>
      </c>
    </row>
    <row r="355" spans="1:15" x14ac:dyDescent="0.25">
      <c r="A355" s="7">
        <v>2018</v>
      </c>
      <c r="B355" s="8" t="s">
        <v>113</v>
      </c>
      <c r="C355" s="8" t="s">
        <v>114</v>
      </c>
      <c r="D355" s="8" t="s">
        <v>115</v>
      </c>
      <c r="E355" s="9" t="s">
        <v>116</v>
      </c>
      <c r="F355" s="10">
        <v>11516.3</v>
      </c>
      <c r="G355" s="10">
        <v>0</v>
      </c>
      <c r="H355" s="10">
        <v>1091</v>
      </c>
      <c r="I355" s="10">
        <v>50</v>
      </c>
      <c r="J355" s="10">
        <v>295</v>
      </c>
      <c r="K355" s="6">
        <f t="shared" si="5"/>
        <v>12952.3</v>
      </c>
      <c r="M355" t="str">
        <f>VLOOKUP(B355,'[2]TABULADOR ok'!$A$2:$I$424,7,FALSE)</f>
        <v>T6</v>
      </c>
      <c r="N355" t="str">
        <f>VLOOKUP(B355,'[2]TABULADOR ok'!$A$2:$I$424,8,FALSE)</f>
        <v>A03839</v>
      </c>
      <c r="O355">
        <f>VLOOKUP(B355,'[2]TABULADOR ok'!$A$2:$I$424,9,FALSE)</f>
        <v>95</v>
      </c>
    </row>
    <row r="356" spans="1:15" x14ac:dyDescent="0.25">
      <c r="A356" s="7">
        <v>2018</v>
      </c>
      <c r="B356" s="8" t="s">
        <v>117</v>
      </c>
      <c r="C356" s="8" t="s">
        <v>118</v>
      </c>
      <c r="D356" s="8" t="s">
        <v>115</v>
      </c>
      <c r="E356" s="9" t="s">
        <v>119</v>
      </c>
      <c r="F356" s="10">
        <v>11516.3</v>
      </c>
      <c r="G356" s="10">
        <v>0</v>
      </c>
      <c r="H356" s="10">
        <v>1091</v>
      </c>
      <c r="I356" s="10">
        <v>50</v>
      </c>
      <c r="J356" s="10">
        <v>295</v>
      </c>
      <c r="K356" s="6">
        <f t="shared" si="5"/>
        <v>12952.3</v>
      </c>
      <c r="M356" t="str">
        <f>VLOOKUP(B356,'[2]TABULADOR ok'!$A$2:$I$424,7,FALSE)</f>
        <v>T6</v>
      </c>
      <c r="N356" t="str">
        <f>VLOOKUP(B356,'[2]TABULADOR ok'!$A$2:$I$424,8,FALSE)</f>
        <v>P07027</v>
      </c>
      <c r="O356">
        <f>VLOOKUP(B356,'[2]TABULADOR ok'!$A$2:$I$424,9,FALSE)</f>
        <v>95</v>
      </c>
    </row>
    <row r="357" spans="1:15" x14ac:dyDescent="0.25">
      <c r="A357" s="7">
        <v>2018</v>
      </c>
      <c r="B357" s="8" t="s">
        <v>120</v>
      </c>
      <c r="C357" s="8" t="s">
        <v>121</v>
      </c>
      <c r="D357" s="8" t="s">
        <v>115</v>
      </c>
      <c r="E357" s="9" t="s">
        <v>122</v>
      </c>
      <c r="F357" s="10">
        <v>11516.3</v>
      </c>
      <c r="G357" s="10">
        <v>0</v>
      </c>
      <c r="H357" s="10">
        <v>1091</v>
      </c>
      <c r="I357" s="10">
        <v>50</v>
      </c>
      <c r="J357" s="10">
        <v>295</v>
      </c>
      <c r="K357" s="6">
        <f t="shared" si="5"/>
        <v>12952.3</v>
      </c>
      <c r="M357" t="str">
        <f>VLOOKUP(B357,'[2]TABULADOR ok'!$A$2:$I$424,7,FALSE)</f>
        <v>T6</v>
      </c>
      <c r="N357" t="str">
        <f>VLOOKUP(B357,'[2]TABULADOR ok'!$A$2:$I$424,8,FALSE)</f>
        <v>S03830</v>
      </c>
      <c r="O357">
        <f>VLOOKUP(B357,'[2]TABULADOR ok'!$A$2:$I$424,9,FALSE)</f>
        <v>95</v>
      </c>
    </row>
    <row r="358" spans="1:15" x14ac:dyDescent="0.25">
      <c r="A358" s="7">
        <v>2018</v>
      </c>
      <c r="B358" s="8" t="s">
        <v>123</v>
      </c>
      <c r="C358" s="8" t="s">
        <v>124</v>
      </c>
      <c r="D358" s="8" t="s">
        <v>115</v>
      </c>
      <c r="E358" s="9" t="s">
        <v>125</v>
      </c>
      <c r="F358" s="10">
        <v>11516.3</v>
      </c>
      <c r="G358" s="10">
        <v>0</v>
      </c>
      <c r="H358" s="10">
        <v>1091</v>
      </c>
      <c r="I358" s="10">
        <v>50</v>
      </c>
      <c r="J358" s="10">
        <v>295</v>
      </c>
      <c r="K358" s="6">
        <f t="shared" si="5"/>
        <v>12952.3</v>
      </c>
      <c r="M358" t="str">
        <f>VLOOKUP(B358,'[2]TABULADOR ok'!$A$2:$I$424,7,FALSE)</f>
        <v>T6</v>
      </c>
      <c r="N358" t="str">
        <f>VLOOKUP(B358,'[2]TABULADOR ok'!$A$2:$I$424,8,FALSE)</f>
        <v>S03831</v>
      </c>
      <c r="O358">
        <f>VLOOKUP(B358,'[2]TABULADOR ok'!$A$2:$I$424,9,FALSE)</f>
        <v>95</v>
      </c>
    </row>
    <row r="359" spans="1:15" x14ac:dyDescent="0.25">
      <c r="A359" s="7">
        <v>2018</v>
      </c>
      <c r="B359" s="8" t="s">
        <v>126</v>
      </c>
      <c r="C359" s="8" t="s">
        <v>127</v>
      </c>
      <c r="D359" s="8" t="s">
        <v>115</v>
      </c>
      <c r="E359" s="9" t="s">
        <v>128</v>
      </c>
      <c r="F359" s="10">
        <v>11516.3</v>
      </c>
      <c r="G359" s="10">
        <v>0</v>
      </c>
      <c r="H359" s="10">
        <v>1091</v>
      </c>
      <c r="I359" s="10">
        <v>50</v>
      </c>
      <c r="J359" s="10">
        <v>295</v>
      </c>
      <c r="K359" s="6">
        <f t="shared" si="5"/>
        <v>12952.3</v>
      </c>
      <c r="M359" t="str">
        <f>VLOOKUP(B359,'[2]TABULADOR ok'!$A$2:$I$424,7,FALSE)</f>
        <v>T6</v>
      </c>
      <c r="N359" t="str">
        <f>VLOOKUP(B359,'[2]TABULADOR ok'!$A$2:$I$424,8,FALSE)</f>
        <v>S09807</v>
      </c>
      <c r="O359">
        <f>VLOOKUP(B359,'[2]TABULADOR ok'!$A$2:$I$424,9,FALSE)</f>
        <v>95</v>
      </c>
    </row>
    <row r="360" spans="1:15" x14ac:dyDescent="0.25">
      <c r="A360" s="7">
        <v>2018</v>
      </c>
      <c r="B360" s="8" t="s">
        <v>129</v>
      </c>
      <c r="C360" s="8" t="s">
        <v>130</v>
      </c>
      <c r="D360" s="8" t="s">
        <v>115</v>
      </c>
      <c r="E360" s="9" t="s">
        <v>131</v>
      </c>
      <c r="F360" s="10">
        <v>11516.3</v>
      </c>
      <c r="G360" s="10">
        <v>0</v>
      </c>
      <c r="H360" s="10">
        <v>1091</v>
      </c>
      <c r="I360" s="10">
        <v>50</v>
      </c>
      <c r="J360" s="10">
        <v>295</v>
      </c>
      <c r="K360" s="6">
        <f t="shared" si="5"/>
        <v>12952.3</v>
      </c>
      <c r="M360" t="str">
        <f>VLOOKUP(B360,'[2]TABULADOR ok'!$A$2:$I$424,7,FALSE)</f>
        <v>T6</v>
      </c>
      <c r="N360" t="str">
        <f>VLOOKUP(B360,'[2]TABULADOR ok'!$A$2:$I$424,8,FALSE)</f>
        <v>T06823</v>
      </c>
      <c r="O360">
        <f>VLOOKUP(B360,'[2]TABULADOR ok'!$A$2:$I$424,9,FALSE)</f>
        <v>95</v>
      </c>
    </row>
    <row r="361" spans="1:15" x14ac:dyDescent="0.25">
      <c r="A361" s="7">
        <v>2018</v>
      </c>
      <c r="B361" s="8" t="s">
        <v>132</v>
      </c>
      <c r="C361" s="8" t="s">
        <v>133</v>
      </c>
      <c r="D361" s="8" t="s">
        <v>115</v>
      </c>
      <c r="E361" s="9" t="s">
        <v>134</v>
      </c>
      <c r="F361" s="10">
        <v>11516.3</v>
      </c>
      <c r="G361" s="10">
        <v>0</v>
      </c>
      <c r="H361" s="10">
        <v>1091</v>
      </c>
      <c r="I361" s="10">
        <v>50</v>
      </c>
      <c r="J361" s="10">
        <v>295</v>
      </c>
      <c r="K361" s="6">
        <f t="shared" si="5"/>
        <v>12952.3</v>
      </c>
      <c r="M361" t="str">
        <f>VLOOKUP(B361,'[2]TABULADOR ok'!$A$2:$I$424,7,FALSE)</f>
        <v>T6</v>
      </c>
      <c r="N361" t="str">
        <f>VLOOKUP(B361,'[2]TABULADOR ok'!$A$2:$I$424,8,FALSE)</f>
        <v>T08813</v>
      </c>
      <c r="O361">
        <f>VLOOKUP(B361,'[2]TABULADOR ok'!$A$2:$I$424,9,FALSE)</f>
        <v>95</v>
      </c>
    </row>
    <row r="362" spans="1:15" x14ac:dyDescent="0.25">
      <c r="A362" s="7">
        <v>2018</v>
      </c>
      <c r="B362" s="8" t="s">
        <v>135</v>
      </c>
      <c r="C362" s="8" t="s">
        <v>136</v>
      </c>
      <c r="D362" s="8" t="s">
        <v>137</v>
      </c>
      <c r="E362" s="9" t="s">
        <v>138</v>
      </c>
      <c r="F362" s="10">
        <v>12644.3</v>
      </c>
      <c r="G362" s="10">
        <v>0</v>
      </c>
      <c r="H362" s="10">
        <v>1091</v>
      </c>
      <c r="I362" s="10">
        <v>50</v>
      </c>
      <c r="J362" s="10">
        <v>295</v>
      </c>
      <c r="K362" s="6">
        <f t="shared" si="5"/>
        <v>14080.3</v>
      </c>
      <c r="M362" t="str">
        <f>VLOOKUP(B362,'[2]TABULADOR ok'!$A$2:$I$424,7,FALSE)</f>
        <v>T7</v>
      </c>
      <c r="N362" t="str">
        <f>VLOOKUP(B362,'[2]TABULADOR ok'!$A$2:$I$424,8,FALSE)</f>
        <v>A01037</v>
      </c>
      <c r="O362">
        <f>VLOOKUP(B362,'[2]TABULADOR ok'!$A$2:$I$424,9,FALSE)</f>
        <v>95</v>
      </c>
    </row>
    <row r="363" spans="1:15" x14ac:dyDescent="0.25">
      <c r="A363" s="7">
        <v>2018</v>
      </c>
      <c r="B363" s="8" t="s">
        <v>139</v>
      </c>
      <c r="C363" s="8" t="s">
        <v>140</v>
      </c>
      <c r="D363" s="8" t="s">
        <v>137</v>
      </c>
      <c r="E363" s="9" t="s">
        <v>141</v>
      </c>
      <c r="F363" s="10">
        <v>12644.3</v>
      </c>
      <c r="G363" s="10">
        <v>0</v>
      </c>
      <c r="H363" s="10">
        <v>1091</v>
      </c>
      <c r="I363" s="10">
        <v>50</v>
      </c>
      <c r="J363" s="10">
        <v>295</v>
      </c>
      <c r="K363" s="6">
        <f t="shared" si="5"/>
        <v>14080.3</v>
      </c>
      <c r="M363" t="str">
        <f>VLOOKUP(B363,'[2]TABULADOR ok'!$A$2:$I$424,7,FALSE)</f>
        <v>T7</v>
      </c>
      <c r="N363" t="str">
        <f>VLOOKUP(B363,'[2]TABULADOR ok'!$A$2:$I$424,8,FALSE)</f>
        <v>A02815</v>
      </c>
      <c r="O363">
        <f>VLOOKUP(B363,'[2]TABULADOR ok'!$A$2:$I$424,9,FALSE)</f>
        <v>95</v>
      </c>
    </row>
    <row r="364" spans="1:15" x14ac:dyDescent="0.25">
      <c r="A364" s="7">
        <v>2018</v>
      </c>
      <c r="B364" s="8" t="s">
        <v>142</v>
      </c>
      <c r="C364" s="8" t="s">
        <v>143</v>
      </c>
      <c r="D364" s="8" t="s">
        <v>137</v>
      </c>
      <c r="E364" s="9" t="s">
        <v>144</v>
      </c>
      <c r="F364" s="10">
        <v>12644.3</v>
      </c>
      <c r="G364" s="10">
        <v>0</v>
      </c>
      <c r="H364" s="10">
        <v>1091</v>
      </c>
      <c r="I364" s="10">
        <v>50</v>
      </c>
      <c r="J364" s="10">
        <v>295</v>
      </c>
      <c r="K364" s="6">
        <f t="shared" si="5"/>
        <v>14080.3</v>
      </c>
      <c r="M364" t="str">
        <f>VLOOKUP(B364,'[2]TABULADOR ok'!$A$2:$I$424,7,FALSE)</f>
        <v>T7</v>
      </c>
      <c r="N364" t="str">
        <f>VLOOKUP(B364,'[2]TABULADOR ok'!$A$2:$I$424,8,FALSE)</f>
        <v>C01817</v>
      </c>
      <c r="O364">
        <f>VLOOKUP(B364,'[2]TABULADOR ok'!$A$2:$I$424,9,FALSE)</f>
        <v>95</v>
      </c>
    </row>
    <row r="365" spans="1:15" x14ac:dyDescent="0.25">
      <c r="A365" s="7">
        <v>2018</v>
      </c>
      <c r="B365" s="8" t="s">
        <v>145</v>
      </c>
      <c r="C365" s="8" t="s">
        <v>146</v>
      </c>
      <c r="D365" s="8" t="s">
        <v>137</v>
      </c>
      <c r="E365" s="9" t="s">
        <v>147</v>
      </c>
      <c r="F365" s="10">
        <v>12644.3</v>
      </c>
      <c r="G365" s="10">
        <v>0</v>
      </c>
      <c r="H365" s="10">
        <v>1091</v>
      </c>
      <c r="I365" s="10">
        <v>50</v>
      </c>
      <c r="J365" s="10">
        <v>295</v>
      </c>
      <c r="K365" s="6">
        <f t="shared" si="5"/>
        <v>14080.3</v>
      </c>
      <c r="M365" t="str">
        <f>VLOOKUP(B365,'[2]TABULADOR ok'!$A$2:$I$424,7,FALSE)</f>
        <v>T7</v>
      </c>
      <c r="N365" t="str">
        <f>VLOOKUP(B365,'[2]TABULADOR ok'!$A$2:$I$424,8,FALSE)</f>
        <v>P07026</v>
      </c>
      <c r="O365">
        <f>VLOOKUP(B365,'[2]TABULADOR ok'!$A$2:$I$424,9,FALSE)</f>
        <v>95</v>
      </c>
    </row>
    <row r="366" spans="1:15" x14ac:dyDescent="0.25">
      <c r="A366" s="7">
        <v>2018</v>
      </c>
      <c r="B366" s="8" t="s">
        <v>148</v>
      </c>
      <c r="C366" s="8" t="s">
        <v>149</v>
      </c>
      <c r="D366" s="8" t="s">
        <v>137</v>
      </c>
      <c r="E366" s="9" t="s">
        <v>150</v>
      </c>
      <c r="F366" s="10">
        <v>12644.3</v>
      </c>
      <c r="G366" s="10">
        <v>0</v>
      </c>
      <c r="H366" s="10">
        <v>1091</v>
      </c>
      <c r="I366" s="10">
        <v>50</v>
      </c>
      <c r="J366" s="10">
        <v>295</v>
      </c>
      <c r="K366" s="6">
        <f t="shared" si="5"/>
        <v>14080.3</v>
      </c>
      <c r="M366" t="str">
        <f>VLOOKUP(B366,'[2]TABULADOR ok'!$A$2:$I$424,7,FALSE)</f>
        <v>T7</v>
      </c>
      <c r="N366" t="str">
        <f>VLOOKUP(B366,'[2]TABULADOR ok'!$A$2:$I$424,8,FALSE)</f>
        <v>T05822</v>
      </c>
      <c r="O366">
        <f>VLOOKUP(B366,'[2]TABULADOR ok'!$A$2:$I$424,9,FALSE)</f>
        <v>95</v>
      </c>
    </row>
    <row r="367" spans="1:15" x14ac:dyDescent="0.25">
      <c r="A367" s="7">
        <v>2018</v>
      </c>
      <c r="B367" s="8" t="s">
        <v>151</v>
      </c>
      <c r="C367" s="8" t="s">
        <v>152</v>
      </c>
      <c r="D367" s="8" t="s">
        <v>137</v>
      </c>
      <c r="E367" s="9" t="s">
        <v>153</v>
      </c>
      <c r="F367" s="10">
        <v>12644.3</v>
      </c>
      <c r="G367" s="10">
        <v>0</v>
      </c>
      <c r="H367" s="10">
        <v>1091</v>
      </c>
      <c r="I367" s="10">
        <v>50</v>
      </c>
      <c r="J367" s="10">
        <v>295</v>
      </c>
      <c r="K367" s="6">
        <f t="shared" si="5"/>
        <v>14080.3</v>
      </c>
      <c r="M367" t="str">
        <f>VLOOKUP(B367,'[2]TABULADOR ok'!$A$2:$I$424,7,FALSE)</f>
        <v>T7</v>
      </c>
      <c r="N367" t="str">
        <f>VLOOKUP(B367,'[2]TABULADOR ok'!$A$2:$I$424,8,FALSE)</f>
        <v>T09001</v>
      </c>
      <c r="O367">
        <f>VLOOKUP(B367,'[2]TABULADOR ok'!$A$2:$I$424,9,FALSE)</f>
        <v>95</v>
      </c>
    </row>
    <row r="368" spans="1:15" x14ac:dyDescent="0.25">
      <c r="A368" s="7">
        <v>2018</v>
      </c>
      <c r="B368" s="8" t="s">
        <v>154</v>
      </c>
      <c r="C368" s="8" t="s">
        <v>155</v>
      </c>
      <c r="D368" s="8" t="s">
        <v>137</v>
      </c>
      <c r="E368" s="9" t="s">
        <v>156</v>
      </c>
      <c r="F368" s="10">
        <v>12644.3</v>
      </c>
      <c r="G368" s="10">
        <v>0</v>
      </c>
      <c r="H368" s="10">
        <v>1091</v>
      </c>
      <c r="I368" s="10">
        <v>50</v>
      </c>
      <c r="J368" s="10">
        <v>295</v>
      </c>
      <c r="K368" s="6">
        <f t="shared" si="5"/>
        <v>14080.3</v>
      </c>
      <c r="M368" t="str">
        <f>VLOOKUP(B368,'[2]TABULADOR ok'!$A$2:$I$424,7,FALSE)</f>
        <v>T7</v>
      </c>
      <c r="N368" t="str">
        <f>VLOOKUP(B368,'[2]TABULADOR ok'!$A$2:$I$424,8,FALSE)</f>
        <v>T13817</v>
      </c>
      <c r="O368">
        <f>VLOOKUP(B368,'[2]TABULADOR ok'!$A$2:$I$424,9,FALSE)</f>
        <v>95</v>
      </c>
    </row>
    <row r="369" spans="1:15" x14ac:dyDescent="0.25">
      <c r="A369" s="7">
        <v>2018</v>
      </c>
      <c r="B369" s="8" t="s">
        <v>157</v>
      </c>
      <c r="C369" s="8" t="s">
        <v>158</v>
      </c>
      <c r="D369" s="8" t="s">
        <v>137</v>
      </c>
      <c r="E369" s="9" t="s">
        <v>159</v>
      </c>
      <c r="F369" s="10">
        <v>12644.3</v>
      </c>
      <c r="G369" s="10">
        <v>0</v>
      </c>
      <c r="H369" s="10">
        <v>1091</v>
      </c>
      <c r="I369" s="10">
        <v>50</v>
      </c>
      <c r="J369" s="10">
        <v>295</v>
      </c>
      <c r="K369" s="6">
        <f t="shared" si="5"/>
        <v>14080.3</v>
      </c>
      <c r="M369" t="str">
        <f>VLOOKUP(B369,'[2]TABULADOR ok'!$A$2:$I$424,7,FALSE)</f>
        <v>T7</v>
      </c>
      <c r="N369" t="str">
        <f>VLOOKUP(B369,'[2]TABULADOR ok'!$A$2:$I$424,8,FALSE)</f>
        <v>T14019</v>
      </c>
      <c r="O369">
        <f>VLOOKUP(B369,'[2]TABULADOR ok'!$A$2:$I$424,9,FALSE)</f>
        <v>95</v>
      </c>
    </row>
    <row r="370" spans="1:15" x14ac:dyDescent="0.25">
      <c r="A370" s="7">
        <v>2018</v>
      </c>
      <c r="B370" s="8" t="s">
        <v>160</v>
      </c>
      <c r="C370" s="8" t="s">
        <v>161</v>
      </c>
      <c r="D370" s="8" t="s">
        <v>137</v>
      </c>
      <c r="E370" s="9" t="s">
        <v>162</v>
      </c>
      <c r="F370" s="10">
        <v>12644.3</v>
      </c>
      <c r="G370" s="10">
        <v>0</v>
      </c>
      <c r="H370" s="10">
        <v>1091</v>
      </c>
      <c r="I370" s="10">
        <v>50</v>
      </c>
      <c r="J370" s="10">
        <v>295</v>
      </c>
      <c r="K370" s="6">
        <f t="shared" si="5"/>
        <v>14080.3</v>
      </c>
      <c r="M370" t="str">
        <f>VLOOKUP(B370,'[2]TABULADOR ok'!$A$2:$I$424,7,FALSE)</f>
        <v>T7</v>
      </c>
      <c r="N370" t="str">
        <f>VLOOKUP(B370,'[2]TABULADOR ok'!$A$2:$I$424,8,FALSE)</f>
        <v>T16817</v>
      </c>
      <c r="O370">
        <f>VLOOKUP(B370,'[2]TABULADOR ok'!$A$2:$I$424,9,FALSE)</f>
        <v>95</v>
      </c>
    </row>
    <row r="371" spans="1:15" x14ac:dyDescent="0.25">
      <c r="A371" s="7">
        <v>2018</v>
      </c>
      <c r="B371" s="8" t="s">
        <v>163</v>
      </c>
      <c r="C371" s="8" t="s">
        <v>164</v>
      </c>
      <c r="D371" s="8" t="s">
        <v>165</v>
      </c>
      <c r="E371" s="9" t="s">
        <v>166</v>
      </c>
      <c r="F371" s="10">
        <v>13971.15</v>
      </c>
      <c r="G371" s="10">
        <v>0</v>
      </c>
      <c r="H371" s="10">
        <v>1091</v>
      </c>
      <c r="I371" s="10">
        <v>50</v>
      </c>
      <c r="J371" s="10">
        <v>295</v>
      </c>
      <c r="K371" s="6">
        <f t="shared" si="5"/>
        <v>15407.15</v>
      </c>
      <c r="M371" t="str">
        <f>VLOOKUP(B371,'[2]TABULADOR ok'!$A$2:$I$424,7,FALSE)</f>
        <v>T8</v>
      </c>
      <c r="N371" t="str">
        <f>VLOOKUP(B371,'[2]TABULADOR ok'!$A$2:$I$424,8,FALSE)</f>
        <v>A01036</v>
      </c>
      <c r="O371">
        <f>VLOOKUP(B371,'[2]TABULADOR ok'!$A$2:$I$424,9,FALSE)</f>
        <v>95</v>
      </c>
    </row>
    <row r="372" spans="1:15" x14ac:dyDescent="0.25">
      <c r="A372" s="7">
        <v>2018</v>
      </c>
      <c r="B372" s="8" t="s">
        <v>167</v>
      </c>
      <c r="C372" s="8" t="s">
        <v>168</v>
      </c>
      <c r="D372" s="8" t="s">
        <v>165</v>
      </c>
      <c r="E372" s="9" t="s">
        <v>169</v>
      </c>
      <c r="F372" s="10">
        <v>13971.15</v>
      </c>
      <c r="G372" s="10">
        <v>0</v>
      </c>
      <c r="H372" s="10">
        <v>1091</v>
      </c>
      <c r="I372" s="10">
        <v>50</v>
      </c>
      <c r="J372" s="10">
        <v>295</v>
      </c>
      <c r="K372" s="6">
        <f t="shared" si="5"/>
        <v>15407.15</v>
      </c>
      <c r="M372" t="str">
        <f>VLOOKUP(B372,'[2]TABULADOR ok'!$A$2:$I$424,7,FALSE)</f>
        <v>T8</v>
      </c>
      <c r="N372" t="str">
        <f>VLOOKUP(B372,'[2]TABULADOR ok'!$A$2:$I$424,8,FALSE)</f>
        <v>A06009</v>
      </c>
      <c r="O372">
        <f>VLOOKUP(B372,'[2]TABULADOR ok'!$A$2:$I$424,9,FALSE)</f>
        <v>95</v>
      </c>
    </row>
    <row r="373" spans="1:15" x14ac:dyDescent="0.25">
      <c r="A373" s="7">
        <v>2018</v>
      </c>
      <c r="B373" s="8" t="s">
        <v>170</v>
      </c>
      <c r="C373" s="8" t="s">
        <v>171</v>
      </c>
      <c r="D373" s="8" t="s">
        <v>165</v>
      </c>
      <c r="E373" s="9" t="s">
        <v>172</v>
      </c>
      <c r="F373" s="10">
        <v>13971.15</v>
      </c>
      <c r="G373" s="10">
        <v>0</v>
      </c>
      <c r="H373" s="10">
        <v>1091</v>
      </c>
      <c r="I373" s="10">
        <v>50</v>
      </c>
      <c r="J373" s="10">
        <v>295</v>
      </c>
      <c r="K373" s="6">
        <f t="shared" si="5"/>
        <v>15407.15</v>
      </c>
      <c r="M373" t="str">
        <f>VLOOKUP(B373,'[2]TABULADOR ok'!$A$2:$I$424,7,FALSE)</f>
        <v>T8</v>
      </c>
      <c r="N373" t="str">
        <f>VLOOKUP(B373,'[2]TABULADOR ok'!$A$2:$I$424,8,FALSE)</f>
        <v>C01818</v>
      </c>
      <c r="O373">
        <f>VLOOKUP(B373,'[2]TABULADOR ok'!$A$2:$I$424,9,FALSE)</f>
        <v>95</v>
      </c>
    </row>
    <row r="374" spans="1:15" x14ac:dyDescent="0.25">
      <c r="A374" s="7">
        <v>2018</v>
      </c>
      <c r="B374" s="8" t="s">
        <v>173</v>
      </c>
      <c r="C374" s="8" t="s">
        <v>174</v>
      </c>
      <c r="D374" s="8" t="s">
        <v>165</v>
      </c>
      <c r="E374" s="9" t="s">
        <v>175</v>
      </c>
      <c r="F374" s="10">
        <v>13971.15</v>
      </c>
      <c r="G374" s="10">
        <v>0</v>
      </c>
      <c r="H374" s="10">
        <v>1091</v>
      </c>
      <c r="I374" s="10">
        <v>50</v>
      </c>
      <c r="J374" s="10">
        <v>295</v>
      </c>
      <c r="K374" s="6">
        <f t="shared" si="5"/>
        <v>15407.15</v>
      </c>
      <c r="M374" t="str">
        <f>VLOOKUP(B374,'[2]TABULADOR ok'!$A$2:$I$424,7,FALSE)</f>
        <v>T8</v>
      </c>
      <c r="N374" t="str">
        <f>VLOOKUP(B374,'[2]TABULADOR ok'!$A$2:$I$424,8,FALSE)</f>
        <v>T03854</v>
      </c>
      <c r="O374">
        <f>VLOOKUP(B374,'[2]TABULADOR ok'!$A$2:$I$424,9,FALSE)</f>
        <v>95</v>
      </c>
    </row>
    <row r="375" spans="1:15" x14ac:dyDescent="0.25">
      <c r="A375" s="7">
        <v>2018</v>
      </c>
      <c r="B375" s="8" t="s">
        <v>176</v>
      </c>
      <c r="C375" s="8" t="s">
        <v>177</v>
      </c>
      <c r="D375" s="8" t="s">
        <v>165</v>
      </c>
      <c r="E375" s="9" t="s">
        <v>178</v>
      </c>
      <c r="F375" s="10">
        <v>13971.15</v>
      </c>
      <c r="G375" s="10">
        <v>0</v>
      </c>
      <c r="H375" s="10">
        <v>1091</v>
      </c>
      <c r="I375" s="10">
        <v>50</v>
      </c>
      <c r="J375" s="10">
        <v>295</v>
      </c>
      <c r="K375" s="6">
        <f t="shared" si="5"/>
        <v>15407.15</v>
      </c>
      <c r="M375" t="str">
        <f>VLOOKUP(B375,'[2]TABULADOR ok'!$A$2:$I$424,7,FALSE)</f>
        <v>T8</v>
      </c>
      <c r="N375" t="str">
        <f>VLOOKUP(B375,'[2]TABULADOR ok'!$A$2:$I$424,8,FALSE)</f>
        <v>T04875</v>
      </c>
      <c r="O375">
        <f>VLOOKUP(B375,'[2]TABULADOR ok'!$A$2:$I$424,9,FALSE)</f>
        <v>95</v>
      </c>
    </row>
    <row r="376" spans="1:15" x14ac:dyDescent="0.25">
      <c r="A376" s="7">
        <v>2018</v>
      </c>
      <c r="B376" s="8" t="s">
        <v>179</v>
      </c>
      <c r="C376" s="8" t="s">
        <v>180</v>
      </c>
      <c r="D376" s="8" t="s">
        <v>165</v>
      </c>
      <c r="E376" s="9" t="s">
        <v>181</v>
      </c>
      <c r="F376" s="10">
        <v>13971.15</v>
      </c>
      <c r="G376" s="10">
        <v>0</v>
      </c>
      <c r="H376" s="10">
        <v>1091</v>
      </c>
      <c r="I376" s="10">
        <v>50</v>
      </c>
      <c r="J376" s="10">
        <v>295</v>
      </c>
      <c r="K376" s="6">
        <f t="shared" si="5"/>
        <v>15407.15</v>
      </c>
      <c r="M376" t="str">
        <f>VLOOKUP(B376,'[2]TABULADOR ok'!$A$2:$I$424,7,FALSE)</f>
        <v>T8</v>
      </c>
      <c r="N376" t="str">
        <f>VLOOKUP(B376,'[2]TABULADOR ok'!$A$2:$I$424,8,FALSE)</f>
        <v>T08812</v>
      </c>
      <c r="O376">
        <f>VLOOKUP(B376,'[2]TABULADOR ok'!$A$2:$I$424,9,FALSE)</f>
        <v>95</v>
      </c>
    </row>
    <row r="377" spans="1:15" x14ac:dyDescent="0.25">
      <c r="A377" s="7">
        <v>2018</v>
      </c>
      <c r="B377" s="8" t="s">
        <v>182</v>
      </c>
      <c r="C377" s="8" t="s">
        <v>183</v>
      </c>
      <c r="D377" s="8" t="s">
        <v>184</v>
      </c>
      <c r="E377" s="9" t="s">
        <v>185</v>
      </c>
      <c r="F377" s="10">
        <v>15622.75</v>
      </c>
      <c r="G377" s="10">
        <v>0</v>
      </c>
      <c r="H377" s="10">
        <v>1091</v>
      </c>
      <c r="I377" s="10">
        <v>50</v>
      </c>
      <c r="J377" s="10">
        <v>295</v>
      </c>
      <c r="K377" s="6">
        <f t="shared" si="5"/>
        <v>17058.75</v>
      </c>
      <c r="M377" t="str">
        <f>VLOOKUP(B377,'[2]TABULADOR ok'!$A$2:$I$424,7,FALSE)</f>
        <v>T9</v>
      </c>
      <c r="N377" t="str">
        <f>VLOOKUP(B377,'[2]TABULADOR ok'!$A$2:$I$424,8,FALSE)</f>
        <v>P02809</v>
      </c>
      <c r="O377">
        <f>VLOOKUP(B377,'[2]TABULADOR ok'!$A$2:$I$424,9,FALSE)</f>
        <v>95</v>
      </c>
    </row>
    <row r="378" spans="1:15" x14ac:dyDescent="0.25">
      <c r="A378" s="7">
        <v>2018</v>
      </c>
      <c r="B378" s="8" t="s">
        <v>186</v>
      </c>
      <c r="C378" s="8" t="s">
        <v>187</v>
      </c>
      <c r="D378" s="8" t="s">
        <v>184</v>
      </c>
      <c r="E378" s="9" t="s">
        <v>188</v>
      </c>
      <c r="F378" s="10">
        <v>15622.75</v>
      </c>
      <c r="G378" s="10">
        <v>0</v>
      </c>
      <c r="H378" s="10">
        <v>1091</v>
      </c>
      <c r="I378" s="10">
        <v>50</v>
      </c>
      <c r="J378" s="10">
        <v>295</v>
      </c>
      <c r="K378" s="6">
        <f t="shared" si="5"/>
        <v>17058.75</v>
      </c>
      <c r="M378" t="str">
        <f>VLOOKUP(B378,'[2]TABULADOR ok'!$A$2:$I$424,7,FALSE)</f>
        <v>T9</v>
      </c>
      <c r="N378" t="str">
        <f>VLOOKUP(B378,'[2]TABULADOR ok'!$A$2:$I$424,8,FALSE)</f>
        <v>P04806</v>
      </c>
      <c r="O378">
        <f>VLOOKUP(B378,'[2]TABULADOR ok'!$A$2:$I$424,9,FALSE)</f>
        <v>95</v>
      </c>
    </row>
    <row r="379" spans="1:15" x14ac:dyDescent="0.25">
      <c r="A379" s="7">
        <v>2018</v>
      </c>
      <c r="B379" s="8" t="s">
        <v>189</v>
      </c>
      <c r="C379" s="8" t="s">
        <v>190</v>
      </c>
      <c r="D379" s="8" t="s">
        <v>184</v>
      </c>
      <c r="E379" s="9" t="s">
        <v>191</v>
      </c>
      <c r="F379" s="10">
        <v>15622.75</v>
      </c>
      <c r="G379" s="10">
        <v>0</v>
      </c>
      <c r="H379" s="10">
        <v>1091</v>
      </c>
      <c r="I379" s="10">
        <v>50</v>
      </c>
      <c r="J379" s="10">
        <v>295</v>
      </c>
      <c r="K379" s="6">
        <f t="shared" si="5"/>
        <v>17058.75</v>
      </c>
      <c r="M379" t="str">
        <f>VLOOKUP(B379,'[2]TABULADOR ok'!$A$2:$I$424,7,FALSE)</f>
        <v>T9</v>
      </c>
      <c r="N379" t="str">
        <f>VLOOKUP(B379,'[2]TABULADOR ok'!$A$2:$I$424,8,FALSE)</f>
        <v>P05808</v>
      </c>
      <c r="O379">
        <f>VLOOKUP(B379,'[2]TABULADOR ok'!$A$2:$I$424,9,FALSE)</f>
        <v>95</v>
      </c>
    </row>
    <row r="380" spans="1:15" x14ac:dyDescent="0.25">
      <c r="A380" s="7">
        <v>2018</v>
      </c>
      <c r="B380" s="8" t="s">
        <v>192</v>
      </c>
      <c r="C380" s="8" t="s">
        <v>193</v>
      </c>
      <c r="D380" s="8" t="s">
        <v>184</v>
      </c>
      <c r="E380" s="9" t="s">
        <v>194</v>
      </c>
      <c r="F380" s="10">
        <v>15622.75</v>
      </c>
      <c r="G380" s="10">
        <v>0</v>
      </c>
      <c r="H380" s="10">
        <v>1091</v>
      </c>
      <c r="I380" s="10">
        <v>50</v>
      </c>
      <c r="J380" s="10">
        <v>295</v>
      </c>
      <c r="K380" s="6">
        <f t="shared" si="5"/>
        <v>17058.75</v>
      </c>
      <c r="M380" t="str">
        <f>VLOOKUP(B380,'[2]TABULADOR ok'!$A$2:$I$424,7,FALSE)</f>
        <v>T9</v>
      </c>
      <c r="N380" t="str">
        <f>VLOOKUP(B380,'[2]TABULADOR ok'!$A$2:$I$424,8,FALSE)</f>
        <v>T03850</v>
      </c>
      <c r="O380">
        <f>VLOOKUP(B380,'[2]TABULADOR ok'!$A$2:$I$424,9,FALSE)</f>
        <v>95</v>
      </c>
    </row>
    <row r="381" spans="1:15" x14ac:dyDescent="0.25">
      <c r="A381" s="7">
        <v>2018</v>
      </c>
      <c r="B381" s="8" t="s">
        <v>195</v>
      </c>
      <c r="C381" s="8" t="s">
        <v>196</v>
      </c>
      <c r="D381" s="8" t="s">
        <v>184</v>
      </c>
      <c r="E381" s="9" t="s">
        <v>197</v>
      </c>
      <c r="F381" s="10">
        <v>15622.75</v>
      </c>
      <c r="G381" s="10">
        <v>0</v>
      </c>
      <c r="H381" s="10">
        <v>1091</v>
      </c>
      <c r="I381" s="10">
        <v>50</v>
      </c>
      <c r="J381" s="10">
        <v>295</v>
      </c>
      <c r="K381" s="6">
        <f t="shared" si="5"/>
        <v>17058.75</v>
      </c>
      <c r="M381" t="str">
        <f>VLOOKUP(B381,'[2]TABULADOR ok'!$A$2:$I$424,7,FALSE)</f>
        <v>T9</v>
      </c>
      <c r="N381" t="str">
        <f>VLOOKUP(B381,'[2]TABULADOR ok'!$A$2:$I$424,8,FALSE)</f>
        <v>T03851</v>
      </c>
      <c r="O381">
        <f>VLOOKUP(B381,'[2]TABULADOR ok'!$A$2:$I$424,9,FALSE)</f>
        <v>95</v>
      </c>
    </row>
    <row r="382" spans="1:15" x14ac:dyDescent="0.25">
      <c r="A382" s="7">
        <v>2018</v>
      </c>
      <c r="B382" s="8" t="s">
        <v>198</v>
      </c>
      <c r="C382" s="8" t="s">
        <v>199</v>
      </c>
      <c r="D382" s="8" t="s">
        <v>184</v>
      </c>
      <c r="E382" s="9" t="s">
        <v>200</v>
      </c>
      <c r="F382" s="10">
        <v>15622.75</v>
      </c>
      <c r="G382" s="10">
        <v>0</v>
      </c>
      <c r="H382" s="10">
        <v>1091</v>
      </c>
      <c r="I382" s="10">
        <v>50</v>
      </c>
      <c r="J382" s="10">
        <v>295</v>
      </c>
      <c r="K382" s="6">
        <f t="shared" si="5"/>
        <v>17058.75</v>
      </c>
      <c r="M382" t="str">
        <f>VLOOKUP(B382,'[2]TABULADOR ok'!$A$2:$I$424,7,FALSE)</f>
        <v>T9</v>
      </c>
      <c r="N382" t="str">
        <f>VLOOKUP(B382,'[2]TABULADOR ok'!$A$2:$I$424,8,FALSE)</f>
        <v>T03855</v>
      </c>
      <c r="O382">
        <f>VLOOKUP(B382,'[2]TABULADOR ok'!$A$2:$I$424,9,FALSE)</f>
        <v>95</v>
      </c>
    </row>
    <row r="383" spans="1:15" x14ac:dyDescent="0.25">
      <c r="A383" s="7">
        <v>2018</v>
      </c>
      <c r="B383" s="8" t="s">
        <v>201</v>
      </c>
      <c r="C383" s="8" t="s">
        <v>202</v>
      </c>
      <c r="D383" s="8" t="s">
        <v>184</v>
      </c>
      <c r="E383" s="9" t="s">
        <v>203</v>
      </c>
      <c r="F383" s="10">
        <v>15622.75</v>
      </c>
      <c r="G383" s="10">
        <v>0</v>
      </c>
      <c r="H383" s="10">
        <v>1091</v>
      </c>
      <c r="I383" s="10">
        <v>50</v>
      </c>
      <c r="J383" s="10">
        <v>295</v>
      </c>
      <c r="K383" s="6">
        <f t="shared" si="5"/>
        <v>17058.75</v>
      </c>
      <c r="M383" t="str">
        <f>VLOOKUP(B383,'[2]TABULADOR ok'!$A$2:$I$424,7,FALSE)</f>
        <v>T9</v>
      </c>
      <c r="N383" t="str">
        <f>VLOOKUP(B383,'[2]TABULADOR ok'!$A$2:$I$424,8,FALSE)</f>
        <v>T04873</v>
      </c>
      <c r="O383">
        <f>VLOOKUP(B383,'[2]TABULADOR ok'!$A$2:$I$424,9,FALSE)</f>
        <v>95</v>
      </c>
    </row>
    <row r="384" spans="1:15" x14ac:dyDescent="0.25">
      <c r="A384" s="7">
        <v>2018</v>
      </c>
      <c r="B384" s="8" t="s">
        <v>204</v>
      </c>
      <c r="C384" s="8" t="s">
        <v>205</v>
      </c>
      <c r="D384" s="8" t="s">
        <v>184</v>
      </c>
      <c r="E384" s="9" t="s">
        <v>206</v>
      </c>
      <c r="F384" s="10">
        <v>15622.75</v>
      </c>
      <c r="G384" s="10">
        <v>0</v>
      </c>
      <c r="H384" s="10">
        <v>1091</v>
      </c>
      <c r="I384" s="10">
        <v>50</v>
      </c>
      <c r="J384" s="10">
        <v>295</v>
      </c>
      <c r="K384" s="6">
        <f t="shared" si="5"/>
        <v>17058.75</v>
      </c>
      <c r="M384" t="str">
        <f>VLOOKUP(B384,'[2]TABULADOR ok'!$A$2:$I$424,7,FALSE)</f>
        <v>T9</v>
      </c>
      <c r="N384" t="str">
        <f>VLOOKUP(B384,'[2]TABULADOR ok'!$A$2:$I$424,8,FALSE)</f>
        <v>T14007</v>
      </c>
      <c r="O384">
        <f>VLOOKUP(B384,'[2]TABULADOR ok'!$A$2:$I$424,9,FALSE)</f>
        <v>95</v>
      </c>
    </row>
    <row r="385" spans="1:15" x14ac:dyDescent="0.25">
      <c r="A385" s="7">
        <v>2018</v>
      </c>
      <c r="B385" s="8" t="s">
        <v>207</v>
      </c>
      <c r="C385" s="8" t="s">
        <v>208</v>
      </c>
      <c r="D385" s="8" t="s">
        <v>184</v>
      </c>
      <c r="E385" s="9" t="s">
        <v>209</v>
      </c>
      <c r="F385" s="10">
        <v>15622.75</v>
      </c>
      <c r="G385" s="10">
        <v>0</v>
      </c>
      <c r="H385" s="10">
        <v>1091</v>
      </c>
      <c r="I385" s="10">
        <v>50</v>
      </c>
      <c r="J385" s="10">
        <v>295</v>
      </c>
      <c r="K385" s="6">
        <f t="shared" si="5"/>
        <v>17058.75</v>
      </c>
      <c r="M385" t="str">
        <f>VLOOKUP(B385,'[2]TABULADOR ok'!$A$2:$I$424,7,FALSE)</f>
        <v>T9</v>
      </c>
      <c r="N385" t="str">
        <f>VLOOKUP(B385,'[2]TABULADOR ok'!$A$2:$I$424,8,FALSE)</f>
        <v>T26806</v>
      </c>
      <c r="O385">
        <f>VLOOKUP(B385,'[2]TABULADOR ok'!$A$2:$I$424,9,FALSE)</f>
        <v>95</v>
      </c>
    </row>
    <row r="386" spans="1:15" x14ac:dyDescent="0.25">
      <c r="A386" s="4">
        <v>2017</v>
      </c>
      <c r="B386" s="11" t="s">
        <v>10</v>
      </c>
      <c r="C386" s="11" t="s">
        <v>11</v>
      </c>
      <c r="D386" s="11" t="s">
        <v>12</v>
      </c>
      <c r="E386" s="12" t="s">
        <v>13</v>
      </c>
      <c r="F386" s="5">
        <v>7550.6</v>
      </c>
      <c r="G386" s="5">
        <v>0</v>
      </c>
      <c r="H386" s="5">
        <v>1091</v>
      </c>
      <c r="I386" s="5">
        <v>50</v>
      </c>
      <c r="J386" s="5">
        <v>295</v>
      </c>
      <c r="K386" s="6">
        <f>SUM(F386:J386)</f>
        <v>8986.6</v>
      </c>
      <c r="M386" t="str">
        <f>VLOOKUP(B386,'[2]TABULADOR ok'!$A$2:$I$424,7,FALSE)</f>
        <v>T1</v>
      </c>
      <c r="N386" t="str">
        <f>VLOOKUP(B386,'[2]TABULADOR ok'!$A$2:$I$424,8,FALSE)</f>
        <v>S01893</v>
      </c>
      <c r="O386">
        <f>VLOOKUP(B386,'[2]TABULADOR ok'!$A$2:$I$424,9,FALSE)</f>
        <v>95</v>
      </c>
    </row>
    <row r="387" spans="1:15" x14ac:dyDescent="0.25">
      <c r="A387" s="4">
        <v>2017</v>
      </c>
      <c r="B387" s="11" t="s">
        <v>14</v>
      </c>
      <c r="C387" s="11" t="s">
        <v>15</v>
      </c>
      <c r="D387" s="11" t="s">
        <v>16</v>
      </c>
      <c r="E387" s="12" t="s">
        <v>17</v>
      </c>
      <c r="F387" s="5">
        <v>7919.05</v>
      </c>
      <c r="G387" s="5">
        <v>0</v>
      </c>
      <c r="H387" s="5">
        <v>1091</v>
      </c>
      <c r="I387" s="5">
        <v>50</v>
      </c>
      <c r="J387" s="5">
        <v>295</v>
      </c>
      <c r="K387" s="6">
        <f t="shared" ref="K387:K449" si="6">SUM(F387:J387)</f>
        <v>9355.0499999999993</v>
      </c>
      <c r="M387" t="str">
        <f>VLOOKUP(B387,'[2]TABULADOR ok'!$A$2:$I$424,7,FALSE)</f>
        <v>T2</v>
      </c>
      <c r="N387" t="str">
        <f>VLOOKUP(B387,'[2]TABULADOR ok'!$A$2:$I$424,8,FALSE)</f>
        <v>S01891</v>
      </c>
      <c r="O387">
        <f>VLOOKUP(B387,'[2]TABULADOR ok'!$A$2:$I$424,9,FALSE)</f>
        <v>95</v>
      </c>
    </row>
    <row r="388" spans="1:15" x14ac:dyDescent="0.25">
      <c r="A388" s="4">
        <v>2017</v>
      </c>
      <c r="B388" s="11" t="s">
        <v>18</v>
      </c>
      <c r="C388" s="11" t="s">
        <v>19</v>
      </c>
      <c r="D388" s="11" t="s">
        <v>16</v>
      </c>
      <c r="E388" s="12" t="s">
        <v>20</v>
      </c>
      <c r="F388" s="5">
        <v>7919.05</v>
      </c>
      <c r="G388" s="5">
        <v>0</v>
      </c>
      <c r="H388" s="5">
        <v>1091</v>
      </c>
      <c r="I388" s="5">
        <v>50</v>
      </c>
      <c r="J388" s="5">
        <v>295</v>
      </c>
      <c r="K388" s="6">
        <f t="shared" si="6"/>
        <v>9355.0499999999993</v>
      </c>
      <c r="M388" t="str">
        <f>VLOOKUP(B388,'[2]TABULADOR ok'!$A$2:$I$424,7,FALSE)</f>
        <v>T2</v>
      </c>
      <c r="N388" t="str">
        <f>VLOOKUP(B388,'[2]TABULADOR ok'!$A$2:$I$424,8,FALSE)</f>
        <v>S03833</v>
      </c>
      <c r="O388">
        <f>VLOOKUP(B388,'[2]TABULADOR ok'!$A$2:$I$424,9,FALSE)</f>
        <v>95</v>
      </c>
    </row>
    <row r="389" spans="1:15" x14ac:dyDescent="0.25">
      <c r="A389" s="4">
        <v>2017</v>
      </c>
      <c r="B389" s="11" t="s">
        <v>21</v>
      </c>
      <c r="C389" s="11" t="s">
        <v>22</v>
      </c>
      <c r="D389" s="11" t="s">
        <v>16</v>
      </c>
      <c r="E389" s="12" t="s">
        <v>23</v>
      </c>
      <c r="F389" s="5">
        <v>7919.05</v>
      </c>
      <c r="G389" s="5">
        <v>0</v>
      </c>
      <c r="H389" s="5">
        <v>1091</v>
      </c>
      <c r="I389" s="5">
        <v>50</v>
      </c>
      <c r="J389" s="5">
        <v>295</v>
      </c>
      <c r="K389" s="6">
        <f t="shared" si="6"/>
        <v>9355.0499999999993</v>
      </c>
      <c r="M389" t="str">
        <f>VLOOKUP(B389,'[2]TABULADOR ok'!$A$2:$I$424,7,FALSE)</f>
        <v>T2</v>
      </c>
      <c r="N389" t="str">
        <f>VLOOKUP(B389,'[2]TABULADOR ok'!$A$2:$I$424,8,FALSE)</f>
        <v>S12091</v>
      </c>
      <c r="O389">
        <f>VLOOKUP(B389,'[2]TABULADOR ok'!$A$2:$I$424,9,FALSE)</f>
        <v>95</v>
      </c>
    </row>
    <row r="390" spans="1:15" x14ac:dyDescent="0.25">
      <c r="A390" s="4">
        <v>2017</v>
      </c>
      <c r="B390" s="11" t="s">
        <v>24</v>
      </c>
      <c r="C390" s="11" t="s">
        <v>24</v>
      </c>
      <c r="D390" s="11" t="s">
        <v>25</v>
      </c>
      <c r="E390" s="12" t="s">
        <v>26</v>
      </c>
      <c r="F390" s="5">
        <v>8287.2999999999993</v>
      </c>
      <c r="G390" s="5">
        <v>0</v>
      </c>
      <c r="H390" s="5">
        <v>1091</v>
      </c>
      <c r="I390" s="5">
        <v>50</v>
      </c>
      <c r="J390" s="5">
        <v>295</v>
      </c>
      <c r="K390" s="6">
        <f t="shared" si="6"/>
        <v>9723.2999999999993</v>
      </c>
      <c r="M390" t="str">
        <f>VLOOKUP(B390,'[2]TABULADOR ok'!$A$2:$I$424,7,FALSE)</f>
        <v>T3</v>
      </c>
      <c r="N390" t="str">
        <f>VLOOKUP(B390,'[2]TABULADOR ok'!$A$2:$I$424,8,FALSE)</f>
        <v>A01023</v>
      </c>
      <c r="O390">
        <f>VLOOKUP(B390,'[2]TABULADOR ok'!$A$2:$I$424,9,FALSE)</f>
        <v>95</v>
      </c>
    </row>
    <row r="391" spans="1:15" x14ac:dyDescent="0.25">
      <c r="A391" s="4">
        <v>2017</v>
      </c>
      <c r="B391" s="11" t="s">
        <v>27</v>
      </c>
      <c r="C391" s="11" t="s">
        <v>28</v>
      </c>
      <c r="D391" s="11" t="s">
        <v>25</v>
      </c>
      <c r="E391" s="12" t="s">
        <v>29</v>
      </c>
      <c r="F391" s="5">
        <v>8287.2999999999993</v>
      </c>
      <c r="G391" s="5">
        <v>0</v>
      </c>
      <c r="H391" s="5">
        <v>1091</v>
      </c>
      <c r="I391" s="5">
        <v>50</v>
      </c>
      <c r="J391" s="5">
        <v>295</v>
      </c>
      <c r="K391" s="6">
        <f t="shared" si="6"/>
        <v>9723.2999999999993</v>
      </c>
      <c r="M391" t="str">
        <f>VLOOKUP(B391,'[2]TABULADOR ok'!$A$2:$I$424,7,FALSE)</f>
        <v>T3</v>
      </c>
      <c r="N391" t="str">
        <f>VLOOKUP(B391,'[2]TABULADOR ok'!$A$2:$I$424,8,FALSE)</f>
        <v>A01040</v>
      </c>
      <c r="O391">
        <f>VLOOKUP(B391,'[2]TABULADOR ok'!$A$2:$I$424,9,FALSE)</f>
        <v>95</v>
      </c>
    </row>
    <row r="392" spans="1:15" x14ac:dyDescent="0.25">
      <c r="A392" s="4">
        <v>2017</v>
      </c>
      <c r="B392" s="11" t="s">
        <v>30</v>
      </c>
      <c r="C392" s="11" t="s">
        <v>31</v>
      </c>
      <c r="D392" s="11" t="s">
        <v>25</v>
      </c>
      <c r="E392" s="12" t="s">
        <v>32</v>
      </c>
      <c r="F392" s="5">
        <v>8287.2999999999993</v>
      </c>
      <c r="G392" s="5">
        <v>0</v>
      </c>
      <c r="H392" s="5">
        <v>1091</v>
      </c>
      <c r="I392" s="5">
        <v>50</v>
      </c>
      <c r="J392" s="5">
        <v>295</v>
      </c>
      <c r="K392" s="6">
        <f t="shared" si="6"/>
        <v>9723.2999999999993</v>
      </c>
      <c r="M392" t="str">
        <f>VLOOKUP(B392,'[2]TABULADOR ok'!$A$2:$I$424,7,FALSE)</f>
        <v>T3</v>
      </c>
      <c r="N392" t="str">
        <f>VLOOKUP(B392,'[2]TABULADOR ok'!$A$2:$I$424,8,FALSE)</f>
        <v>A02813</v>
      </c>
      <c r="O392">
        <f>VLOOKUP(B392,'[2]TABULADOR ok'!$A$2:$I$424,9,FALSE)</f>
        <v>95</v>
      </c>
    </row>
    <row r="393" spans="1:15" x14ac:dyDescent="0.25">
      <c r="A393" s="4">
        <v>2017</v>
      </c>
      <c r="B393" s="11" t="s">
        <v>33</v>
      </c>
      <c r="C393" s="11" t="s">
        <v>34</v>
      </c>
      <c r="D393" s="11" t="s">
        <v>25</v>
      </c>
      <c r="E393" s="12" t="s">
        <v>35</v>
      </c>
      <c r="F393" s="5">
        <v>8287.2999999999993</v>
      </c>
      <c r="G393" s="5">
        <v>0</v>
      </c>
      <c r="H393" s="5">
        <v>1091</v>
      </c>
      <c r="I393" s="5">
        <v>50</v>
      </c>
      <c r="J393" s="5">
        <v>295</v>
      </c>
      <c r="K393" s="6">
        <f t="shared" si="6"/>
        <v>9723.2999999999993</v>
      </c>
      <c r="M393" t="str">
        <f>VLOOKUP(B393,'[2]TABULADOR ok'!$A$2:$I$424,7,FALSE)</f>
        <v>T3</v>
      </c>
      <c r="N393" t="str">
        <f>VLOOKUP(B393,'[2]TABULADOR ok'!$A$2:$I$424,8,FALSE)</f>
        <v>A03832</v>
      </c>
      <c r="O393">
        <f>VLOOKUP(B393,'[2]TABULADOR ok'!$A$2:$I$424,9,FALSE)</f>
        <v>95</v>
      </c>
    </row>
    <row r="394" spans="1:15" x14ac:dyDescent="0.25">
      <c r="A394" s="4">
        <v>2017</v>
      </c>
      <c r="B394" s="11" t="s">
        <v>36</v>
      </c>
      <c r="C394" s="11" t="s">
        <v>37</v>
      </c>
      <c r="D394" s="11" t="s">
        <v>25</v>
      </c>
      <c r="E394" s="12" t="s">
        <v>38</v>
      </c>
      <c r="F394" s="5">
        <v>8287.2999999999993</v>
      </c>
      <c r="G394" s="5">
        <v>0</v>
      </c>
      <c r="H394" s="5">
        <v>1091</v>
      </c>
      <c r="I394" s="5">
        <v>50</v>
      </c>
      <c r="J394" s="5">
        <v>295</v>
      </c>
      <c r="K394" s="6">
        <f t="shared" si="6"/>
        <v>9723.2999999999993</v>
      </c>
      <c r="M394" t="str">
        <f>VLOOKUP(B394,'[2]TABULADOR ok'!$A$2:$I$424,7,FALSE)</f>
        <v>T3</v>
      </c>
      <c r="N394" t="str">
        <f>VLOOKUP(B394,'[2]TABULADOR ok'!$A$2:$I$424,8,FALSE)</f>
        <v>A05012</v>
      </c>
      <c r="O394">
        <f>VLOOKUP(B394,'[2]TABULADOR ok'!$A$2:$I$424,9,FALSE)</f>
        <v>95</v>
      </c>
    </row>
    <row r="395" spans="1:15" x14ac:dyDescent="0.25">
      <c r="A395" s="4">
        <v>2017</v>
      </c>
      <c r="B395" s="11" t="s">
        <v>39</v>
      </c>
      <c r="C395" s="11" t="s">
        <v>40</v>
      </c>
      <c r="D395" s="11" t="s">
        <v>25</v>
      </c>
      <c r="E395" s="12" t="s">
        <v>41</v>
      </c>
      <c r="F395" s="5">
        <v>8287.2999999999993</v>
      </c>
      <c r="G395" s="5">
        <v>0</v>
      </c>
      <c r="H395" s="5">
        <v>1091</v>
      </c>
      <c r="I395" s="5">
        <v>50</v>
      </c>
      <c r="J395" s="5">
        <v>295</v>
      </c>
      <c r="K395" s="6">
        <f t="shared" si="6"/>
        <v>9723.2999999999993</v>
      </c>
      <c r="M395" t="str">
        <f>VLOOKUP(B395,'[2]TABULADOR ok'!$A$2:$I$424,7,FALSE)</f>
        <v>T3</v>
      </c>
      <c r="N395" t="str">
        <f>VLOOKUP(B395,'[2]TABULADOR ok'!$A$2:$I$424,8,FALSE)</f>
        <v>S01890</v>
      </c>
      <c r="O395">
        <f>VLOOKUP(B395,'[2]TABULADOR ok'!$A$2:$I$424,9,FALSE)</f>
        <v>95</v>
      </c>
    </row>
    <row r="396" spans="1:15" x14ac:dyDescent="0.25">
      <c r="A396" s="4">
        <v>2017</v>
      </c>
      <c r="B396" s="11" t="s">
        <v>42</v>
      </c>
      <c r="C396" s="11" t="s">
        <v>43</v>
      </c>
      <c r="D396" s="11" t="s">
        <v>25</v>
      </c>
      <c r="E396" s="12" t="s">
        <v>44</v>
      </c>
      <c r="F396" s="5">
        <v>8287.2999999999993</v>
      </c>
      <c r="G396" s="5">
        <v>0</v>
      </c>
      <c r="H396" s="5">
        <v>1091</v>
      </c>
      <c r="I396" s="5">
        <v>50</v>
      </c>
      <c r="J396" s="5">
        <v>295</v>
      </c>
      <c r="K396" s="6">
        <f t="shared" si="6"/>
        <v>9723.2999999999993</v>
      </c>
      <c r="M396" t="str">
        <f>VLOOKUP(B396,'[2]TABULADOR ok'!$A$2:$I$424,7,FALSE)</f>
        <v>T3</v>
      </c>
      <c r="N396" t="str">
        <f>VLOOKUP(B396,'[2]TABULADOR ok'!$A$2:$I$424,8,FALSE)</f>
        <v>S01894</v>
      </c>
      <c r="O396">
        <f>VLOOKUP(B396,'[2]TABULADOR ok'!$A$2:$I$424,9,FALSE)</f>
        <v>95</v>
      </c>
    </row>
    <row r="397" spans="1:15" x14ac:dyDescent="0.25">
      <c r="A397" s="4">
        <v>2017</v>
      </c>
      <c r="B397" s="11" t="s">
        <v>45</v>
      </c>
      <c r="C397" s="11" t="s">
        <v>46</v>
      </c>
      <c r="D397" s="11" t="s">
        <v>47</v>
      </c>
      <c r="E397" s="12" t="s">
        <v>48</v>
      </c>
      <c r="F397" s="5">
        <v>9097.0499999999993</v>
      </c>
      <c r="G397" s="5">
        <v>0</v>
      </c>
      <c r="H397" s="5">
        <v>1091</v>
      </c>
      <c r="I397" s="5">
        <v>50</v>
      </c>
      <c r="J397" s="5">
        <v>295</v>
      </c>
      <c r="K397" s="6">
        <f t="shared" si="6"/>
        <v>10533.05</v>
      </c>
      <c r="M397" t="str">
        <f>VLOOKUP(B397,'[2]TABULADOR ok'!$A$2:$I$424,7,FALSE)</f>
        <v>T4</v>
      </c>
      <c r="N397" t="str">
        <f>VLOOKUP(B397,'[2]TABULADOR ok'!$A$2:$I$424,8,FALSE)</f>
        <v>A03841</v>
      </c>
      <c r="O397">
        <f>VLOOKUP(B397,'[2]TABULADOR ok'!$A$2:$I$424,9,FALSE)</f>
        <v>95</v>
      </c>
    </row>
    <row r="398" spans="1:15" x14ac:dyDescent="0.25">
      <c r="A398" s="4">
        <v>2017</v>
      </c>
      <c r="B398" s="11" t="s">
        <v>49</v>
      </c>
      <c r="C398" s="11" t="s">
        <v>50</v>
      </c>
      <c r="D398" s="11" t="s">
        <v>47</v>
      </c>
      <c r="E398" s="12" t="s">
        <v>51</v>
      </c>
      <c r="F398" s="5">
        <v>9097.0499999999993</v>
      </c>
      <c r="G398" s="5">
        <v>0</v>
      </c>
      <c r="H398" s="5">
        <v>1091</v>
      </c>
      <c r="I398" s="5">
        <v>50</v>
      </c>
      <c r="J398" s="5">
        <v>295</v>
      </c>
      <c r="K398" s="6">
        <f t="shared" si="6"/>
        <v>10533.05</v>
      </c>
      <c r="M398" t="str">
        <f>VLOOKUP(B398,'[2]TABULADOR ok'!$A$2:$I$424,7,FALSE)</f>
        <v>T4</v>
      </c>
      <c r="N398" t="str">
        <f>VLOOKUP(B398,'[2]TABULADOR ok'!$A$2:$I$424,8,FALSE)</f>
        <v>C02810</v>
      </c>
      <c r="O398">
        <f>VLOOKUP(B398,'[2]TABULADOR ok'!$A$2:$I$424,9,FALSE)</f>
        <v>95</v>
      </c>
    </row>
    <row r="399" spans="1:15" x14ac:dyDescent="0.25">
      <c r="A399" s="4">
        <v>2017</v>
      </c>
      <c r="B399" s="11" t="s">
        <v>52</v>
      </c>
      <c r="C399" s="11" t="s">
        <v>53</v>
      </c>
      <c r="D399" s="11" t="s">
        <v>47</v>
      </c>
      <c r="E399" s="12" t="s">
        <v>54</v>
      </c>
      <c r="F399" s="5">
        <v>9097.0499999999993</v>
      </c>
      <c r="G399" s="5">
        <v>0</v>
      </c>
      <c r="H399" s="5">
        <v>1091</v>
      </c>
      <c r="I399" s="5">
        <v>50</v>
      </c>
      <c r="J399" s="5">
        <v>295</v>
      </c>
      <c r="K399" s="6">
        <f t="shared" si="6"/>
        <v>10533.05</v>
      </c>
      <c r="M399" t="str">
        <f>VLOOKUP(B399,'[2]TABULADOR ok'!$A$2:$I$424,7,FALSE)</f>
        <v>T4</v>
      </c>
      <c r="N399" t="str">
        <f>VLOOKUP(B399,'[2]TABULADOR ok'!$A$2:$I$424,8,FALSE)</f>
        <v>S01889</v>
      </c>
      <c r="O399">
        <f>VLOOKUP(B399,'[2]TABULADOR ok'!$A$2:$I$424,9,FALSE)</f>
        <v>95</v>
      </c>
    </row>
    <row r="400" spans="1:15" x14ac:dyDescent="0.25">
      <c r="A400" s="4">
        <v>2017</v>
      </c>
      <c r="B400" s="11" t="s">
        <v>55</v>
      </c>
      <c r="C400" s="11" t="s">
        <v>56</v>
      </c>
      <c r="D400" s="11" t="s">
        <v>47</v>
      </c>
      <c r="E400" s="12" t="s">
        <v>57</v>
      </c>
      <c r="F400" s="5">
        <v>9097.0499999999993</v>
      </c>
      <c r="G400" s="5">
        <v>0</v>
      </c>
      <c r="H400" s="5">
        <v>1091</v>
      </c>
      <c r="I400" s="5">
        <v>50</v>
      </c>
      <c r="J400" s="5">
        <v>295</v>
      </c>
      <c r="K400" s="6">
        <f t="shared" si="6"/>
        <v>10533.05</v>
      </c>
      <c r="M400" t="str">
        <f>VLOOKUP(B400,'[2]TABULADOR ok'!$A$2:$I$424,7,FALSE)</f>
        <v>T4</v>
      </c>
      <c r="N400" t="str">
        <f>VLOOKUP(B400,'[2]TABULADOR ok'!$A$2:$I$424,8,FALSE)</f>
        <v>S01895</v>
      </c>
      <c r="O400">
        <f>VLOOKUP(B400,'[2]TABULADOR ok'!$A$2:$I$424,9,FALSE)</f>
        <v>95</v>
      </c>
    </row>
    <row r="401" spans="1:15" x14ac:dyDescent="0.25">
      <c r="A401" s="4">
        <v>2017</v>
      </c>
      <c r="B401" s="11" t="s">
        <v>58</v>
      </c>
      <c r="C401" s="11" t="s">
        <v>59</v>
      </c>
      <c r="D401" s="11" t="s">
        <v>47</v>
      </c>
      <c r="E401" s="12" t="s">
        <v>60</v>
      </c>
      <c r="F401" s="5">
        <v>9097.0499999999993</v>
      </c>
      <c r="G401" s="5">
        <v>0</v>
      </c>
      <c r="H401" s="5">
        <v>1091</v>
      </c>
      <c r="I401" s="5">
        <v>50</v>
      </c>
      <c r="J401" s="5">
        <v>295</v>
      </c>
      <c r="K401" s="6">
        <f t="shared" si="6"/>
        <v>10533.05</v>
      </c>
      <c r="M401" t="str">
        <f>VLOOKUP(B401,'[2]TABULADOR ok'!$A$2:$I$424,7,FALSE)</f>
        <v>T4</v>
      </c>
      <c r="N401" t="str">
        <f>VLOOKUP(B401,'[2]TABULADOR ok'!$A$2:$I$424,8,FALSE)</f>
        <v>S03834</v>
      </c>
      <c r="O401">
        <f>VLOOKUP(B401,'[2]TABULADOR ok'!$A$2:$I$424,9,FALSE)</f>
        <v>95</v>
      </c>
    </row>
    <row r="402" spans="1:15" x14ac:dyDescent="0.25">
      <c r="A402" s="4">
        <v>2017</v>
      </c>
      <c r="B402" s="11" t="s">
        <v>61</v>
      </c>
      <c r="C402" s="11" t="s">
        <v>62</v>
      </c>
      <c r="D402" s="11" t="s">
        <v>47</v>
      </c>
      <c r="E402" s="12" t="s">
        <v>63</v>
      </c>
      <c r="F402" s="5">
        <v>9097.0499999999993</v>
      </c>
      <c r="G402" s="5">
        <v>0</v>
      </c>
      <c r="H402" s="5">
        <v>1091</v>
      </c>
      <c r="I402" s="5">
        <v>50</v>
      </c>
      <c r="J402" s="5">
        <v>295</v>
      </c>
      <c r="K402" s="6">
        <f t="shared" si="6"/>
        <v>10533.05</v>
      </c>
      <c r="M402" t="str">
        <f>VLOOKUP(B402,'[2]TABULADOR ok'!$A$2:$I$424,7,FALSE)</f>
        <v>T4</v>
      </c>
      <c r="N402" t="str">
        <f>VLOOKUP(B402,'[2]TABULADOR ok'!$A$2:$I$424,8,FALSE)</f>
        <v>S12020</v>
      </c>
      <c r="O402">
        <f>VLOOKUP(B402,'[2]TABULADOR ok'!$A$2:$I$424,9,FALSE)</f>
        <v>95</v>
      </c>
    </row>
    <row r="403" spans="1:15" x14ac:dyDescent="0.25">
      <c r="A403" s="4">
        <v>2017</v>
      </c>
      <c r="B403" s="11" t="s">
        <v>64</v>
      </c>
      <c r="C403" s="11" t="s">
        <v>65</v>
      </c>
      <c r="D403" s="11" t="s">
        <v>47</v>
      </c>
      <c r="E403" s="12" t="s">
        <v>66</v>
      </c>
      <c r="F403" s="5">
        <v>9097.0499999999993</v>
      </c>
      <c r="G403" s="5">
        <v>0</v>
      </c>
      <c r="H403" s="5">
        <v>1091</v>
      </c>
      <c r="I403" s="5">
        <v>50</v>
      </c>
      <c r="J403" s="5">
        <v>295</v>
      </c>
      <c r="K403" s="6">
        <f t="shared" si="6"/>
        <v>10533.05</v>
      </c>
      <c r="M403" t="str">
        <f>VLOOKUP(B403,'[2]TABULADOR ok'!$A$2:$I$424,7,FALSE)</f>
        <v>T4</v>
      </c>
      <c r="N403" t="str">
        <f>VLOOKUP(B403,'[2]TABULADOR ok'!$A$2:$I$424,8,FALSE)</f>
        <v>S12092</v>
      </c>
      <c r="O403">
        <f>VLOOKUP(B403,'[2]TABULADOR ok'!$A$2:$I$424,9,FALSE)</f>
        <v>95</v>
      </c>
    </row>
    <row r="404" spans="1:15" x14ac:dyDescent="0.25">
      <c r="A404" s="4">
        <v>2017</v>
      </c>
      <c r="B404" s="11" t="s">
        <v>67</v>
      </c>
      <c r="C404" s="11" t="s">
        <v>68</v>
      </c>
      <c r="D404" s="11" t="s">
        <v>47</v>
      </c>
      <c r="E404" s="12" t="s">
        <v>69</v>
      </c>
      <c r="F404" s="5">
        <v>9097.0499999999993</v>
      </c>
      <c r="G404" s="5">
        <v>0</v>
      </c>
      <c r="H404" s="5">
        <v>1091</v>
      </c>
      <c r="I404" s="5">
        <v>50</v>
      </c>
      <c r="J404" s="5">
        <v>295</v>
      </c>
      <c r="K404" s="6">
        <f t="shared" si="6"/>
        <v>10533.05</v>
      </c>
      <c r="M404" t="str">
        <f>VLOOKUP(B404,'[2]TABULADOR ok'!$A$2:$I$424,7,FALSE)</f>
        <v>T4</v>
      </c>
      <c r="N404" t="str">
        <f>VLOOKUP(B404,'[2]TABULADOR ok'!$A$2:$I$424,8,FALSE)</f>
        <v>S12093</v>
      </c>
      <c r="O404">
        <f>VLOOKUP(B404,'[2]TABULADOR ok'!$A$2:$I$424,9,FALSE)</f>
        <v>95</v>
      </c>
    </row>
    <row r="405" spans="1:15" x14ac:dyDescent="0.25">
      <c r="A405" s="4">
        <v>2017</v>
      </c>
      <c r="B405" s="11" t="s">
        <v>70</v>
      </c>
      <c r="C405" s="11" t="s">
        <v>71</v>
      </c>
      <c r="D405" s="11" t="s">
        <v>47</v>
      </c>
      <c r="E405" s="12" t="s">
        <v>72</v>
      </c>
      <c r="F405" s="5">
        <v>9097.0499999999993</v>
      </c>
      <c r="G405" s="5">
        <v>0</v>
      </c>
      <c r="H405" s="5">
        <v>1091</v>
      </c>
      <c r="I405" s="5">
        <v>50</v>
      </c>
      <c r="J405" s="5">
        <v>295</v>
      </c>
      <c r="K405" s="6">
        <f t="shared" si="6"/>
        <v>10533.05</v>
      </c>
      <c r="M405" t="str">
        <f>VLOOKUP(B405,'[2]TABULADOR ok'!$A$2:$I$424,7,FALSE)</f>
        <v>T4</v>
      </c>
      <c r="N405" t="str">
        <f>VLOOKUP(B405,'[2]TABULADOR ok'!$A$2:$I$424,8,FALSE)</f>
        <v>S12096</v>
      </c>
      <c r="O405">
        <f>VLOOKUP(B405,'[2]TABULADOR ok'!$A$2:$I$424,9,FALSE)</f>
        <v>95</v>
      </c>
    </row>
    <row r="406" spans="1:15" x14ac:dyDescent="0.25">
      <c r="A406" s="4">
        <v>2017</v>
      </c>
      <c r="B406" s="11" t="s">
        <v>73</v>
      </c>
      <c r="C406" s="11" t="s">
        <v>74</v>
      </c>
      <c r="D406" s="11" t="s">
        <v>47</v>
      </c>
      <c r="E406" s="12" t="s">
        <v>75</v>
      </c>
      <c r="F406" s="5">
        <v>9097.0499999999993</v>
      </c>
      <c r="G406" s="5">
        <v>0</v>
      </c>
      <c r="H406" s="5">
        <v>1091</v>
      </c>
      <c r="I406" s="5">
        <v>50</v>
      </c>
      <c r="J406" s="5">
        <v>295</v>
      </c>
      <c r="K406" s="6">
        <f t="shared" si="6"/>
        <v>10533.05</v>
      </c>
      <c r="M406" t="str">
        <f>VLOOKUP(B406,'[2]TABULADOR ok'!$A$2:$I$424,7,FALSE)</f>
        <v>T4</v>
      </c>
      <c r="N406" t="str">
        <f>VLOOKUP(B406,'[2]TABULADOR ok'!$A$2:$I$424,8,FALSE)</f>
        <v>S12097</v>
      </c>
      <c r="O406">
        <f>VLOOKUP(B406,'[2]TABULADOR ok'!$A$2:$I$424,9,FALSE)</f>
        <v>95</v>
      </c>
    </row>
    <row r="407" spans="1:15" x14ac:dyDescent="0.25">
      <c r="A407" s="4">
        <v>2017</v>
      </c>
      <c r="B407" s="11" t="s">
        <v>76</v>
      </c>
      <c r="C407" s="11" t="s">
        <v>77</v>
      </c>
      <c r="D407" s="11" t="s">
        <v>47</v>
      </c>
      <c r="E407" s="12" t="s">
        <v>78</v>
      </c>
      <c r="F407" s="5">
        <v>9097.0499999999993</v>
      </c>
      <c r="G407" s="5">
        <v>0</v>
      </c>
      <c r="H407" s="5">
        <v>1091</v>
      </c>
      <c r="I407" s="5">
        <v>50</v>
      </c>
      <c r="J407" s="5">
        <v>295</v>
      </c>
      <c r="K407" s="6">
        <f t="shared" si="6"/>
        <v>10533.05</v>
      </c>
      <c r="M407" t="str">
        <f>VLOOKUP(B407,'[2]TABULADOR ok'!$A$2:$I$424,7,FALSE)</f>
        <v>T4</v>
      </c>
      <c r="N407" t="str">
        <f>VLOOKUP(B407,'[2]TABULADOR ok'!$A$2:$I$424,8,FALSE)</f>
        <v>S12098</v>
      </c>
      <c r="O407">
        <f>VLOOKUP(B407,'[2]TABULADOR ok'!$A$2:$I$424,9,FALSE)</f>
        <v>95</v>
      </c>
    </row>
    <row r="408" spans="1:15" x14ac:dyDescent="0.25">
      <c r="A408" s="4">
        <v>2017</v>
      </c>
      <c r="B408" s="11" t="s">
        <v>79</v>
      </c>
      <c r="C408" s="11" t="s">
        <v>80</v>
      </c>
      <c r="D408" s="11" t="s">
        <v>47</v>
      </c>
      <c r="E408" s="12" t="s">
        <v>81</v>
      </c>
      <c r="F408" s="5">
        <v>9097.0499999999993</v>
      </c>
      <c r="G408" s="5">
        <v>0</v>
      </c>
      <c r="H408" s="5">
        <v>1091</v>
      </c>
      <c r="I408" s="5">
        <v>50</v>
      </c>
      <c r="J408" s="5">
        <v>295</v>
      </c>
      <c r="K408" s="6">
        <f t="shared" si="6"/>
        <v>10533.05</v>
      </c>
      <c r="M408" t="str">
        <f>VLOOKUP(B408,'[2]TABULADOR ok'!$A$2:$I$424,7,FALSE)</f>
        <v>T4</v>
      </c>
      <c r="N408" t="str">
        <f>VLOOKUP(B408,'[2]TABULADOR ok'!$A$2:$I$424,8,FALSE)</f>
        <v>T06824</v>
      </c>
      <c r="O408">
        <f>VLOOKUP(B408,'[2]TABULADOR ok'!$A$2:$I$424,9,FALSE)</f>
        <v>95</v>
      </c>
    </row>
    <row r="409" spans="1:15" x14ac:dyDescent="0.25">
      <c r="A409" s="4">
        <v>2017</v>
      </c>
      <c r="B409" s="11" t="s">
        <v>82</v>
      </c>
      <c r="C409" s="11" t="s">
        <v>83</v>
      </c>
      <c r="D409" s="11" t="s">
        <v>84</v>
      </c>
      <c r="E409" s="12" t="s">
        <v>85</v>
      </c>
      <c r="F409" s="5">
        <v>10011.049999999999</v>
      </c>
      <c r="G409" s="5">
        <v>0</v>
      </c>
      <c r="H409" s="5">
        <v>1091</v>
      </c>
      <c r="I409" s="5">
        <v>50</v>
      </c>
      <c r="J409" s="5">
        <v>295</v>
      </c>
      <c r="K409" s="6">
        <f t="shared" si="6"/>
        <v>11447.05</v>
      </c>
      <c r="M409" t="str">
        <f>VLOOKUP(B409,'[2]TABULADOR ok'!$A$2:$I$424,7,FALSE)</f>
        <v>T5</v>
      </c>
      <c r="N409" t="str">
        <f>VLOOKUP(B409,'[2]TABULADOR ok'!$A$2:$I$424,8,FALSE)</f>
        <v>A01038</v>
      </c>
      <c r="O409">
        <f>VLOOKUP(B409,'[2]TABULADOR ok'!$A$2:$I$424,9,FALSE)</f>
        <v>95</v>
      </c>
    </row>
    <row r="410" spans="1:15" x14ac:dyDescent="0.25">
      <c r="A410" s="4">
        <v>2017</v>
      </c>
      <c r="B410" s="11" t="s">
        <v>86</v>
      </c>
      <c r="C410" s="11" t="s">
        <v>87</v>
      </c>
      <c r="D410" s="11" t="s">
        <v>84</v>
      </c>
      <c r="E410" s="12" t="s">
        <v>88</v>
      </c>
      <c r="F410" s="5">
        <v>10011.049999999999</v>
      </c>
      <c r="G410" s="5">
        <v>0</v>
      </c>
      <c r="H410" s="5">
        <v>1091</v>
      </c>
      <c r="I410" s="5">
        <v>50</v>
      </c>
      <c r="J410" s="5">
        <v>295</v>
      </c>
      <c r="K410" s="6">
        <f t="shared" si="6"/>
        <v>11447.05</v>
      </c>
      <c r="M410" t="str">
        <f>VLOOKUP(B410,'[2]TABULADOR ok'!$A$2:$I$424,7,FALSE)</f>
        <v>T5</v>
      </c>
      <c r="N410" t="str">
        <f>VLOOKUP(B410,'[2]TABULADOR ok'!$A$2:$I$424,8,FALSE)</f>
        <v>A03840</v>
      </c>
      <c r="O410">
        <f>VLOOKUP(B410,'[2]TABULADOR ok'!$A$2:$I$424,9,FALSE)</f>
        <v>95</v>
      </c>
    </row>
    <row r="411" spans="1:15" x14ac:dyDescent="0.25">
      <c r="A411" s="4">
        <v>2017</v>
      </c>
      <c r="B411" s="11" t="s">
        <v>89</v>
      </c>
      <c r="C411" s="11" t="s">
        <v>90</v>
      </c>
      <c r="D411" s="11" t="s">
        <v>84</v>
      </c>
      <c r="E411" s="12" t="s">
        <v>91</v>
      </c>
      <c r="F411" s="5">
        <v>10011.049999999999</v>
      </c>
      <c r="G411" s="5">
        <v>0</v>
      </c>
      <c r="H411" s="5">
        <v>1091</v>
      </c>
      <c r="I411" s="5">
        <v>50</v>
      </c>
      <c r="J411" s="5">
        <v>295</v>
      </c>
      <c r="K411" s="6">
        <f t="shared" si="6"/>
        <v>11447.05</v>
      </c>
      <c r="M411" t="str">
        <f>VLOOKUP(B411,'[2]TABULADOR ok'!$A$2:$I$424,7,FALSE)</f>
        <v>T5</v>
      </c>
      <c r="N411" t="str">
        <f>VLOOKUP(B411,'[2]TABULADOR ok'!$A$2:$I$424,8,FALSE)</f>
        <v>A05011</v>
      </c>
      <c r="O411">
        <f>VLOOKUP(B411,'[2]TABULADOR ok'!$A$2:$I$424,9,FALSE)</f>
        <v>95</v>
      </c>
    </row>
    <row r="412" spans="1:15" x14ac:dyDescent="0.25">
      <c r="A412" s="4">
        <v>2017</v>
      </c>
      <c r="B412" s="11" t="s">
        <v>92</v>
      </c>
      <c r="C412" s="11" t="s">
        <v>93</v>
      </c>
      <c r="D412" s="11" t="s">
        <v>84</v>
      </c>
      <c r="E412" s="12" t="s">
        <v>94</v>
      </c>
      <c r="F412" s="5">
        <v>10011.049999999999</v>
      </c>
      <c r="G412" s="5">
        <v>0</v>
      </c>
      <c r="H412" s="5">
        <v>1091</v>
      </c>
      <c r="I412" s="5">
        <v>50</v>
      </c>
      <c r="J412" s="5">
        <v>295</v>
      </c>
      <c r="K412" s="6">
        <f t="shared" si="6"/>
        <v>11447.05</v>
      </c>
      <c r="M412" t="str">
        <f>VLOOKUP(B412,'[2]TABULADOR ok'!$A$2:$I$424,7,FALSE)</f>
        <v>T5</v>
      </c>
      <c r="N412" t="str">
        <f>VLOOKUP(B412,'[2]TABULADOR ok'!$A$2:$I$424,8,FALSE)</f>
        <v>S01892</v>
      </c>
      <c r="O412">
        <f>VLOOKUP(B412,'[2]TABULADOR ok'!$A$2:$I$424,9,FALSE)</f>
        <v>95</v>
      </c>
    </row>
    <row r="413" spans="1:15" x14ac:dyDescent="0.25">
      <c r="A413" s="4">
        <v>2017</v>
      </c>
      <c r="B413" s="11" t="s">
        <v>95</v>
      </c>
      <c r="C413" s="11" t="s">
        <v>96</v>
      </c>
      <c r="D413" s="11" t="s">
        <v>84</v>
      </c>
      <c r="E413" s="12" t="s">
        <v>97</v>
      </c>
      <c r="F413" s="5">
        <v>10011.049999999999</v>
      </c>
      <c r="G413" s="5">
        <v>0</v>
      </c>
      <c r="H413" s="5">
        <v>1091</v>
      </c>
      <c r="I413" s="5">
        <v>50</v>
      </c>
      <c r="J413" s="5">
        <v>295</v>
      </c>
      <c r="K413" s="6">
        <f t="shared" si="6"/>
        <v>11447.05</v>
      </c>
      <c r="M413" t="str">
        <f>VLOOKUP(B413,'[2]TABULADOR ok'!$A$2:$I$424,7,FALSE)</f>
        <v>T5</v>
      </c>
      <c r="N413" t="str">
        <f>VLOOKUP(B413,'[2]TABULADOR ok'!$A$2:$I$424,8,FALSE)</f>
        <v>S01896</v>
      </c>
      <c r="O413">
        <f>VLOOKUP(B413,'[2]TABULADOR ok'!$A$2:$I$424,9,FALSE)</f>
        <v>95</v>
      </c>
    </row>
    <row r="414" spans="1:15" x14ac:dyDescent="0.25">
      <c r="A414" s="4">
        <v>2017</v>
      </c>
      <c r="B414" s="11" t="s">
        <v>98</v>
      </c>
      <c r="C414" s="11" t="s">
        <v>99</v>
      </c>
      <c r="D414" s="11" t="s">
        <v>84</v>
      </c>
      <c r="E414" s="12" t="s">
        <v>100</v>
      </c>
      <c r="F414" s="5">
        <v>10011.049999999999</v>
      </c>
      <c r="G414" s="5">
        <v>0</v>
      </c>
      <c r="H414" s="5">
        <v>1091</v>
      </c>
      <c r="I414" s="5">
        <v>50</v>
      </c>
      <c r="J414" s="5">
        <v>295</v>
      </c>
      <c r="K414" s="6">
        <f t="shared" si="6"/>
        <v>11447.05</v>
      </c>
      <c r="M414" t="str">
        <f>VLOOKUP(B414,'[2]TABULADOR ok'!$A$2:$I$424,7,FALSE)</f>
        <v>T5</v>
      </c>
      <c r="N414" t="str">
        <f>VLOOKUP(B414,'[2]TABULADOR ok'!$A$2:$I$424,8,FALSE)</f>
        <v>S12011</v>
      </c>
      <c r="O414">
        <f>VLOOKUP(B414,'[2]TABULADOR ok'!$A$2:$I$424,9,FALSE)</f>
        <v>95</v>
      </c>
    </row>
    <row r="415" spans="1:15" x14ac:dyDescent="0.25">
      <c r="A415" s="4">
        <v>2017</v>
      </c>
      <c r="B415" s="11" t="s">
        <v>101</v>
      </c>
      <c r="C415" s="11" t="s">
        <v>102</v>
      </c>
      <c r="D415" s="11" t="s">
        <v>84</v>
      </c>
      <c r="E415" s="12" t="s">
        <v>103</v>
      </c>
      <c r="F415" s="5">
        <v>10011.049999999999</v>
      </c>
      <c r="G415" s="5">
        <v>0</v>
      </c>
      <c r="H415" s="5">
        <v>1091</v>
      </c>
      <c r="I415" s="5">
        <v>50</v>
      </c>
      <c r="J415" s="5">
        <v>295</v>
      </c>
      <c r="K415" s="6">
        <f t="shared" si="6"/>
        <v>11447.05</v>
      </c>
      <c r="M415" t="str">
        <f>VLOOKUP(B415,'[2]TABULADOR ok'!$A$2:$I$424,7,FALSE)</f>
        <v>T5</v>
      </c>
      <c r="N415" t="str">
        <f>VLOOKUP(B415,'[2]TABULADOR ok'!$A$2:$I$424,8,FALSE)</f>
        <v>S12094</v>
      </c>
      <c r="O415">
        <f>VLOOKUP(B415,'[2]TABULADOR ok'!$A$2:$I$424,9,FALSE)</f>
        <v>95</v>
      </c>
    </row>
    <row r="416" spans="1:15" x14ac:dyDescent="0.25">
      <c r="A416" s="4">
        <v>2017</v>
      </c>
      <c r="B416" s="11" t="s">
        <v>104</v>
      </c>
      <c r="C416" s="11" t="s">
        <v>105</v>
      </c>
      <c r="D416" s="11" t="s">
        <v>84</v>
      </c>
      <c r="E416" s="12" t="s">
        <v>106</v>
      </c>
      <c r="F416" s="5">
        <v>10011.049999999999</v>
      </c>
      <c r="G416" s="5">
        <v>0</v>
      </c>
      <c r="H416" s="5">
        <v>1091</v>
      </c>
      <c r="I416" s="5">
        <v>50</v>
      </c>
      <c r="J416" s="5">
        <v>295</v>
      </c>
      <c r="K416" s="6">
        <f t="shared" si="6"/>
        <v>11447.05</v>
      </c>
      <c r="M416" t="str">
        <f>VLOOKUP(B416,'[2]TABULADOR ok'!$A$2:$I$424,7,FALSE)</f>
        <v>T5</v>
      </c>
      <c r="N416" t="str">
        <f>VLOOKUP(B416,'[2]TABULADOR ok'!$A$2:$I$424,8,FALSE)</f>
        <v>T03853</v>
      </c>
      <c r="O416">
        <f>VLOOKUP(B416,'[2]TABULADOR ok'!$A$2:$I$424,9,FALSE)</f>
        <v>95</v>
      </c>
    </row>
    <row r="417" spans="1:15" x14ac:dyDescent="0.25">
      <c r="A417" s="4">
        <v>2017</v>
      </c>
      <c r="B417" s="11" t="s">
        <v>107</v>
      </c>
      <c r="C417" s="11" t="s">
        <v>108</v>
      </c>
      <c r="D417" s="11" t="s">
        <v>84</v>
      </c>
      <c r="E417" s="12" t="s">
        <v>109</v>
      </c>
      <c r="F417" s="5">
        <v>10011.049999999999</v>
      </c>
      <c r="G417" s="5">
        <v>0</v>
      </c>
      <c r="H417" s="5">
        <v>1091</v>
      </c>
      <c r="I417" s="5">
        <v>50</v>
      </c>
      <c r="J417" s="5">
        <v>295</v>
      </c>
      <c r="K417" s="6">
        <f t="shared" si="6"/>
        <v>11447.05</v>
      </c>
      <c r="M417" t="str">
        <f>VLOOKUP(B417,'[2]TABULADOR ok'!$A$2:$I$424,7,FALSE)</f>
        <v>T5</v>
      </c>
      <c r="N417" t="str">
        <f>VLOOKUP(B417,'[2]TABULADOR ok'!$A$2:$I$424,8,FALSE)</f>
        <v>T13818</v>
      </c>
      <c r="O417">
        <f>VLOOKUP(B417,'[2]TABULADOR ok'!$A$2:$I$424,9,FALSE)</f>
        <v>95</v>
      </c>
    </row>
    <row r="418" spans="1:15" x14ac:dyDescent="0.25">
      <c r="A418" s="4">
        <v>2017</v>
      </c>
      <c r="B418" s="11" t="s">
        <v>110</v>
      </c>
      <c r="C418" s="11" t="s">
        <v>111</v>
      </c>
      <c r="D418" s="11" t="s">
        <v>84</v>
      </c>
      <c r="E418" s="12" t="s">
        <v>112</v>
      </c>
      <c r="F418" s="5">
        <v>10011.049999999999</v>
      </c>
      <c r="G418" s="5">
        <v>0</v>
      </c>
      <c r="H418" s="5">
        <v>1091</v>
      </c>
      <c r="I418" s="5">
        <v>50</v>
      </c>
      <c r="J418" s="5">
        <v>295</v>
      </c>
      <c r="K418" s="6">
        <f t="shared" si="6"/>
        <v>11447.05</v>
      </c>
      <c r="M418" t="str">
        <f>VLOOKUP(B418,'[2]TABULADOR ok'!$A$2:$I$424,7,FALSE)</f>
        <v>T5</v>
      </c>
      <c r="N418" t="str">
        <f>VLOOKUP(B418,'[2]TABULADOR ok'!$A$2:$I$424,8,FALSE)</f>
        <v>T14034</v>
      </c>
      <c r="O418">
        <f>VLOOKUP(B418,'[2]TABULADOR ok'!$A$2:$I$424,9,FALSE)</f>
        <v>95</v>
      </c>
    </row>
    <row r="419" spans="1:15" x14ac:dyDescent="0.25">
      <c r="A419" s="4">
        <v>2017</v>
      </c>
      <c r="B419" s="11" t="s">
        <v>113</v>
      </c>
      <c r="C419" s="11" t="s">
        <v>114</v>
      </c>
      <c r="D419" s="11" t="s">
        <v>115</v>
      </c>
      <c r="E419" s="12" t="s">
        <v>116</v>
      </c>
      <c r="F419" s="5">
        <v>11137.6</v>
      </c>
      <c r="G419" s="5">
        <v>0</v>
      </c>
      <c r="H419" s="5">
        <v>1091</v>
      </c>
      <c r="I419" s="5">
        <v>50</v>
      </c>
      <c r="J419" s="5">
        <v>295</v>
      </c>
      <c r="K419" s="6">
        <f t="shared" si="6"/>
        <v>12573.6</v>
      </c>
      <c r="M419" t="str">
        <f>VLOOKUP(B419,'[2]TABULADOR ok'!$A$2:$I$424,7,FALSE)</f>
        <v>T6</v>
      </c>
      <c r="N419" t="str">
        <f>VLOOKUP(B419,'[2]TABULADOR ok'!$A$2:$I$424,8,FALSE)</f>
        <v>A03839</v>
      </c>
      <c r="O419">
        <f>VLOOKUP(B419,'[2]TABULADOR ok'!$A$2:$I$424,9,FALSE)</f>
        <v>95</v>
      </c>
    </row>
    <row r="420" spans="1:15" x14ac:dyDescent="0.25">
      <c r="A420" s="4">
        <v>2017</v>
      </c>
      <c r="B420" s="11" t="s">
        <v>117</v>
      </c>
      <c r="C420" s="11" t="s">
        <v>118</v>
      </c>
      <c r="D420" s="11" t="s">
        <v>115</v>
      </c>
      <c r="E420" s="12" t="s">
        <v>119</v>
      </c>
      <c r="F420" s="5">
        <v>11137.6</v>
      </c>
      <c r="G420" s="5">
        <v>0</v>
      </c>
      <c r="H420" s="5">
        <v>1091</v>
      </c>
      <c r="I420" s="5">
        <v>50</v>
      </c>
      <c r="J420" s="5">
        <v>295</v>
      </c>
      <c r="K420" s="6">
        <f t="shared" si="6"/>
        <v>12573.6</v>
      </c>
      <c r="M420" t="str">
        <f>VLOOKUP(B420,'[2]TABULADOR ok'!$A$2:$I$424,7,FALSE)</f>
        <v>T6</v>
      </c>
      <c r="N420" t="str">
        <f>VLOOKUP(B420,'[2]TABULADOR ok'!$A$2:$I$424,8,FALSE)</f>
        <v>P07027</v>
      </c>
      <c r="O420">
        <f>VLOOKUP(B420,'[2]TABULADOR ok'!$A$2:$I$424,9,FALSE)</f>
        <v>95</v>
      </c>
    </row>
    <row r="421" spans="1:15" x14ac:dyDescent="0.25">
      <c r="A421" s="4">
        <v>2017</v>
      </c>
      <c r="B421" s="11" t="s">
        <v>120</v>
      </c>
      <c r="C421" s="11" t="s">
        <v>121</v>
      </c>
      <c r="D421" s="11" t="s">
        <v>115</v>
      </c>
      <c r="E421" s="12" t="s">
        <v>122</v>
      </c>
      <c r="F421" s="5">
        <v>11137.6</v>
      </c>
      <c r="G421" s="5">
        <v>0</v>
      </c>
      <c r="H421" s="5">
        <v>1091</v>
      </c>
      <c r="I421" s="5">
        <v>50</v>
      </c>
      <c r="J421" s="5">
        <v>295</v>
      </c>
      <c r="K421" s="6">
        <f t="shared" si="6"/>
        <v>12573.6</v>
      </c>
      <c r="M421" t="str">
        <f>VLOOKUP(B421,'[2]TABULADOR ok'!$A$2:$I$424,7,FALSE)</f>
        <v>T6</v>
      </c>
      <c r="N421" t="str">
        <f>VLOOKUP(B421,'[2]TABULADOR ok'!$A$2:$I$424,8,FALSE)</f>
        <v>S03830</v>
      </c>
      <c r="O421">
        <f>VLOOKUP(B421,'[2]TABULADOR ok'!$A$2:$I$424,9,FALSE)</f>
        <v>95</v>
      </c>
    </row>
    <row r="422" spans="1:15" x14ac:dyDescent="0.25">
      <c r="A422" s="4">
        <v>2017</v>
      </c>
      <c r="B422" s="11" t="s">
        <v>123</v>
      </c>
      <c r="C422" s="11" t="s">
        <v>124</v>
      </c>
      <c r="D422" s="11" t="s">
        <v>115</v>
      </c>
      <c r="E422" s="12" t="s">
        <v>125</v>
      </c>
      <c r="F422" s="5">
        <v>11137.6</v>
      </c>
      <c r="G422" s="5">
        <v>0</v>
      </c>
      <c r="H422" s="5">
        <v>1091</v>
      </c>
      <c r="I422" s="5">
        <v>50</v>
      </c>
      <c r="J422" s="5">
        <v>295</v>
      </c>
      <c r="K422" s="6">
        <f t="shared" si="6"/>
        <v>12573.6</v>
      </c>
      <c r="M422" t="str">
        <f>VLOOKUP(B422,'[2]TABULADOR ok'!$A$2:$I$424,7,FALSE)</f>
        <v>T6</v>
      </c>
      <c r="N422" t="str">
        <f>VLOOKUP(B422,'[2]TABULADOR ok'!$A$2:$I$424,8,FALSE)</f>
        <v>S03831</v>
      </c>
      <c r="O422">
        <f>VLOOKUP(B422,'[2]TABULADOR ok'!$A$2:$I$424,9,FALSE)</f>
        <v>95</v>
      </c>
    </row>
    <row r="423" spans="1:15" x14ac:dyDescent="0.25">
      <c r="A423" s="4">
        <v>2017</v>
      </c>
      <c r="B423" s="11" t="s">
        <v>126</v>
      </c>
      <c r="C423" s="11" t="s">
        <v>127</v>
      </c>
      <c r="D423" s="11" t="s">
        <v>115</v>
      </c>
      <c r="E423" s="12" t="s">
        <v>128</v>
      </c>
      <c r="F423" s="5">
        <v>11137.6</v>
      </c>
      <c r="G423" s="5">
        <v>0</v>
      </c>
      <c r="H423" s="5">
        <v>1091</v>
      </c>
      <c r="I423" s="5">
        <v>50</v>
      </c>
      <c r="J423" s="5">
        <v>295</v>
      </c>
      <c r="K423" s="6">
        <f t="shared" si="6"/>
        <v>12573.6</v>
      </c>
      <c r="M423" t="str">
        <f>VLOOKUP(B423,'[2]TABULADOR ok'!$A$2:$I$424,7,FALSE)</f>
        <v>T6</v>
      </c>
      <c r="N423" t="str">
        <f>VLOOKUP(B423,'[2]TABULADOR ok'!$A$2:$I$424,8,FALSE)</f>
        <v>S09807</v>
      </c>
      <c r="O423">
        <f>VLOOKUP(B423,'[2]TABULADOR ok'!$A$2:$I$424,9,FALSE)</f>
        <v>95</v>
      </c>
    </row>
    <row r="424" spans="1:15" x14ac:dyDescent="0.25">
      <c r="A424" s="4">
        <v>2017</v>
      </c>
      <c r="B424" s="11" t="s">
        <v>129</v>
      </c>
      <c r="C424" s="11" t="s">
        <v>130</v>
      </c>
      <c r="D424" s="11" t="s">
        <v>115</v>
      </c>
      <c r="E424" s="12" t="s">
        <v>131</v>
      </c>
      <c r="F424" s="5">
        <v>11137.6</v>
      </c>
      <c r="G424" s="5">
        <v>0</v>
      </c>
      <c r="H424" s="5">
        <v>1091</v>
      </c>
      <c r="I424" s="5">
        <v>50</v>
      </c>
      <c r="J424" s="5">
        <v>295</v>
      </c>
      <c r="K424" s="6">
        <f t="shared" si="6"/>
        <v>12573.6</v>
      </c>
      <c r="M424" t="str">
        <f>VLOOKUP(B424,'[2]TABULADOR ok'!$A$2:$I$424,7,FALSE)</f>
        <v>T6</v>
      </c>
      <c r="N424" t="str">
        <f>VLOOKUP(B424,'[2]TABULADOR ok'!$A$2:$I$424,8,FALSE)</f>
        <v>T06823</v>
      </c>
      <c r="O424">
        <f>VLOOKUP(B424,'[2]TABULADOR ok'!$A$2:$I$424,9,FALSE)</f>
        <v>95</v>
      </c>
    </row>
    <row r="425" spans="1:15" x14ac:dyDescent="0.25">
      <c r="A425" s="4">
        <v>2017</v>
      </c>
      <c r="B425" s="11" t="s">
        <v>132</v>
      </c>
      <c r="C425" s="11" t="s">
        <v>133</v>
      </c>
      <c r="D425" s="11" t="s">
        <v>115</v>
      </c>
      <c r="E425" s="12" t="s">
        <v>134</v>
      </c>
      <c r="F425" s="5">
        <v>11137.6</v>
      </c>
      <c r="G425" s="5">
        <v>0</v>
      </c>
      <c r="H425" s="5">
        <v>1091</v>
      </c>
      <c r="I425" s="5">
        <v>50</v>
      </c>
      <c r="J425" s="5">
        <v>295</v>
      </c>
      <c r="K425" s="6">
        <f t="shared" si="6"/>
        <v>12573.6</v>
      </c>
      <c r="M425" t="str">
        <f>VLOOKUP(B425,'[2]TABULADOR ok'!$A$2:$I$424,7,FALSE)</f>
        <v>T6</v>
      </c>
      <c r="N425" t="str">
        <f>VLOOKUP(B425,'[2]TABULADOR ok'!$A$2:$I$424,8,FALSE)</f>
        <v>T08813</v>
      </c>
      <c r="O425">
        <f>VLOOKUP(B425,'[2]TABULADOR ok'!$A$2:$I$424,9,FALSE)</f>
        <v>95</v>
      </c>
    </row>
    <row r="426" spans="1:15" x14ac:dyDescent="0.25">
      <c r="A426" s="4">
        <v>2017</v>
      </c>
      <c r="B426" s="11" t="s">
        <v>135</v>
      </c>
      <c r="C426" s="11" t="s">
        <v>136</v>
      </c>
      <c r="D426" s="11" t="s">
        <v>137</v>
      </c>
      <c r="E426" s="12" t="s">
        <v>138</v>
      </c>
      <c r="F426" s="5">
        <v>12228.55</v>
      </c>
      <c r="G426" s="5">
        <v>0</v>
      </c>
      <c r="H426" s="5">
        <v>1091</v>
      </c>
      <c r="I426" s="5">
        <v>50</v>
      </c>
      <c r="J426" s="5">
        <v>295</v>
      </c>
      <c r="K426" s="6">
        <f t="shared" si="6"/>
        <v>13664.55</v>
      </c>
      <c r="M426" t="str">
        <f>VLOOKUP(B426,'[2]TABULADOR ok'!$A$2:$I$424,7,FALSE)</f>
        <v>T7</v>
      </c>
      <c r="N426" t="str">
        <f>VLOOKUP(B426,'[2]TABULADOR ok'!$A$2:$I$424,8,FALSE)</f>
        <v>A01037</v>
      </c>
      <c r="O426">
        <f>VLOOKUP(B426,'[2]TABULADOR ok'!$A$2:$I$424,9,FALSE)</f>
        <v>95</v>
      </c>
    </row>
    <row r="427" spans="1:15" x14ac:dyDescent="0.25">
      <c r="A427" s="4">
        <v>2017</v>
      </c>
      <c r="B427" s="11" t="s">
        <v>139</v>
      </c>
      <c r="C427" s="11" t="s">
        <v>140</v>
      </c>
      <c r="D427" s="11" t="s">
        <v>137</v>
      </c>
      <c r="E427" s="12" t="s">
        <v>141</v>
      </c>
      <c r="F427" s="5">
        <v>12228.55</v>
      </c>
      <c r="G427" s="5">
        <v>0</v>
      </c>
      <c r="H427" s="5">
        <v>1091</v>
      </c>
      <c r="I427" s="5">
        <v>50</v>
      </c>
      <c r="J427" s="5">
        <v>295</v>
      </c>
      <c r="K427" s="6">
        <f t="shared" si="6"/>
        <v>13664.55</v>
      </c>
      <c r="M427" t="str">
        <f>VLOOKUP(B427,'[2]TABULADOR ok'!$A$2:$I$424,7,FALSE)</f>
        <v>T7</v>
      </c>
      <c r="N427" t="str">
        <f>VLOOKUP(B427,'[2]TABULADOR ok'!$A$2:$I$424,8,FALSE)</f>
        <v>A02815</v>
      </c>
      <c r="O427">
        <f>VLOOKUP(B427,'[2]TABULADOR ok'!$A$2:$I$424,9,FALSE)</f>
        <v>95</v>
      </c>
    </row>
    <row r="428" spans="1:15" x14ac:dyDescent="0.25">
      <c r="A428" s="4">
        <v>2017</v>
      </c>
      <c r="B428" s="11" t="s">
        <v>142</v>
      </c>
      <c r="C428" s="11" t="s">
        <v>143</v>
      </c>
      <c r="D428" s="11" t="s">
        <v>137</v>
      </c>
      <c r="E428" s="12" t="s">
        <v>144</v>
      </c>
      <c r="F428" s="5">
        <v>12228.55</v>
      </c>
      <c r="G428" s="5">
        <v>0</v>
      </c>
      <c r="H428" s="5">
        <v>1091</v>
      </c>
      <c r="I428" s="5">
        <v>50</v>
      </c>
      <c r="J428" s="5">
        <v>295</v>
      </c>
      <c r="K428" s="6">
        <f t="shared" si="6"/>
        <v>13664.55</v>
      </c>
      <c r="M428" t="str">
        <f>VLOOKUP(B428,'[2]TABULADOR ok'!$A$2:$I$424,7,FALSE)</f>
        <v>T7</v>
      </c>
      <c r="N428" t="str">
        <f>VLOOKUP(B428,'[2]TABULADOR ok'!$A$2:$I$424,8,FALSE)</f>
        <v>C01817</v>
      </c>
      <c r="O428">
        <f>VLOOKUP(B428,'[2]TABULADOR ok'!$A$2:$I$424,9,FALSE)</f>
        <v>95</v>
      </c>
    </row>
    <row r="429" spans="1:15" x14ac:dyDescent="0.25">
      <c r="A429" s="4">
        <v>2017</v>
      </c>
      <c r="B429" s="11" t="s">
        <v>145</v>
      </c>
      <c r="C429" s="11" t="s">
        <v>146</v>
      </c>
      <c r="D429" s="11" t="s">
        <v>137</v>
      </c>
      <c r="E429" s="12" t="s">
        <v>147</v>
      </c>
      <c r="F429" s="5">
        <v>12228.55</v>
      </c>
      <c r="G429" s="5">
        <v>0</v>
      </c>
      <c r="H429" s="5">
        <v>1091</v>
      </c>
      <c r="I429" s="5">
        <v>50</v>
      </c>
      <c r="J429" s="5">
        <v>295</v>
      </c>
      <c r="K429" s="6">
        <f t="shared" si="6"/>
        <v>13664.55</v>
      </c>
      <c r="M429" t="str">
        <f>VLOOKUP(B429,'[2]TABULADOR ok'!$A$2:$I$424,7,FALSE)</f>
        <v>T7</v>
      </c>
      <c r="N429" t="str">
        <f>VLOOKUP(B429,'[2]TABULADOR ok'!$A$2:$I$424,8,FALSE)</f>
        <v>P07026</v>
      </c>
      <c r="O429">
        <f>VLOOKUP(B429,'[2]TABULADOR ok'!$A$2:$I$424,9,FALSE)</f>
        <v>95</v>
      </c>
    </row>
    <row r="430" spans="1:15" x14ac:dyDescent="0.25">
      <c r="A430" s="4">
        <v>2017</v>
      </c>
      <c r="B430" s="11" t="s">
        <v>148</v>
      </c>
      <c r="C430" s="11" t="s">
        <v>149</v>
      </c>
      <c r="D430" s="11" t="s">
        <v>137</v>
      </c>
      <c r="E430" s="12" t="s">
        <v>150</v>
      </c>
      <c r="F430" s="5">
        <v>12228.55</v>
      </c>
      <c r="G430" s="5">
        <v>0</v>
      </c>
      <c r="H430" s="5">
        <v>1091</v>
      </c>
      <c r="I430" s="5">
        <v>50</v>
      </c>
      <c r="J430" s="5">
        <v>295</v>
      </c>
      <c r="K430" s="6">
        <f t="shared" si="6"/>
        <v>13664.55</v>
      </c>
      <c r="M430" t="str">
        <f>VLOOKUP(B430,'[2]TABULADOR ok'!$A$2:$I$424,7,FALSE)</f>
        <v>T7</v>
      </c>
      <c r="N430" t="str">
        <f>VLOOKUP(B430,'[2]TABULADOR ok'!$A$2:$I$424,8,FALSE)</f>
        <v>T05822</v>
      </c>
      <c r="O430">
        <f>VLOOKUP(B430,'[2]TABULADOR ok'!$A$2:$I$424,9,FALSE)</f>
        <v>95</v>
      </c>
    </row>
    <row r="431" spans="1:15" x14ac:dyDescent="0.25">
      <c r="A431" s="4">
        <v>2017</v>
      </c>
      <c r="B431" s="11" t="s">
        <v>151</v>
      </c>
      <c r="C431" s="11" t="s">
        <v>152</v>
      </c>
      <c r="D431" s="11" t="s">
        <v>137</v>
      </c>
      <c r="E431" s="12" t="s">
        <v>153</v>
      </c>
      <c r="F431" s="5">
        <v>12228.55</v>
      </c>
      <c r="G431" s="5">
        <v>0</v>
      </c>
      <c r="H431" s="5">
        <v>1091</v>
      </c>
      <c r="I431" s="5">
        <v>50</v>
      </c>
      <c r="J431" s="5">
        <v>295</v>
      </c>
      <c r="K431" s="6">
        <f t="shared" si="6"/>
        <v>13664.55</v>
      </c>
      <c r="M431" t="str">
        <f>VLOOKUP(B431,'[2]TABULADOR ok'!$A$2:$I$424,7,FALSE)</f>
        <v>T7</v>
      </c>
      <c r="N431" t="str">
        <f>VLOOKUP(B431,'[2]TABULADOR ok'!$A$2:$I$424,8,FALSE)</f>
        <v>T09001</v>
      </c>
      <c r="O431">
        <f>VLOOKUP(B431,'[2]TABULADOR ok'!$A$2:$I$424,9,FALSE)</f>
        <v>95</v>
      </c>
    </row>
    <row r="432" spans="1:15" x14ac:dyDescent="0.25">
      <c r="A432" s="4">
        <v>2017</v>
      </c>
      <c r="B432" s="11" t="s">
        <v>154</v>
      </c>
      <c r="C432" s="11" t="s">
        <v>155</v>
      </c>
      <c r="D432" s="11" t="s">
        <v>137</v>
      </c>
      <c r="E432" s="12" t="s">
        <v>156</v>
      </c>
      <c r="F432" s="5">
        <v>12228.55</v>
      </c>
      <c r="G432" s="5">
        <v>0</v>
      </c>
      <c r="H432" s="5">
        <v>1091</v>
      </c>
      <c r="I432" s="5">
        <v>50</v>
      </c>
      <c r="J432" s="5">
        <v>295</v>
      </c>
      <c r="K432" s="6">
        <f t="shared" si="6"/>
        <v>13664.55</v>
      </c>
      <c r="M432" t="str">
        <f>VLOOKUP(B432,'[2]TABULADOR ok'!$A$2:$I$424,7,FALSE)</f>
        <v>T7</v>
      </c>
      <c r="N432" t="str">
        <f>VLOOKUP(B432,'[2]TABULADOR ok'!$A$2:$I$424,8,FALSE)</f>
        <v>T13817</v>
      </c>
      <c r="O432">
        <f>VLOOKUP(B432,'[2]TABULADOR ok'!$A$2:$I$424,9,FALSE)</f>
        <v>95</v>
      </c>
    </row>
    <row r="433" spans="1:15" x14ac:dyDescent="0.25">
      <c r="A433" s="4">
        <v>2017</v>
      </c>
      <c r="B433" s="11" t="s">
        <v>157</v>
      </c>
      <c r="C433" s="11" t="s">
        <v>158</v>
      </c>
      <c r="D433" s="11" t="s">
        <v>137</v>
      </c>
      <c r="E433" s="12" t="s">
        <v>159</v>
      </c>
      <c r="F433" s="5">
        <v>12228.55</v>
      </c>
      <c r="G433" s="5">
        <v>0</v>
      </c>
      <c r="H433" s="5">
        <v>1091</v>
      </c>
      <c r="I433" s="5">
        <v>50</v>
      </c>
      <c r="J433" s="5">
        <v>295</v>
      </c>
      <c r="K433" s="6">
        <f t="shared" si="6"/>
        <v>13664.55</v>
      </c>
      <c r="M433" t="str">
        <f>VLOOKUP(B433,'[2]TABULADOR ok'!$A$2:$I$424,7,FALSE)</f>
        <v>T7</v>
      </c>
      <c r="N433" t="str">
        <f>VLOOKUP(B433,'[2]TABULADOR ok'!$A$2:$I$424,8,FALSE)</f>
        <v>T14019</v>
      </c>
      <c r="O433">
        <f>VLOOKUP(B433,'[2]TABULADOR ok'!$A$2:$I$424,9,FALSE)</f>
        <v>95</v>
      </c>
    </row>
    <row r="434" spans="1:15" x14ac:dyDescent="0.25">
      <c r="A434" s="4">
        <v>2017</v>
      </c>
      <c r="B434" s="11" t="s">
        <v>160</v>
      </c>
      <c r="C434" s="11" t="s">
        <v>161</v>
      </c>
      <c r="D434" s="11" t="s">
        <v>137</v>
      </c>
      <c r="E434" s="12" t="s">
        <v>162</v>
      </c>
      <c r="F434" s="5">
        <v>12228.55</v>
      </c>
      <c r="G434" s="5">
        <v>0</v>
      </c>
      <c r="H434" s="5">
        <v>1091</v>
      </c>
      <c r="I434" s="5">
        <v>50</v>
      </c>
      <c r="J434" s="5">
        <v>295</v>
      </c>
      <c r="K434" s="6">
        <f t="shared" si="6"/>
        <v>13664.55</v>
      </c>
      <c r="M434" t="str">
        <f>VLOOKUP(B434,'[2]TABULADOR ok'!$A$2:$I$424,7,FALSE)</f>
        <v>T7</v>
      </c>
      <c r="N434" t="str">
        <f>VLOOKUP(B434,'[2]TABULADOR ok'!$A$2:$I$424,8,FALSE)</f>
        <v>T16817</v>
      </c>
      <c r="O434">
        <f>VLOOKUP(B434,'[2]TABULADOR ok'!$A$2:$I$424,9,FALSE)</f>
        <v>95</v>
      </c>
    </row>
    <row r="435" spans="1:15" x14ac:dyDescent="0.25">
      <c r="A435" s="4">
        <v>2017</v>
      </c>
      <c r="B435" s="11" t="s">
        <v>163</v>
      </c>
      <c r="C435" s="11" t="s">
        <v>164</v>
      </c>
      <c r="D435" s="11" t="s">
        <v>165</v>
      </c>
      <c r="E435" s="12" t="s">
        <v>166</v>
      </c>
      <c r="F435" s="5">
        <v>13511.75</v>
      </c>
      <c r="G435" s="5">
        <v>0</v>
      </c>
      <c r="H435" s="5">
        <v>1091</v>
      </c>
      <c r="I435" s="5">
        <v>50</v>
      </c>
      <c r="J435" s="5">
        <v>295</v>
      </c>
      <c r="K435" s="6">
        <f t="shared" si="6"/>
        <v>14947.75</v>
      </c>
      <c r="M435" t="str">
        <f>VLOOKUP(B435,'[2]TABULADOR ok'!$A$2:$I$424,7,FALSE)</f>
        <v>T8</v>
      </c>
      <c r="N435" t="str">
        <f>VLOOKUP(B435,'[2]TABULADOR ok'!$A$2:$I$424,8,FALSE)</f>
        <v>A01036</v>
      </c>
      <c r="O435">
        <f>VLOOKUP(B435,'[2]TABULADOR ok'!$A$2:$I$424,9,FALSE)</f>
        <v>95</v>
      </c>
    </row>
    <row r="436" spans="1:15" x14ac:dyDescent="0.25">
      <c r="A436" s="4">
        <v>2017</v>
      </c>
      <c r="B436" s="11" t="s">
        <v>167</v>
      </c>
      <c r="C436" s="11" t="s">
        <v>168</v>
      </c>
      <c r="D436" s="11" t="s">
        <v>165</v>
      </c>
      <c r="E436" s="12" t="s">
        <v>169</v>
      </c>
      <c r="F436" s="5">
        <v>13511.75</v>
      </c>
      <c r="G436" s="5">
        <v>0</v>
      </c>
      <c r="H436" s="5">
        <v>1091</v>
      </c>
      <c r="I436" s="5">
        <v>50</v>
      </c>
      <c r="J436" s="5">
        <v>295</v>
      </c>
      <c r="K436" s="6">
        <f t="shared" si="6"/>
        <v>14947.75</v>
      </c>
      <c r="M436" t="str">
        <f>VLOOKUP(B436,'[2]TABULADOR ok'!$A$2:$I$424,7,FALSE)</f>
        <v>T8</v>
      </c>
      <c r="N436" t="str">
        <f>VLOOKUP(B436,'[2]TABULADOR ok'!$A$2:$I$424,8,FALSE)</f>
        <v>A06009</v>
      </c>
      <c r="O436">
        <f>VLOOKUP(B436,'[2]TABULADOR ok'!$A$2:$I$424,9,FALSE)</f>
        <v>95</v>
      </c>
    </row>
    <row r="437" spans="1:15" x14ac:dyDescent="0.25">
      <c r="A437" s="4">
        <v>2017</v>
      </c>
      <c r="B437" s="11" t="s">
        <v>170</v>
      </c>
      <c r="C437" s="11" t="s">
        <v>171</v>
      </c>
      <c r="D437" s="11" t="s">
        <v>165</v>
      </c>
      <c r="E437" s="12" t="s">
        <v>172</v>
      </c>
      <c r="F437" s="5">
        <v>13511.75</v>
      </c>
      <c r="G437" s="5">
        <v>0</v>
      </c>
      <c r="H437" s="5">
        <v>1091</v>
      </c>
      <c r="I437" s="5">
        <v>50</v>
      </c>
      <c r="J437" s="5">
        <v>295</v>
      </c>
      <c r="K437" s="6">
        <f t="shared" si="6"/>
        <v>14947.75</v>
      </c>
      <c r="M437" t="str">
        <f>VLOOKUP(B437,'[2]TABULADOR ok'!$A$2:$I$424,7,FALSE)</f>
        <v>T8</v>
      </c>
      <c r="N437" t="str">
        <f>VLOOKUP(B437,'[2]TABULADOR ok'!$A$2:$I$424,8,FALSE)</f>
        <v>C01818</v>
      </c>
      <c r="O437">
        <f>VLOOKUP(B437,'[2]TABULADOR ok'!$A$2:$I$424,9,FALSE)</f>
        <v>95</v>
      </c>
    </row>
    <row r="438" spans="1:15" x14ac:dyDescent="0.25">
      <c r="A438" s="4">
        <v>2017</v>
      </c>
      <c r="B438" s="11" t="s">
        <v>173</v>
      </c>
      <c r="C438" s="11" t="s">
        <v>174</v>
      </c>
      <c r="D438" s="11" t="s">
        <v>165</v>
      </c>
      <c r="E438" s="12" t="s">
        <v>175</v>
      </c>
      <c r="F438" s="5">
        <v>13511.75</v>
      </c>
      <c r="G438" s="5">
        <v>0</v>
      </c>
      <c r="H438" s="5">
        <v>1091</v>
      </c>
      <c r="I438" s="5">
        <v>50</v>
      </c>
      <c r="J438" s="5">
        <v>295</v>
      </c>
      <c r="K438" s="6">
        <f t="shared" si="6"/>
        <v>14947.75</v>
      </c>
      <c r="M438" t="str">
        <f>VLOOKUP(B438,'[2]TABULADOR ok'!$A$2:$I$424,7,FALSE)</f>
        <v>T8</v>
      </c>
      <c r="N438" t="str">
        <f>VLOOKUP(B438,'[2]TABULADOR ok'!$A$2:$I$424,8,FALSE)</f>
        <v>T03854</v>
      </c>
      <c r="O438">
        <f>VLOOKUP(B438,'[2]TABULADOR ok'!$A$2:$I$424,9,FALSE)</f>
        <v>95</v>
      </c>
    </row>
    <row r="439" spans="1:15" x14ac:dyDescent="0.25">
      <c r="A439" s="4">
        <v>2017</v>
      </c>
      <c r="B439" s="11" t="s">
        <v>176</v>
      </c>
      <c r="C439" s="11" t="s">
        <v>177</v>
      </c>
      <c r="D439" s="11" t="s">
        <v>165</v>
      </c>
      <c r="E439" s="12" t="s">
        <v>178</v>
      </c>
      <c r="F439" s="5">
        <v>13511.75</v>
      </c>
      <c r="G439" s="5">
        <v>0</v>
      </c>
      <c r="H439" s="5">
        <v>1091</v>
      </c>
      <c r="I439" s="5">
        <v>50</v>
      </c>
      <c r="J439" s="5">
        <v>295</v>
      </c>
      <c r="K439" s="6">
        <f t="shared" si="6"/>
        <v>14947.75</v>
      </c>
      <c r="M439" t="str">
        <f>VLOOKUP(B439,'[2]TABULADOR ok'!$A$2:$I$424,7,FALSE)</f>
        <v>T8</v>
      </c>
      <c r="N439" t="str">
        <f>VLOOKUP(B439,'[2]TABULADOR ok'!$A$2:$I$424,8,FALSE)</f>
        <v>T04875</v>
      </c>
      <c r="O439">
        <f>VLOOKUP(B439,'[2]TABULADOR ok'!$A$2:$I$424,9,FALSE)</f>
        <v>95</v>
      </c>
    </row>
    <row r="440" spans="1:15" x14ac:dyDescent="0.25">
      <c r="A440" s="4">
        <v>2017</v>
      </c>
      <c r="B440" s="11" t="s">
        <v>179</v>
      </c>
      <c r="C440" s="11" t="s">
        <v>180</v>
      </c>
      <c r="D440" s="11" t="s">
        <v>165</v>
      </c>
      <c r="E440" s="12" t="s">
        <v>181</v>
      </c>
      <c r="F440" s="5">
        <v>13511.75</v>
      </c>
      <c r="G440" s="5">
        <v>0</v>
      </c>
      <c r="H440" s="5">
        <v>1091</v>
      </c>
      <c r="I440" s="5">
        <v>50</v>
      </c>
      <c r="J440" s="5">
        <v>295</v>
      </c>
      <c r="K440" s="6">
        <f t="shared" si="6"/>
        <v>14947.75</v>
      </c>
      <c r="M440" t="str">
        <f>VLOOKUP(B440,'[2]TABULADOR ok'!$A$2:$I$424,7,FALSE)</f>
        <v>T8</v>
      </c>
      <c r="N440" t="str">
        <f>VLOOKUP(B440,'[2]TABULADOR ok'!$A$2:$I$424,8,FALSE)</f>
        <v>T08812</v>
      </c>
      <c r="O440">
        <f>VLOOKUP(B440,'[2]TABULADOR ok'!$A$2:$I$424,9,FALSE)</f>
        <v>95</v>
      </c>
    </row>
    <row r="441" spans="1:15" x14ac:dyDescent="0.25">
      <c r="A441" s="4">
        <v>2017</v>
      </c>
      <c r="B441" s="11" t="s">
        <v>182</v>
      </c>
      <c r="C441" s="11" t="s">
        <v>183</v>
      </c>
      <c r="D441" s="11" t="s">
        <v>184</v>
      </c>
      <c r="E441" s="12" t="s">
        <v>185</v>
      </c>
      <c r="F441" s="5">
        <v>15109.05</v>
      </c>
      <c r="G441" s="5">
        <v>0</v>
      </c>
      <c r="H441" s="5">
        <v>1091</v>
      </c>
      <c r="I441" s="5">
        <v>50</v>
      </c>
      <c r="J441" s="5">
        <v>295</v>
      </c>
      <c r="K441" s="6">
        <f t="shared" si="6"/>
        <v>16545.05</v>
      </c>
      <c r="M441" t="str">
        <f>VLOOKUP(B441,'[2]TABULADOR ok'!$A$2:$I$424,7,FALSE)</f>
        <v>T9</v>
      </c>
      <c r="N441" t="str">
        <f>VLOOKUP(B441,'[2]TABULADOR ok'!$A$2:$I$424,8,FALSE)</f>
        <v>P02809</v>
      </c>
      <c r="O441">
        <f>VLOOKUP(B441,'[2]TABULADOR ok'!$A$2:$I$424,9,FALSE)</f>
        <v>95</v>
      </c>
    </row>
    <row r="442" spans="1:15" x14ac:dyDescent="0.25">
      <c r="A442" s="4">
        <v>2017</v>
      </c>
      <c r="B442" s="11" t="s">
        <v>186</v>
      </c>
      <c r="C442" s="11" t="s">
        <v>187</v>
      </c>
      <c r="D442" s="11" t="s">
        <v>184</v>
      </c>
      <c r="E442" s="12" t="s">
        <v>188</v>
      </c>
      <c r="F442" s="5">
        <v>15109.05</v>
      </c>
      <c r="G442" s="5">
        <v>0</v>
      </c>
      <c r="H442" s="5">
        <v>1091</v>
      </c>
      <c r="I442" s="5">
        <v>50</v>
      </c>
      <c r="J442" s="5">
        <v>295</v>
      </c>
      <c r="K442" s="6">
        <f t="shared" si="6"/>
        <v>16545.05</v>
      </c>
      <c r="M442" t="str">
        <f>VLOOKUP(B442,'[2]TABULADOR ok'!$A$2:$I$424,7,FALSE)</f>
        <v>T9</v>
      </c>
      <c r="N442" t="str">
        <f>VLOOKUP(B442,'[2]TABULADOR ok'!$A$2:$I$424,8,FALSE)</f>
        <v>P04806</v>
      </c>
      <c r="O442">
        <f>VLOOKUP(B442,'[2]TABULADOR ok'!$A$2:$I$424,9,FALSE)</f>
        <v>95</v>
      </c>
    </row>
    <row r="443" spans="1:15" x14ac:dyDescent="0.25">
      <c r="A443" s="4">
        <v>2017</v>
      </c>
      <c r="B443" s="11" t="s">
        <v>189</v>
      </c>
      <c r="C443" s="11" t="s">
        <v>190</v>
      </c>
      <c r="D443" s="11" t="s">
        <v>184</v>
      </c>
      <c r="E443" s="12" t="s">
        <v>191</v>
      </c>
      <c r="F443" s="5">
        <v>15109.05</v>
      </c>
      <c r="G443" s="5">
        <v>0</v>
      </c>
      <c r="H443" s="5">
        <v>1091</v>
      </c>
      <c r="I443" s="5">
        <v>50</v>
      </c>
      <c r="J443" s="5">
        <v>295</v>
      </c>
      <c r="K443" s="6">
        <f t="shared" si="6"/>
        <v>16545.05</v>
      </c>
      <c r="M443" t="str">
        <f>VLOOKUP(B443,'[2]TABULADOR ok'!$A$2:$I$424,7,FALSE)</f>
        <v>T9</v>
      </c>
      <c r="N443" t="str">
        <f>VLOOKUP(B443,'[2]TABULADOR ok'!$A$2:$I$424,8,FALSE)</f>
        <v>P05808</v>
      </c>
      <c r="O443">
        <f>VLOOKUP(B443,'[2]TABULADOR ok'!$A$2:$I$424,9,FALSE)</f>
        <v>95</v>
      </c>
    </row>
    <row r="444" spans="1:15" x14ac:dyDescent="0.25">
      <c r="A444" s="4">
        <v>2017</v>
      </c>
      <c r="B444" s="11" t="s">
        <v>192</v>
      </c>
      <c r="C444" s="11" t="s">
        <v>193</v>
      </c>
      <c r="D444" s="11" t="s">
        <v>184</v>
      </c>
      <c r="E444" s="12" t="s">
        <v>194</v>
      </c>
      <c r="F444" s="5">
        <v>15109.05</v>
      </c>
      <c r="G444" s="5">
        <v>0</v>
      </c>
      <c r="H444" s="5">
        <v>1091</v>
      </c>
      <c r="I444" s="5">
        <v>50</v>
      </c>
      <c r="J444" s="5">
        <v>295</v>
      </c>
      <c r="K444" s="6">
        <f t="shared" si="6"/>
        <v>16545.05</v>
      </c>
      <c r="M444" t="str">
        <f>VLOOKUP(B444,'[2]TABULADOR ok'!$A$2:$I$424,7,FALSE)</f>
        <v>T9</v>
      </c>
      <c r="N444" t="str">
        <f>VLOOKUP(B444,'[2]TABULADOR ok'!$A$2:$I$424,8,FALSE)</f>
        <v>T03850</v>
      </c>
      <c r="O444">
        <f>VLOOKUP(B444,'[2]TABULADOR ok'!$A$2:$I$424,9,FALSE)</f>
        <v>95</v>
      </c>
    </row>
    <row r="445" spans="1:15" x14ac:dyDescent="0.25">
      <c r="A445" s="4">
        <v>2017</v>
      </c>
      <c r="B445" s="11" t="s">
        <v>195</v>
      </c>
      <c r="C445" s="11" t="s">
        <v>196</v>
      </c>
      <c r="D445" s="11" t="s">
        <v>184</v>
      </c>
      <c r="E445" s="12" t="s">
        <v>197</v>
      </c>
      <c r="F445" s="5">
        <v>15109.05</v>
      </c>
      <c r="G445" s="5">
        <v>0</v>
      </c>
      <c r="H445" s="5">
        <v>1091</v>
      </c>
      <c r="I445" s="5">
        <v>50</v>
      </c>
      <c r="J445" s="5">
        <v>295</v>
      </c>
      <c r="K445" s="6">
        <f t="shared" si="6"/>
        <v>16545.05</v>
      </c>
      <c r="M445" t="str">
        <f>VLOOKUP(B445,'[2]TABULADOR ok'!$A$2:$I$424,7,FALSE)</f>
        <v>T9</v>
      </c>
      <c r="N445" t="str">
        <f>VLOOKUP(B445,'[2]TABULADOR ok'!$A$2:$I$424,8,FALSE)</f>
        <v>T03851</v>
      </c>
      <c r="O445">
        <f>VLOOKUP(B445,'[2]TABULADOR ok'!$A$2:$I$424,9,FALSE)</f>
        <v>95</v>
      </c>
    </row>
    <row r="446" spans="1:15" x14ac:dyDescent="0.25">
      <c r="A446" s="4">
        <v>2017</v>
      </c>
      <c r="B446" s="11" t="s">
        <v>198</v>
      </c>
      <c r="C446" s="11" t="s">
        <v>199</v>
      </c>
      <c r="D446" s="11" t="s">
        <v>184</v>
      </c>
      <c r="E446" s="12" t="s">
        <v>200</v>
      </c>
      <c r="F446" s="5">
        <v>15109.05</v>
      </c>
      <c r="G446" s="5">
        <v>0</v>
      </c>
      <c r="H446" s="5">
        <v>1091</v>
      </c>
      <c r="I446" s="5">
        <v>50</v>
      </c>
      <c r="J446" s="5">
        <v>295</v>
      </c>
      <c r="K446" s="6">
        <f t="shared" si="6"/>
        <v>16545.05</v>
      </c>
      <c r="M446" t="str">
        <f>VLOOKUP(B446,'[2]TABULADOR ok'!$A$2:$I$424,7,FALSE)</f>
        <v>T9</v>
      </c>
      <c r="N446" t="str">
        <f>VLOOKUP(B446,'[2]TABULADOR ok'!$A$2:$I$424,8,FALSE)</f>
        <v>T03855</v>
      </c>
      <c r="O446">
        <f>VLOOKUP(B446,'[2]TABULADOR ok'!$A$2:$I$424,9,FALSE)</f>
        <v>95</v>
      </c>
    </row>
    <row r="447" spans="1:15" x14ac:dyDescent="0.25">
      <c r="A447" s="4">
        <v>2017</v>
      </c>
      <c r="B447" s="11" t="s">
        <v>201</v>
      </c>
      <c r="C447" s="11" t="s">
        <v>202</v>
      </c>
      <c r="D447" s="11" t="s">
        <v>184</v>
      </c>
      <c r="E447" s="12" t="s">
        <v>203</v>
      </c>
      <c r="F447" s="5">
        <v>15109.05</v>
      </c>
      <c r="G447" s="5">
        <v>0</v>
      </c>
      <c r="H447" s="5">
        <v>1091</v>
      </c>
      <c r="I447" s="5">
        <v>50</v>
      </c>
      <c r="J447" s="5">
        <v>295</v>
      </c>
      <c r="K447" s="6">
        <f t="shared" si="6"/>
        <v>16545.05</v>
      </c>
      <c r="M447" t="str">
        <f>VLOOKUP(B447,'[2]TABULADOR ok'!$A$2:$I$424,7,FALSE)</f>
        <v>T9</v>
      </c>
      <c r="N447" t="str">
        <f>VLOOKUP(B447,'[2]TABULADOR ok'!$A$2:$I$424,8,FALSE)</f>
        <v>T04873</v>
      </c>
      <c r="O447">
        <f>VLOOKUP(B447,'[2]TABULADOR ok'!$A$2:$I$424,9,FALSE)</f>
        <v>95</v>
      </c>
    </row>
    <row r="448" spans="1:15" x14ac:dyDescent="0.25">
      <c r="A448" s="4">
        <v>2017</v>
      </c>
      <c r="B448" s="11" t="s">
        <v>204</v>
      </c>
      <c r="C448" s="11" t="s">
        <v>205</v>
      </c>
      <c r="D448" s="11" t="s">
        <v>184</v>
      </c>
      <c r="E448" s="12" t="s">
        <v>206</v>
      </c>
      <c r="F448" s="5">
        <v>15109.05</v>
      </c>
      <c r="G448" s="5">
        <v>0</v>
      </c>
      <c r="H448" s="5">
        <v>1091</v>
      </c>
      <c r="I448" s="5">
        <v>50</v>
      </c>
      <c r="J448" s="5">
        <v>295</v>
      </c>
      <c r="K448" s="6">
        <f t="shared" si="6"/>
        <v>16545.05</v>
      </c>
      <c r="M448" t="str">
        <f>VLOOKUP(B448,'[2]TABULADOR ok'!$A$2:$I$424,7,FALSE)</f>
        <v>T9</v>
      </c>
      <c r="N448" t="str">
        <f>VLOOKUP(B448,'[2]TABULADOR ok'!$A$2:$I$424,8,FALSE)</f>
        <v>T14007</v>
      </c>
      <c r="O448">
        <f>VLOOKUP(B448,'[2]TABULADOR ok'!$A$2:$I$424,9,FALSE)</f>
        <v>95</v>
      </c>
    </row>
    <row r="449" spans="1:15" x14ac:dyDescent="0.25">
      <c r="A449" s="4">
        <v>2017</v>
      </c>
      <c r="B449" s="11" t="s">
        <v>207</v>
      </c>
      <c r="C449" s="11" t="s">
        <v>208</v>
      </c>
      <c r="D449" s="11" t="s">
        <v>184</v>
      </c>
      <c r="E449" s="12" t="s">
        <v>209</v>
      </c>
      <c r="F449" s="5">
        <v>15109.05</v>
      </c>
      <c r="G449" s="5">
        <v>0</v>
      </c>
      <c r="H449" s="5">
        <v>1091</v>
      </c>
      <c r="I449" s="5">
        <v>50</v>
      </c>
      <c r="J449" s="5">
        <v>295</v>
      </c>
      <c r="K449" s="6">
        <f t="shared" si="6"/>
        <v>16545.05</v>
      </c>
      <c r="M449" t="str">
        <f>VLOOKUP(B449,'[2]TABULADOR ok'!$A$2:$I$424,7,FALSE)</f>
        <v>T9</v>
      </c>
      <c r="N449" t="str">
        <f>VLOOKUP(B449,'[2]TABULADOR ok'!$A$2:$I$424,8,FALSE)</f>
        <v>T26806</v>
      </c>
      <c r="O449">
        <f>VLOOKUP(B449,'[2]TABULADOR ok'!$A$2:$I$424,9,FALSE)</f>
        <v>95</v>
      </c>
    </row>
    <row r="450" spans="1:15" x14ac:dyDescent="0.25">
      <c r="A450" s="7">
        <v>2016</v>
      </c>
      <c r="B450" s="8" t="s">
        <v>10</v>
      </c>
      <c r="C450" s="8" t="s">
        <v>11</v>
      </c>
      <c r="D450" s="8" t="s">
        <v>12</v>
      </c>
      <c r="E450" s="9" t="s">
        <v>13</v>
      </c>
      <c r="F450" s="10">
        <v>7325</v>
      </c>
      <c r="G450" s="10">
        <v>0</v>
      </c>
      <c r="H450" s="10">
        <v>931</v>
      </c>
      <c r="I450" s="10">
        <v>40</v>
      </c>
      <c r="J450" s="10">
        <v>266</v>
      </c>
      <c r="K450" s="6">
        <f>SUM(F450:J450)</f>
        <v>8562</v>
      </c>
      <c r="M450" t="str">
        <f>VLOOKUP(B450,'[2]TABULADOR ok'!$A$2:$I$424,7,FALSE)</f>
        <v>T1</v>
      </c>
      <c r="N450" t="str">
        <f>VLOOKUP(B450,'[2]TABULADOR ok'!$A$2:$I$424,8,FALSE)</f>
        <v>S01893</v>
      </c>
      <c r="O450">
        <f>VLOOKUP(B450,'[2]TABULADOR ok'!$A$2:$I$424,9,FALSE)</f>
        <v>95</v>
      </c>
    </row>
    <row r="451" spans="1:15" x14ac:dyDescent="0.25">
      <c r="A451" s="7">
        <v>2016</v>
      </c>
      <c r="B451" s="8" t="s">
        <v>14</v>
      </c>
      <c r="C451" s="8" t="s">
        <v>15</v>
      </c>
      <c r="D451" s="8" t="s">
        <v>16</v>
      </c>
      <c r="E451" s="9" t="s">
        <v>17</v>
      </c>
      <c r="F451" s="10">
        <v>7682.45</v>
      </c>
      <c r="G451" s="10">
        <v>0</v>
      </c>
      <c r="H451" s="10">
        <v>931</v>
      </c>
      <c r="I451" s="10">
        <v>40</v>
      </c>
      <c r="J451" s="10">
        <v>266</v>
      </c>
      <c r="K451" s="6">
        <f t="shared" ref="K451:K513" si="7">SUM(F451:J451)</f>
        <v>8919.4500000000007</v>
      </c>
      <c r="M451" t="str">
        <f>VLOOKUP(B451,'[2]TABULADOR ok'!$A$2:$I$424,7,FALSE)</f>
        <v>T2</v>
      </c>
      <c r="N451" t="str">
        <f>VLOOKUP(B451,'[2]TABULADOR ok'!$A$2:$I$424,8,FALSE)</f>
        <v>S01891</v>
      </c>
      <c r="O451">
        <f>VLOOKUP(B451,'[2]TABULADOR ok'!$A$2:$I$424,9,FALSE)</f>
        <v>95</v>
      </c>
    </row>
    <row r="452" spans="1:15" x14ac:dyDescent="0.25">
      <c r="A452" s="7">
        <v>2016</v>
      </c>
      <c r="B452" s="8" t="s">
        <v>18</v>
      </c>
      <c r="C452" s="8" t="s">
        <v>19</v>
      </c>
      <c r="D452" s="8" t="s">
        <v>16</v>
      </c>
      <c r="E452" s="9" t="s">
        <v>20</v>
      </c>
      <c r="F452" s="10">
        <v>7682.45</v>
      </c>
      <c r="G452" s="10">
        <v>0</v>
      </c>
      <c r="H452" s="10">
        <v>931</v>
      </c>
      <c r="I452" s="10">
        <v>40</v>
      </c>
      <c r="J452" s="10">
        <v>266</v>
      </c>
      <c r="K452" s="6">
        <f t="shared" si="7"/>
        <v>8919.4500000000007</v>
      </c>
      <c r="M452" t="str">
        <f>VLOOKUP(B452,'[2]TABULADOR ok'!$A$2:$I$424,7,FALSE)</f>
        <v>T2</v>
      </c>
      <c r="N452" t="str">
        <f>VLOOKUP(B452,'[2]TABULADOR ok'!$A$2:$I$424,8,FALSE)</f>
        <v>S03833</v>
      </c>
      <c r="O452">
        <f>VLOOKUP(B452,'[2]TABULADOR ok'!$A$2:$I$424,9,FALSE)</f>
        <v>95</v>
      </c>
    </row>
    <row r="453" spans="1:15" x14ac:dyDescent="0.25">
      <c r="A453" s="7">
        <v>2016</v>
      </c>
      <c r="B453" s="8" t="s">
        <v>21</v>
      </c>
      <c r="C453" s="8" t="s">
        <v>22</v>
      </c>
      <c r="D453" s="8" t="s">
        <v>16</v>
      </c>
      <c r="E453" s="9" t="s">
        <v>23</v>
      </c>
      <c r="F453" s="10">
        <v>7682.45</v>
      </c>
      <c r="G453" s="10">
        <v>0</v>
      </c>
      <c r="H453" s="10">
        <v>931</v>
      </c>
      <c r="I453" s="10">
        <v>40</v>
      </c>
      <c r="J453" s="10">
        <v>266</v>
      </c>
      <c r="K453" s="6">
        <f t="shared" si="7"/>
        <v>8919.4500000000007</v>
      </c>
      <c r="M453" t="str">
        <f>VLOOKUP(B453,'[2]TABULADOR ok'!$A$2:$I$424,7,FALSE)</f>
        <v>T2</v>
      </c>
      <c r="N453" t="str">
        <f>VLOOKUP(B453,'[2]TABULADOR ok'!$A$2:$I$424,8,FALSE)</f>
        <v>S12091</v>
      </c>
      <c r="O453">
        <f>VLOOKUP(B453,'[2]TABULADOR ok'!$A$2:$I$424,9,FALSE)</f>
        <v>95</v>
      </c>
    </row>
    <row r="454" spans="1:15" x14ac:dyDescent="0.25">
      <c r="A454" s="7">
        <v>2016</v>
      </c>
      <c r="B454" s="8" t="s">
        <v>24</v>
      </c>
      <c r="C454" s="8" t="s">
        <v>24</v>
      </c>
      <c r="D454" s="8" t="s">
        <v>25</v>
      </c>
      <c r="E454" s="9" t="s">
        <v>26</v>
      </c>
      <c r="F454" s="10">
        <v>8039.7</v>
      </c>
      <c r="G454" s="10">
        <v>0</v>
      </c>
      <c r="H454" s="10">
        <v>931</v>
      </c>
      <c r="I454" s="10">
        <v>40</v>
      </c>
      <c r="J454" s="10">
        <v>266</v>
      </c>
      <c r="K454" s="6">
        <f t="shared" si="7"/>
        <v>9276.7000000000007</v>
      </c>
      <c r="M454" t="str">
        <f>VLOOKUP(B454,'[2]TABULADOR ok'!$A$2:$I$424,7,FALSE)</f>
        <v>T3</v>
      </c>
      <c r="N454" t="str">
        <f>VLOOKUP(B454,'[2]TABULADOR ok'!$A$2:$I$424,8,FALSE)</f>
        <v>A01023</v>
      </c>
      <c r="O454">
        <f>VLOOKUP(B454,'[2]TABULADOR ok'!$A$2:$I$424,9,FALSE)</f>
        <v>95</v>
      </c>
    </row>
    <row r="455" spans="1:15" x14ac:dyDescent="0.25">
      <c r="A455" s="7">
        <v>2016</v>
      </c>
      <c r="B455" s="8" t="s">
        <v>27</v>
      </c>
      <c r="C455" s="8" t="s">
        <v>28</v>
      </c>
      <c r="D455" s="8" t="s">
        <v>25</v>
      </c>
      <c r="E455" s="9" t="s">
        <v>29</v>
      </c>
      <c r="F455" s="10">
        <v>8039.7</v>
      </c>
      <c r="G455" s="10">
        <v>0</v>
      </c>
      <c r="H455" s="10">
        <v>931</v>
      </c>
      <c r="I455" s="10">
        <v>40</v>
      </c>
      <c r="J455" s="10">
        <v>266</v>
      </c>
      <c r="K455" s="6">
        <f t="shared" si="7"/>
        <v>9276.7000000000007</v>
      </c>
      <c r="M455" t="str">
        <f>VLOOKUP(B455,'[2]TABULADOR ok'!$A$2:$I$424,7,FALSE)</f>
        <v>T3</v>
      </c>
      <c r="N455" t="str">
        <f>VLOOKUP(B455,'[2]TABULADOR ok'!$A$2:$I$424,8,FALSE)</f>
        <v>A01040</v>
      </c>
      <c r="O455">
        <f>VLOOKUP(B455,'[2]TABULADOR ok'!$A$2:$I$424,9,FALSE)</f>
        <v>95</v>
      </c>
    </row>
    <row r="456" spans="1:15" x14ac:dyDescent="0.25">
      <c r="A456" s="7">
        <v>2016</v>
      </c>
      <c r="B456" s="8" t="s">
        <v>30</v>
      </c>
      <c r="C456" s="8" t="s">
        <v>31</v>
      </c>
      <c r="D456" s="8" t="s">
        <v>25</v>
      </c>
      <c r="E456" s="9" t="s">
        <v>32</v>
      </c>
      <c r="F456" s="10">
        <v>8039.7</v>
      </c>
      <c r="G456" s="10">
        <v>0</v>
      </c>
      <c r="H456" s="10">
        <v>931</v>
      </c>
      <c r="I456" s="10">
        <v>40</v>
      </c>
      <c r="J456" s="10">
        <v>266</v>
      </c>
      <c r="K456" s="6">
        <f t="shared" si="7"/>
        <v>9276.7000000000007</v>
      </c>
      <c r="M456" t="str">
        <f>VLOOKUP(B456,'[2]TABULADOR ok'!$A$2:$I$424,7,FALSE)</f>
        <v>T3</v>
      </c>
      <c r="N456" t="str">
        <f>VLOOKUP(B456,'[2]TABULADOR ok'!$A$2:$I$424,8,FALSE)</f>
        <v>A02813</v>
      </c>
      <c r="O456">
        <f>VLOOKUP(B456,'[2]TABULADOR ok'!$A$2:$I$424,9,FALSE)</f>
        <v>95</v>
      </c>
    </row>
    <row r="457" spans="1:15" x14ac:dyDescent="0.25">
      <c r="A457" s="7">
        <v>2016</v>
      </c>
      <c r="B457" s="8" t="s">
        <v>33</v>
      </c>
      <c r="C457" s="8" t="s">
        <v>34</v>
      </c>
      <c r="D457" s="8" t="s">
        <v>25</v>
      </c>
      <c r="E457" s="9" t="s">
        <v>35</v>
      </c>
      <c r="F457" s="10">
        <v>8039.7</v>
      </c>
      <c r="G457" s="10">
        <v>0</v>
      </c>
      <c r="H457" s="10">
        <v>931</v>
      </c>
      <c r="I457" s="10">
        <v>40</v>
      </c>
      <c r="J457" s="10">
        <v>266</v>
      </c>
      <c r="K457" s="6">
        <f t="shared" si="7"/>
        <v>9276.7000000000007</v>
      </c>
      <c r="M457" t="str">
        <f>VLOOKUP(B457,'[2]TABULADOR ok'!$A$2:$I$424,7,FALSE)</f>
        <v>T3</v>
      </c>
      <c r="N457" t="str">
        <f>VLOOKUP(B457,'[2]TABULADOR ok'!$A$2:$I$424,8,FALSE)</f>
        <v>A03832</v>
      </c>
      <c r="O457">
        <f>VLOOKUP(B457,'[2]TABULADOR ok'!$A$2:$I$424,9,FALSE)</f>
        <v>95</v>
      </c>
    </row>
    <row r="458" spans="1:15" x14ac:dyDescent="0.25">
      <c r="A458" s="7">
        <v>2016</v>
      </c>
      <c r="B458" s="8" t="s">
        <v>36</v>
      </c>
      <c r="C458" s="8" t="s">
        <v>37</v>
      </c>
      <c r="D458" s="8" t="s">
        <v>25</v>
      </c>
      <c r="E458" s="9" t="s">
        <v>38</v>
      </c>
      <c r="F458" s="10">
        <v>8039.7</v>
      </c>
      <c r="G458" s="10">
        <v>0</v>
      </c>
      <c r="H458" s="10">
        <v>931</v>
      </c>
      <c r="I458" s="10">
        <v>40</v>
      </c>
      <c r="J458" s="10">
        <v>266</v>
      </c>
      <c r="K458" s="6">
        <f t="shared" si="7"/>
        <v>9276.7000000000007</v>
      </c>
      <c r="M458" t="str">
        <f>VLOOKUP(B458,'[2]TABULADOR ok'!$A$2:$I$424,7,FALSE)</f>
        <v>T3</v>
      </c>
      <c r="N458" t="str">
        <f>VLOOKUP(B458,'[2]TABULADOR ok'!$A$2:$I$424,8,FALSE)</f>
        <v>A05012</v>
      </c>
      <c r="O458">
        <f>VLOOKUP(B458,'[2]TABULADOR ok'!$A$2:$I$424,9,FALSE)</f>
        <v>95</v>
      </c>
    </row>
    <row r="459" spans="1:15" x14ac:dyDescent="0.25">
      <c r="A459" s="7">
        <v>2016</v>
      </c>
      <c r="B459" s="8" t="s">
        <v>39</v>
      </c>
      <c r="C459" s="8" t="s">
        <v>40</v>
      </c>
      <c r="D459" s="8" t="s">
        <v>25</v>
      </c>
      <c r="E459" s="9" t="s">
        <v>41</v>
      </c>
      <c r="F459" s="10">
        <v>8039.7</v>
      </c>
      <c r="G459" s="10">
        <v>0</v>
      </c>
      <c r="H459" s="10">
        <v>931</v>
      </c>
      <c r="I459" s="10">
        <v>40</v>
      </c>
      <c r="J459" s="10">
        <v>266</v>
      </c>
      <c r="K459" s="6">
        <f t="shared" si="7"/>
        <v>9276.7000000000007</v>
      </c>
      <c r="M459" t="str">
        <f>VLOOKUP(B459,'[2]TABULADOR ok'!$A$2:$I$424,7,FALSE)</f>
        <v>T3</v>
      </c>
      <c r="N459" t="str">
        <f>VLOOKUP(B459,'[2]TABULADOR ok'!$A$2:$I$424,8,FALSE)</f>
        <v>S01890</v>
      </c>
      <c r="O459">
        <f>VLOOKUP(B459,'[2]TABULADOR ok'!$A$2:$I$424,9,FALSE)</f>
        <v>95</v>
      </c>
    </row>
    <row r="460" spans="1:15" x14ac:dyDescent="0.25">
      <c r="A460" s="7">
        <v>2016</v>
      </c>
      <c r="B460" s="8" t="s">
        <v>42</v>
      </c>
      <c r="C460" s="8" t="s">
        <v>43</v>
      </c>
      <c r="D460" s="8" t="s">
        <v>25</v>
      </c>
      <c r="E460" s="9" t="s">
        <v>44</v>
      </c>
      <c r="F460" s="10">
        <v>8039.7</v>
      </c>
      <c r="G460" s="10">
        <v>0</v>
      </c>
      <c r="H460" s="10">
        <v>931</v>
      </c>
      <c r="I460" s="10">
        <v>40</v>
      </c>
      <c r="J460" s="10">
        <v>266</v>
      </c>
      <c r="K460" s="6">
        <f t="shared" si="7"/>
        <v>9276.7000000000007</v>
      </c>
      <c r="M460" t="str">
        <f>VLOOKUP(B460,'[2]TABULADOR ok'!$A$2:$I$424,7,FALSE)</f>
        <v>T3</v>
      </c>
      <c r="N460" t="str">
        <f>VLOOKUP(B460,'[2]TABULADOR ok'!$A$2:$I$424,8,FALSE)</f>
        <v>S01894</v>
      </c>
      <c r="O460">
        <f>VLOOKUP(B460,'[2]TABULADOR ok'!$A$2:$I$424,9,FALSE)</f>
        <v>95</v>
      </c>
    </row>
    <row r="461" spans="1:15" x14ac:dyDescent="0.25">
      <c r="A461" s="7">
        <v>2016</v>
      </c>
      <c r="B461" s="8" t="s">
        <v>45</v>
      </c>
      <c r="C461" s="8" t="s">
        <v>46</v>
      </c>
      <c r="D461" s="8" t="s">
        <v>47</v>
      </c>
      <c r="E461" s="9" t="s">
        <v>48</v>
      </c>
      <c r="F461" s="10">
        <v>8825.25</v>
      </c>
      <c r="G461" s="10">
        <v>0</v>
      </c>
      <c r="H461" s="10">
        <v>931</v>
      </c>
      <c r="I461" s="10">
        <v>40</v>
      </c>
      <c r="J461" s="10">
        <v>266</v>
      </c>
      <c r="K461" s="6">
        <f t="shared" si="7"/>
        <v>10062.25</v>
      </c>
      <c r="M461" t="str">
        <f>VLOOKUP(B461,'[2]TABULADOR ok'!$A$2:$I$424,7,FALSE)</f>
        <v>T4</v>
      </c>
      <c r="N461" t="str">
        <f>VLOOKUP(B461,'[2]TABULADOR ok'!$A$2:$I$424,8,FALSE)</f>
        <v>A03841</v>
      </c>
      <c r="O461">
        <f>VLOOKUP(B461,'[2]TABULADOR ok'!$A$2:$I$424,9,FALSE)</f>
        <v>95</v>
      </c>
    </row>
    <row r="462" spans="1:15" x14ac:dyDescent="0.25">
      <c r="A462" s="7">
        <v>2016</v>
      </c>
      <c r="B462" s="8" t="s">
        <v>49</v>
      </c>
      <c r="C462" s="8" t="s">
        <v>50</v>
      </c>
      <c r="D462" s="8" t="s">
        <v>47</v>
      </c>
      <c r="E462" s="9" t="s">
        <v>51</v>
      </c>
      <c r="F462" s="10">
        <v>8825.25</v>
      </c>
      <c r="G462" s="10">
        <v>0</v>
      </c>
      <c r="H462" s="10">
        <v>931</v>
      </c>
      <c r="I462" s="10">
        <v>40</v>
      </c>
      <c r="J462" s="10">
        <v>266</v>
      </c>
      <c r="K462" s="6">
        <f t="shared" si="7"/>
        <v>10062.25</v>
      </c>
      <c r="M462" t="str">
        <f>VLOOKUP(B462,'[2]TABULADOR ok'!$A$2:$I$424,7,FALSE)</f>
        <v>T4</v>
      </c>
      <c r="N462" t="str">
        <f>VLOOKUP(B462,'[2]TABULADOR ok'!$A$2:$I$424,8,FALSE)</f>
        <v>C02810</v>
      </c>
      <c r="O462">
        <f>VLOOKUP(B462,'[2]TABULADOR ok'!$A$2:$I$424,9,FALSE)</f>
        <v>95</v>
      </c>
    </row>
    <row r="463" spans="1:15" x14ac:dyDescent="0.25">
      <c r="A463" s="7">
        <v>2016</v>
      </c>
      <c r="B463" s="8" t="s">
        <v>52</v>
      </c>
      <c r="C463" s="8" t="s">
        <v>53</v>
      </c>
      <c r="D463" s="8" t="s">
        <v>47</v>
      </c>
      <c r="E463" s="9" t="s">
        <v>54</v>
      </c>
      <c r="F463" s="10">
        <v>8825.25</v>
      </c>
      <c r="G463" s="10">
        <v>0</v>
      </c>
      <c r="H463" s="10">
        <v>931</v>
      </c>
      <c r="I463" s="10">
        <v>40</v>
      </c>
      <c r="J463" s="10">
        <v>266</v>
      </c>
      <c r="K463" s="6">
        <f t="shared" si="7"/>
        <v>10062.25</v>
      </c>
      <c r="M463" t="str">
        <f>VLOOKUP(B463,'[2]TABULADOR ok'!$A$2:$I$424,7,FALSE)</f>
        <v>T4</v>
      </c>
      <c r="N463" t="str">
        <f>VLOOKUP(B463,'[2]TABULADOR ok'!$A$2:$I$424,8,FALSE)</f>
        <v>S01889</v>
      </c>
      <c r="O463">
        <f>VLOOKUP(B463,'[2]TABULADOR ok'!$A$2:$I$424,9,FALSE)</f>
        <v>95</v>
      </c>
    </row>
    <row r="464" spans="1:15" x14ac:dyDescent="0.25">
      <c r="A464" s="7">
        <v>2016</v>
      </c>
      <c r="B464" s="8" t="s">
        <v>55</v>
      </c>
      <c r="C464" s="8" t="s">
        <v>56</v>
      </c>
      <c r="D464" s="8" t="s">
        <v>47</v>
      </c>
      <c r="E464" s="9" t="s">
        <v>57</v>
      </c>
      <c r="F464" s="10">
        <v>8825.25</v>
      </c>
      <c r="G464" s="10">
        <v>0</v>
      </c>
      <c r="H464" s="10">
        <v>931</v>
      </c>
      <c r="I464" s="10">
        <v>40</v>
      </c>
      <c r="J464" s="10">
        <v>266</v>
      </c>
      <c r="K464" s="6">
        <f t="shared" si="7"/>
        <v>10062.25</v>
      </c>
      <c r="M464" t="str">
        <f>VLOOKUP(B464,'[2]TABULADOR ok'!$A$2:$I$424,7,FALSE)</f>
        <v>T4</v>
      </c>
      <c r="N464" t="str">
        <f>VLOOKUP(B464,'[2]TABULADOR ok'!$A$2:$I$424,8,FALSE)</f>
        <v>S01895</v>
      </c>
      <c r="O464">
        <f>VLOOKUP(B464,'[2]TABULADOR ok'!$A$2:$I$424,9,FALSE)</f>
        <v>95</v>
      </c>
    </row>
    <row r="465" spans="1:15" x14ac:dyDescent="0.25">
      <c r="A465" s="7">
        <v>2016</v>
      </c>
      <c r="B465" s="8" t="s">
        <v>58</v>
      </c>
      <c r="C465" s="8" t="s">
        <v>59</v>
      </c>
      <c r="D465" s="8" t="s">
        <v>47</v>
      </c>
      <c r="E465" s="9" t="s">
        <v>60</v>
      </c>
      <c r="F465" s="10">
        <v>8825.25</v>
      </c>
      <c r="G465" s="10">
        <v>0</v>
      </c>
      <c r="H465" s="10">
        <v>931</v>
      </c>
      <c r="I465" s="10">
        <v>40</v>
      </c>
      <c r="J465" s="10">
        <v>266</v>
      </c>
      <c r="K465" s="6">
        <f t="shared" si="7"/>
        <v>10062.25</v>
      </c>
      <c r="M465" t="str">
        <f>VLOOKUP(B465,'[2]TABULADOR ok'!$A$2:$I$424,7,FALSE)</f>
        <v>T4</v>
      </c>
      <c r="N465" t="str">
        <f>VLOOKUP(B465,'[2]TABULADOR ok'!$A$2:$I$424,8,FALSE)</f>
        <v>S03834</v>
      </c>
      <c r="O465">
        <f>VLOOKUP(B465,'[2]TABULADOR ok'!$A$2:$I$424,9,FALSE)</f>
        <v>95</v>
      </c>
    </row>
    <row r="466" spans="1:15" x14ac:dyDescent="0.25">
      <c r="A466" s="7">
        <v>2016</v>
      </c>
      <c r="B466" s="8" t="s">
        <v>61</v>
      </c>
      <c r="C466" s="8" t="s">
        <v>62</v>
      </c>
      <c r="D466" s="8" t="s">
        <v>47</v>
      </c>
      <c r="E466" s="9" t="s">
        <v>63</v>
      </c>
      <c r="F466" s="10">
        <v>8825.25</v>
      </c>
      <c r="G466" s="10">
        <v>0</v>
      </c>
      <c r="H466" s="10">
        <v>931</v>
      </c>
      <c r="I466" s="10">
        <v>40</v>
      </c>
      <c r="J466" s="10">
        <v>266</v>
      </c>
      <c r="K466" s="6">
        <f t="shared" si="7"/>
        <v>10062.25</v>
      </c>
      <c r="M466" t="str">
        <f>VLOOKUP(B466,'[2]TABULADOR ok'!$A$2:$I$424,7,FALSE)</f>
        <v>T4</v>
      </c>
      <c r="N466" t="str">
        <f>VLOOKUP(B466,'[2]TABULADOR ok'!$A$2:$I$424,8,FALSE)</f>
        <v>S12020</v>
      </c>
      <c r="O466">
        <f>VLOOKUP(B466,'[2]TABULADOR ok'!$A$2:$I$424,9,FALSE)</f>
        <v>95</v>
      </c>
    </row>
    <row r="467" spans="1:15" x14ac:dyDescent="0.25">
      <c r="A467" s="7">
        <v>2016</v>
      </c>
      <c r="B467" s="8" t="s">
        <v>64</v>
      </c>
      <c r="C467" s="8" t="s">
        <v>65</v>
      </c>
      <c r="D467" s="8" t="s">
        <v>47</v>
      </c>
      <c r="E467" s="9" t="s">
        <v>66</v>
      </c>
      <c r="F467" s="10">
        <v>8825.25</v>
      </c>
      <c r="G467" s="10">
        <v>0</v>
      </c>
      <c r="H467" s="10">
        <v>931</v>
      </c>
      <c r="I467" s="10">
        <v>40</v>
      </c>
      <c r="J467" s="10">
        <v>266</v>
      </c>
      <c r="K467" s="6">
        <f t="shared" si="7"/>
        <v>10062.25</v>
      </c>
      <c r="M467" t="str">
        <f>VLOOKUP(B467,'[2]TABULADOR ok'!$A$2:$I$424,7,FALSE)</f>
        <v>T4</v>
      </c>
      <c r="N467" t="str">
        <f>VLOOKUP(B467,'[2]TABULADOR ok'!$A$2:$I$424,8,FALSE)</f>
        <v>S12092</v>
      </c>
      <c r="O467">
        <f>VLOOKUP(B467,'[2]TABULADOR ok'!$A$2:$I$424,9,FALSE)</f>
        <v>95</v>
      </c>
    </row>
    <row r="468" spans="1:15" x14ac:dyDescent="0.25">
      <c r="A468" s="7">
        <v>2016</v>
      </c>
      <c r="B468" s="8" t="s">
        <v>67</v>
      </c>
      <c r="C468" s="8" t="s">
        <v>68</v>
      </c>
      <c r="D468" s="8" t="s">
        <v>47</v>
      </c>
      <c r="E468" s="9" t="s">
        <v>69</v>
      </c>
      <c r="F468" s="10">
        <v>8825.25</v>
      </c>
      <c r="G468" s="10">
        <v>0</v>
      </c>
      <c r="H468" s="10">
        <v>931</v>
      </c>
      <c r="I468" s="10">
        <v>40</v>
      </c>
      <c r="J468" s="10">
        <v>266</v>
      </c>
      <c r="K468" s="6">
        <f t="shared" si="7"/>
        <v>10062.25</v>
      </c>
      <c r="M468" t="str">
        <f>VLOOKUP(B468,'[2]TABULADOR ok'!$A$2:$I$424,7,FALSE)</f>
        <v>T4</v>
      </c>
      <c r="N468" t="str">
        <f>VLOOKUP(B468,'[2]TABULADOR ok'!$A$2:$I$424,8,FALSE)</f>
        <v>S12093</v>
      </c>
      <c r="O468">
        <f>VLOOKUP(B468,'[2]TABULADOR ok'!$A$2:$I$424,9,FALSE)</f>
        <v>95</v>
      </c>
    </row>
    <row r="469" spans="1:15" x14ac:dyDescent="0.25">
      <c r="A469" s="7">
        <v>2016</v>
      </c>
      <c r="B469" s="8" t="s">
        <v>70</v>
      </c>
      <c r="C469" s="8" t="s">
        <v>71</v>
      </c>
      <c r="D469" s="8" t="s">
        <v>47</v>
      </c>
      <c r="E469" s="9" t="s">
        <v>72</v>
      </c>
      <c r="F469" s="10">
        <v>8825.25</v>
      </c>
      <c r="G469" s="10">
        <v>0</v>
      </c>
      <c r="H469" s="10">
        <v>931</v>
      </c>
      <c r="I469" s="10">
        <v>40</v>
      </c>
      <c r="J469" s="10">
        <v>266</v>
      </c>
      <c r="K469" s="6">
        <f t="shared" si="7"/>
        <v>10062.25</v>
      </c>
      <c r="M469" t="str">
        <f>VLOOKUP(B469,'[2]TABULADOR ok'!$A$2:$I$424,7,FALSE)</f>
        <v>T4</v>
      </c>
      <c r="N469" t="str">
        <f>VLOOKUP(B469,'[2]TABULADOR ok'!$A$2:$I$424,8,FALSE)</f>
        <v>S12096</v>
      </c>
      <c r="O469">
        <f>VLOOKUP(B469,'[2]TABULADOR ok'!$A$2:$I$424,9,FALSE)</f>
        <v>95</v>
      </c>
    </row>
    <row r="470" spans="1:15" x14ac:dyDescent="0.25">
      <c r="A470" s="7">
        <v>2016</v>
      </c>
      <c r="B470" s="8" t="s">
        <v>73</v>
      </c>
      <c r="C470" s="8" t="s">
        <v>74</v>
      </c>
      <c r="D470" s="8" t="s">
        <v>47</v>
      </c>
      <c r="E470" s="9" t="s">
        <v>75</v>
      </c>
      <c r="F470" s="10">
        <v>8825.25</v>
      </c>
      <c r="G470" s="10">
        <v>0</v>
      </c>
      <c r="H470" s="10">
        <v>931</v>
      </c>
      <c r="I470" s="10">
        <v>40</v>
      </c>
      <c r="J470" s="10">
        <v>266</v>
      </c>
      <c r="K470" s="6">
        <f t="shared" si="7"/>
        <v>10062.25</v>
      </c>
      <c r="M470" t="str">
        <f>VLOOKUP(B470,'[2]TABULADOR ok'!$A$2:$I$424,7,FALSE)</f>
        <v>T4</v>
      </c>
      <c r="N470" t="str">
        <f>VLOOKUP(B470,'[2]TABULADOR ok'!$A$2:$I$424,8,FALSE)</f>
        <v>S12097</v>
      </c>
      <c r="O470">
        <f>VLOOKUP(B470,'[2]TABULADOR ok'!$A$2:$I$424,9,FALSE)</f>
        <v>95</v>
      </c>
    </row>
    <row r="471" spans="1:15" x14ac:dyDescent="0.25">
      <c r="A471" s="7">
        <v>2016</v>
      </c>
      <c r="B471" s="8" t="s">
        <v>76</v>
      </c>
      <c r="C471" s="8" t="s">
        <v>77</v>
      </c>
      <c r="D471" s="8" t="s">
        <v>47</v>
      </c>
      <c r="E471" s="9" t="s">
        <v>78</v>
      </c>
      <c r="F471" s="10">
        <v>8825.25</v>
      </c>
      <c r="G471" s="10">
        <v>0</v>
      </c>
      <c r="H471" s="10">
        <v>931</v>
      </c>
      <c r="I471" s="10">
        <v>40</v>
      </c>
      <c r="J471" s="10">
        <v>266</v>
      </c>
      <c r="K471" s="6">
        <f t="shared" si="7"/>
        <v>10062.25</v>
      </c>
      <c r="M471" t="str">
        <f>VLOOKUP(B471,'[2]TABULADOR ok'!$A$2:$I$424,7,FALSE)</f>
        <v>T4</v>
      </c>
      <c r="N471" t="str">
        <f>VLOOKUP(B471,'[2]TABULADOR ok'!$A$2:$I$424,8,FALSE)</f>
        <v>S12098</v>
      </c>
      <c r="O471">
        <f>VLOOKUP(B471,'[2]TABULADOR ok'!$A$2:$I$424,9,FALSE)</f>
        <v>95</v>
      </c>
    </row>
    <row r="472" spans="1:15" x14ac:dyDescent="0.25">
      <c r="A472" s="7">
        <v>2016</v>
      </c>
      <c r="B472" s="8" t="s">
        <v>79</v>
      </c>
      <c r="C472" s="8" t="s">
        <v>80</v>
      </c>
      <c r="D472" s="8" t="s">
        <v>47</v>
      </c>
      <c r="E472" s="9" t="s">
        <v>81</v>
      </c>
      <c r="F472" s="10">
        <v>8825.25</v>
      </c>
      <c r="G472" s="10">
        <v>0</v>
      </c>
      <c r="H472" s="10">
        <v>931</v>
      </c>
      <c r="I472" s="10">
        <v>40</v>
      </c>
      <c r="J472" s="10">
        <v>266</v>
      </c>
      <c r="K472" s="6">
        <f t="shared" si="7"/>
        <v>10062.25</v>
      </c>
      <c r="M472" t="str">
        <f>VLOOKUP(B472,'[2]TABULADOR ok'!$A$2:$I$424,7,FALSE)</f>
        <v>T4</v>
      </c>
      <c r="N472" t="str">
        <f>VLOOKUP(B472,'[2]TABULADOR ok'!$A$2:$I$424,8,FALSE)</f>
        <v>T06824</v>
      </c>
      <c r="O472">
        <f>VLOOKUP(B472,'[2]TABULADOR ok'!$A$2:$I$424,9,FALSE)</f>
        <v>95</v>
      </c>
    </row>
    <row r="473" spans="1:15" x14ac:dyDescent="0.25">
      <c r="A473" s="7">
        <v>2016</v>
      </c>
      <c r="B473" s="8" t="s">
        <v>82</v>
      </c>
      <c r="C473" s="8" t="s">
        <v>83</v>
      </c>
      <c r="D473" s="8" t="s">
        <v>84</v>
      </c>
      <c r="E473" s="9" t="s">
        <v>85</v>
      </c>
      <c r="F473" s="10">
        <v>9711.9</v>
      </c>
      <c r="G473" s="10">
        <v>0</v>
      </c>
      <c r="H473" s="10">
        <v>931</v>
      </c>
      <c r="I473" s="10">
        <v>40</v>
      </c>
      <c r="J473" s="10">
        <v>266</v>
      </c>
      <c r="K473" s="6">
        <f t="shared" si="7"/>
        <v>10948.9</v>
      </c>
      <c r="M473" t="str">
        <f>VLOOKUP(B473,'[2]TABULADOR ok'!$A$2:$I$424,7,FALSE)</f>
        <v>T5</v>
      </c>
      <c r="N473" t="str">
        <f>VLOOKUP(B473,'[2]TABULADOR ok'!$A$2:$I$424,8,FALSE)</f>
        <v>A01038</v>
      </c>
      <c r="O473">
        <f>VLOOKUP(B473,'[2]TABULADOR ok'!$A$2:$I$424,9,FALSE)</f>
        <v>95</v>
      </c>
    </row>
    <row r="474" spans="1:15" x14ac:dyDescent="0.25">
      <c r="A474" s="7">
        <v>2016</v>
      </c>
      <c r="B474" s="8" t="s">
        <v>86</v>
      </c>
      <c r="C474" s="8" t="s">
        <v>87</v>
      </c>
      <c r="D474" s="8" t="s">
        <v>84</v>
      </c>
      <c r="E474" s="9" t="s">
        <v>88</v>
      </c>
      <c r="F474" s="10">
        <v>9711.9</v>
      </c>
      <c r="G474" s="10">
        <v>0</v>
      </c>
      <c r="H474" s="10">
        <v>931</v>
      </c>
      <c r="I474" s="10">
        <v>40</v>
      </c>
      <c r="J474" s="10">
        <v>266</v>
      </c>
      <c r="K474" s="6">
        <f t="shared" si="7"/>
        <v>10948.9</v>
      </c>
      <c r="M474" t="str">
        <f>VLOOKUP(B474,'[2]TABULADOR ok'!$A$2:$I$424,7,FALSE)</f>
        <v>T5</v>
      </c>
      <c r="N474" t="str">
        <f>VLOOKUP(B474,'[2]TABULADOR ok'!$A$2:$I$424,8,FALSE)</f>
        <v>A03840</v>
      </c>
      <c r="O474">
        <f>VLOOKUP(B474,'[2]TABULADOR ok'!$A$2:$I$424,9,FALSE)</f>
        <v>95</v>
      </c>
    </row>
    <row r="475" spans="1:15" x14ac:dyDescent="0.25">
      <c r="A475" s="7">
        <v>2016</v>
      </c>
      <c r="B475" s="8" t="s">
        <v>89</v>
      </c>
      <c r="C475" s="8" t="s">
        <v>90</v>
      </c>
      <c r="D475" s="8" t="s">
        <v>84</v>
      </c>
      <c r="E475" s="9" t="s">
        <v>91</v>
      </c>
      <c r="F475" s="10">
        <v>9711.9</v>
      </c>
      <c r="G475" s="10">
        <v>0</v>
      </c>
      <c r="H475" s="10">
        <v>931</v>
      </c>
      <c r="I475" s="10">
        <v>40</v>
      </c>
      <c r="J475" s="10">
        <v>266</v>
      </c>
      <c r="K475" s="6">
        <f t="shared" si="7"/>
        <v>10948.9</v>
      </c>
      <c r="M475" t="str">
        <f>VLOOKUP(B475,'[2]TABULADOR ok'!$A$2:$I$424,7,FALSE)</f>
        <v>T5</v>
      </c>
      <c r="N475" t="str">
        <f>VLOOKUP(B475,'[2]TABULADOR ok'!$A$2:$I$424,8,FALSE)</f>
        <v>A05011</v>
      </c>
      <c r="O475">
        <f>VLOOKUP(B475,'[2]TABULADOR ok'!$A$2:$I$424,9,FALSE)</f>
        <v>95</v>
      </c>
    </row>
    <row r="476" spans="1:15" x14ac:dyDescent="0.25">
      <c r="A476" s="7">
        <v>2016</v>
      </c>
      <c r="B476" s="8" t="s">
        <v>92</v>
      </c>
      <c r="C476" s="8" t="s">
        <v>93</v>
      </c>
      <c r="D476" s="8" t="s">
        <v>84</v>
      </c>
      <c r="E476" s="9" t="s">
        <v>94</v>
      </c>
      <c r="F476" s="10">
        <v>9711.9</v>
      </c>
      <c r="G476" s="10">
        <v>0</v>
      </c>
      <c r="H476" s="10">
        <v>931</v>
      </c>
      <c r="I476" s="10">
        <v>40</v>
      </c>
      <c r="J476" s="10">
        <v>266</v>
      </c>
      <c r="K476" s="6">
        <f t="shared" si="7"/>
        <v>10948.9</v>
      </c>
      <c r="M476" t="str">
        <f>VLOOKUP(B476,'[2]TABULADOR ok'!$A$2:$I$424,7,FALSE)</f>
        <v>T5</v>
      </c>
      <c r="N476" t="str">
        <f>VLOOKUP(B476,'[2]TABULADOR ok'!$A$2:$I$424,8,FALSE)</f>
        <v>S01892</v>
      </c>
      <c r="O476">
        <f>VLOOKUP(B476,'[2]TABULADOR ok'!$A$2:$I$424,9,FALSE)</f>
        <v>95</v>
      </c>
    </row>
    <row r="477" spans="1:15" x14ac:dyDescent="0.25">
      <c r="A477" s="7">
        <v>2016</v>
      </c>
      <c r="B477" s="8" t="s">
        <v>95</v>
      </c>
      <c r="C477" s="8" t="s">
        <v>96</v>
      </c>
      <c r="D477" s="8" t="s">
        <v>84</v>
      </c>
      <c r="E477" s="9" t="s">
        <v>97</v>
      </c>
      <c r="F477" s="10">
        <v>9711.9</v>
      </c>
      <c r="G477" s="10">
        <v>0</v>
      </c>
      <c r="H477" s="10">
        <v>931</v>
      </c>
      <c r="I477" s="10">
        <v>40</v>
      </c>
      <c r="J477" s="10">
        <v>266</v>
      </c>
      <c r="K477" s="6">
        <f t="shared" si="7"/>
        <v>10948.9</v>
      </c>
      <c r="M477" t="str">
        <f>VLOOKUP(B477,'[2]TABULADOR ok'!$A$2:$I$424,7,FALSE)</f>
        <v>T5</v>
      </c>
      <c r="N477" t="str">
        <f>VLOOKUP(B477,'[2]TABULADOR ok'!$A$2:$I$424,8,FALSE)</f>
        <v>S01896</v>
      </c>
      <c r="O477">
        <f>VLOOKUP(B477,'[2]TABULADOR ok'!$A$2:$I$424,9,FALSE)</f>
        <v>95</v>
      </c>
    </row>
    <row r="478" spans="1:15" x14ac:dyDescent="0.25">
      <c r="A478" s="7">
        <v>2016</v>
      </c>
      <c r="B478" s="8" t="s">
        <v>98</v>
      </c>
      <c r="C478" s="8" t="s">
        <v>99</v>
      </c>
      <c r="D478" s="8" t="s">
        <v>84</v>
      </c>
      <c r="E478" s="9" t="s">
        <v>100</v>
      </c>
      <c r="F478" s="10">
        <v>9711.9</v>
      </c>
      <c r="G478" s="10">
        <v>0</v>
      </c>
      <c r="H478" s="10">
        <v>931</v>
      </c>
      <c r="I478" s="10">
        <v>40</v>
      </c>
      <c r="J478" s="10">
        <v>266</v>
      </c>
      <c r="K478" s="6">
        <f t="shared" si="7"/>
        <v>10948.9</v>
      </c>
      <c r="M478" t="str">
        <f>VLOOKUP(B478,'[2]TABULADOR ok'!$A$2:$I$424,7,FALSE)</f>
        <v>T5</v>
      </c>
      <c r="N478" t="str">
        <f>VLOOKUP(B478,'[2]TABULADOR ok'!$A$2:$I$424,8,FALSE)</f>
        <v>S12011</v>
      </c>
      <c r="O478">
        <f>VLOOKUP(B478,'[2]TABULADOR ok'!$A$2:$I$424,9,FALSE)</f>
        <v>95</v>
      </c>
    </row>
    <row r="479" spans="1:15" x14ac:dyDescent="0.25">
      <c r="A479" s="7">
        <v>2016</v>
      </c>
      <c r="B479" s="8" t="s">
        <v>101</v>
      </c>
      <c r="C479" s="8" t="s">
        <v>102</v>
      </c>
      <c r="D479" s="8" t="s">
        <v>84</v>
      </c>
      <c r="E479" s="9" t="s">
        <v>103</v>
      </c>
      <c r="F479" s="10">
        <v>9711.9</v>
      </c>
      <c r="G479" s="10">
        <v>0</v>
      </c>
      <c r="H479" s="10">
        <v>931</v>
      </c>
      <c r="I479" s="10">
        <v>40</v>
      </c>
      <c r="J479" s="10">
        <v>266</v>
      </c>
      <c r="K479" s="6">
        <f t="shared" si="7"/>
        <v>10948.9</v>
      </c>
      <c r="M479" t="str">
        <f>VLOOKUP(B479,'[2]TABULADOR ok'!$A$2:$I$424,7,FALSE)</f>
        <v>T5</v>
      </c>
      <c r="N479" t="str">
        <f>VLOOKUP(B479,'[2]TABULADOR ok'!$A$2:$I$424,8,FALSE)</f>
        <v>S12094</v>
      </c>
      <c r="O479">
        <f>VLOOKUP(B479,'[2]TABULADOR ok'!$A$2:$I$424,9,FALSE)</f>
        <v>95</v>
      </c>
    </row>
    <row r="480" spans="1:15" x14ac:dyDescent="0.25">
      <c r="A480" s="7">
        <v>2016</v>
      </c>
      <c r="B480" s="8" t="s">
        <v>104</v>
      </c>
      <c r="C480" s="8" t="s">
        <v>105</v>
      </c>
      <c r="D480" s="8" t="s">
        <v>84</v>
      </c>
      <c r="E480" s="9" t="s">
        <v>106</v>
      </c>
      <c r="F480" s="10">
        <v>9711.9</v>
      </c>
      <c r="G480" s="10">
        <v>0</v>
      </c>
      <c r="H480" s="10">
        <v>931</v>
      </c>
      <c r="I480" s="10">
        <v>40</v>
      </c>
      <c r="J480" s="10">
        <v>266</v>
      </c>
      <c r="K480" s="6">
        <f t="shared" si="7"/>
        <v>10948.9</v>
      </c>
      <c r="M480" t="str">
        <f>VLOOKUP(B480,'[2]TABULADOR ok'!$A$2:$I$424,7,FALSE)</f>
        <v>T5</v>
      </c>
      <c r="N480" t="str">
        <f>VLOOKUP(B480,'[2]TABULADOR ok'!$A$2:$I$424,8,FALSE)</f>
        <v>T03853</v>
      </c>
      <c r="O480">
        <f>VLOOKUP(B480,'[2]TABULADOR ok'!$A$2:$I$424,9,FALSE)</f>
        <v>95</v>
      </c>
    </row>
    <row r="481" spans="1:15" x14ac:dyDescent="0.25">
      <c r="A481" s="7">
        <v>2016</v>
      </c>
      <c r="B481" s="8" t="s">
        <v>107</v>
      </c>
      <c r="C481" s="8" t="s">
        <v>108</v>
      </c>
      <c r="D481" s="8" t="s">
        <v>84</v>
      </c>
      <c r="E481" s="9" t="s">
        <v>109</v>
      </c>
      <c r="F481" s="10">
        <v>9711.9</v>
      </c>
      <c r="G481" s="10">
        <v>0</v>
      </c>
      <c r="H481" s="10">
        <v>931</v>
      </c>
      <c r="I481" s="10">
        <v>40</v>
      </c>
      <c r="J481" s="10">
        <v>266</v>
      </c>
      <c r="K481" s="6">
        <f t="shared" si="7"/>
        <v>10948.9</v>
      </c>
      <c r="M481" t="str">
        <f>VLOOKUP(B481,'[2]TABULADOR ok'!$A$2:$I$424,7,FALSE)</f>
        <v>T5</v>
      </c>
      <c r="N481" t="str">
        <f>VLOOKUP(B481,'[2]TABULADOR ok'!$A$2:$I$424,8,FALSE)</f>
        <v>T13818</v>
      </c>
      <c r="O481">
        <f>VLOOKUP(B481,'[2]TABULADOR ok'!$A$2:$I$424,9,FALSE)</f>
        <v>95</v>
      </c>
    </row>
    <row r="482" spans="1:15" x14ac:dyDescent="0.25">
      <c r="A482" s="7">
        <v>2016</v>
      </c>
      <c r="B482" s="8" t="s">
        <v>110</v>
      </c>
      <c r="C482" s="8" t="s">
        <v>111</v>
      </c>
      <c r="D482" s="8" t="s">
        <v>84</v>
      </c>
      <c r="E482" s="9" t="s">
        <v>112</v>
      </c>
      <c r="F482" s="10">
        <v>9711.9</v>
      </c>
      <c r="G482" s="10">
        <v>0</v>
      </c>
      <c r="H482" s="10">
        <v>931</v>
      </c>
      <c r="I482" s="10">
        <v>40</v>
      </c>
      <c r="J482" s="10">
        <v>266</v>
      </c>
      <c r="K482" s="6">
        <f t="shared" si="7"/>
        <v>10948.9</v>
      </c>
      <c r="M482" t="str">
        <f>VLOOKUP(B482,'[2]TABULADOR ok'!$A$2:$I$424,7,FALSE)</f>
        <v>T5</v>
      </c>
      <c r="N482" t="str">
        <f>VLOOKUP(B482,'[2]TABULADOR ok'!$A$2:$I$424,8,FALSE)</f>
        <v>T14034</v>
      </c>
      <c r="O482">
        <f>VLOOKUP(B482,'[2]TABULADOR ok'!$A$2:$I$424,9,FALSE)</f>
        <v>95</v>
      </c>
    </row>
    <row r="483" spans="1:15" x14ac:dyDescent="0.25">
      <c r="A483" s="7">
        <v>2016</v>
      </c>
      <c r="B483" s="8" t="s">
        <v>113</v>
      </c>
      <c r="C483" s="8" t="s">
        <v>114</v>
      </c>
      <c r="D483" s="8" t="s">
        <v>115</v>
      </c>
      <c r="E483" s="9" t="s">
        <v>116</v>
      </c>
      <c r="F483" s="10">
        <v>10804.8</v>
      </c>
      <c r="G483" s="10">
        <v>0</v>
      </c>
      <c r="H483" s="10">
        <v>931</v>
      </c>
      <c r="I483" s="10">
        <v>40</v>
      </c>
      <c r="J483" s="10">
        <v>266</v>
      </c>
      <c r="K483" s="6">
        <f t="shared" si="7"/>
        <v>12041.8</v>
      </c>
      <c r="M483" t="str">
        <f>VLOOKUP(B483,'[2]TABULADOR ok'!$A$2:$I$424,7,FALSE)</f>
        <v>T6</v>
      </c>
      <c r="N483" t="str">
        <f>VLOOKUP(B483,'[2]TABULADOR ok'!$A$2:$I$424,8,FALSE)</f>
        <v>A03839</v>
      </c>
      <c r="O483">
        <f>VLOOKUP(B483,'[2]TABULADOR ok'!$A$2:$I$424,9,FALSE)</f>
        <v>95</v>
      </c>
    </row>
    <row r="484" spans="1:15" x14ac:dyDescent="0.25">
      <c r="A484" s="7">
        <v>2016</v>
      </c>
      <c r="B484" s="8" t="s">
        <v>117</v>
      </c>
      <c r="C484" s="8" t="s">
        <v>118</v>
      </c>
      <c r="D484" s="8" t="s">
        <v>115</v>
      </c>
      <c r="E484" s="9" t="s">
        <v>119</v>
      </c>
      <c r="F484" s="10">
        <v>10804.8</v>
      </c>
      <c r="G484" s="10">
        <v>0</v>
      </c>
      <c r="H484" s="10">
        <v>931</v>
      </c>
      <c r="I484" s="10">
        <v>40</v>
      </c>
      <c r="J484" s="10">
        <v>266</v>
      </c>
      <c r="K484" s="6">
        <f t="shared" si="7"/>
        <v>12041.8</v>
      </c>
      <c r="M484" t="str">
        <f>VLOOKUP(B484,'[2]TABULADOR ok'!$A$2:$I$424,7,FALSE)</f>
        <v>T6</v>
      </c>
      <c r="N484" t="str">
        <f>VLOOKUP(B484,'[2]TABULADOR ok'!$A$2:$I$424,8,FALSE)</f>
        <v>P07027</v>
      </c>
      <c r="O484">
        <f>VLOOKUP(B484,'[2]TABULADOR ok'!$A$2:$I$424,9,FALSE)</f>
        <v>95</v>
      </c>
    </row>
    <row r="485" spans="1:15" x14ac:dyDescent="0.25">
      <c r="A485" s="7">
        <v>2016</v>
      </c>
      <c r="B485" s="8" t="s">
        <v>120</v>
      </c>
      <c r="C485" s="8" t="s">
        <v>121</v>
      </c>
      <c r="D485" s="8" t="s">
        <v>115</v>
      </c>
      <c r="E485" s="9" t="s">
        <v>122</v>
      </c>
      <c r="F485" s="10">
        <v>10804.8</v>
      </c>
      <c r="G485" s="10">
        <v>0</v>
      </c>
      <c r="H485" s="10">
        <v>931</v>
      </c>
      <c r="I485" s="10">
        <v>40</v>
      </c>
      <c r="J485" s="10">
        <v>266</v>
      </c>
      <c r="K485" s="6">
        <f t="shared" si="7"/>
        <v>12041.8</v>
      </c>
      <c r="M485" t="str">
        <f>VLOOKUP(B485,'[2]TABULADOR ok'!$A$2:$I$424,7,FALSE)</f>
        <v>T6</v>
      </c>
      <c r="N485" t="str">
        <f>VLOOKUP(B485,'[2]TABULADOR ok'!$A$2:$I$424,8,FALSE)</f>
        <v>S03830</v>
      </c>
      <c r="O485">
        <f>VLOOKUP(B485,'[2]TABULADOR ok'!$A$2:$I$424,9,FALSE)</f>
        <v>95</v>
      </c>
    </row>
    <row r="486" spans="1:15" x14ac:dyDescent="0.25">
      <c r="A486" s="7">
        <v>2016</v>
      </c>
      <c r="B486" s="8" t="s">
        <v>123</v>
      </c>
      <c r="C486" s="8" t="s">
        <v>124</v>
      </c>
      <c r="D486" s="8" t="s">
        <v>115</v>
      </c>
      <c r="E486" s="9" t="s">
        <v>125</v>
      </c>
      <c r="F486" s="10">
        <v>10804.8</v>
      </c>
      <c r="G486" s="10">
        <v>0</v>
      </c>
      <c r="H486" s="10">
        <v>931</v>
      </c>
      <c r="I486" s="10">
        <v>40</v>
      </c>
      <c r="J486" s="10">
        <v>266</v>
      </c>
      <c r="K486" s="6">
        <f t="shared" si="7"/>
        <v>12041.8</v>
      </c>
      <c r="M486" t="str">
        <f>VLOOKUP(B486,'[2]TABULADOR ok'!$A$2:$I$424,7,FALSE)</f>
        <v>T6</v>
      </c>
      <c r="N486" t="str">
        <f>VLOOKUP(B486,'[2]TABULADOR ok'!$A$2:$I$424,8,FALSE)</f>
        <v>S03831</v>
      </c>
      <c r="O486">
        <f>VLOOKUP(B486,'[2]TABULADOR ok'!$A$2:$I$424,9,FALSE)</f>
        <v>95</v>
      </c>
    </row>
    <row r="487" spans="1:15" x14ac:dyDescent="0.25">
      <c r="A487" s="7">
        <v>2016</v>
      </c>
      <c r="B487" s="8" t="s">
        <v>126</v>
      </c>
      <c r="C487" s="8" t="s">
        <v>127</v>
      </c>
      <c r="D487" s="8" t="s">
        <v>115</v>
      </c>
      <c r="E487" s="9" t="s">
        <v>128</v>
      </c>
      <c r="F487" s="10">
        <v>10804.8</v>
      </c>
      <c r="G487" s="10">
        <v>0</v>
      </c>
      <c r="H487" s="10">
        <v>931</v>
      </c>
      <c r="I487" s="10">
        <v>40</v>
      </c>
      <c r="J487" s="10">
        <v>266</v>
      </c>
      <c r="K487" s="6">
        <f t="shared" si="7"/>
        <v>12041.8</v>
      </c>
      <c r="M487" t="str">
        <f>VLOOKUP(B487,'[2]TABULADOR ok'!$A$2:$I$424,7,FALSE)</f>
        <v>T6</v>
      </c>
      <c r="N487" t="str">
        <f>VLOOKUP(B487,'[2]TABULADOR ok'!$A$2:$I$424,8,FALSE)</f>
        <v>S09807</v>
      </c>
      <c r="O487">
        <f>VLOOKUP(B487,'[2]TABULADOR ok'!$A$2:$I$424,9,FALSE)</f>
        <v>95</v>
      </c>
    </row>
    <row r="488" spans="1:15" x14ac:dyDescent="0.25">
      <c r="A488" s="7">
        <v>2016</v>
      </c>
      <c r="B488" s="8" t="s">
        <v>129</v>
      </c>
      <c r="C488" s="8" t="s">
        <v>130</v>
      </c>
      <c r="D488" s="8" t="s">
        <v>115</v>
      </c>
      <c r="E488" s="9" t="s">
        <v>131</v>
      </c>
      <c r="F488" s="10">
        <v>10804.8</v>
      </c>
      <c r="G488" s="10">
        <v>0</v>
      </c>
      <c r="H488" s="10">
        <v>931</v>
      </c>
      <c r="I488" s="10">
        <v>40</v>
      </c>
      <c r="J488" s="10">
        <v>266</v>
      </c>
      <c r="K488" s="6">
        <f t="shared" si="7"/>
        <v>12041.8</v>
      </c>
      <c r="M488" t="str">
        <f>VLOOKUP(B488,'[2]TABULADOR ok'!$A$2:$I$424,7,FALSE)</f>
        <v>T6</v>
      </c>
      <c r="N488" t="str">
        <f>VLOOKUP(B488,'[2]TABULADOR ok'!$A$2:$I$424,8,FALSE)</f>
        <v>T06823</v>
      </c>
      <c r="O488">
        <f>VLOOKUP(B488,'[2]TABULADOR ok'!$A$2:$I$424,9,FALSE)</f>
        <v>95</v>
      </c>
    </row>
    <row r="489" spans="1:15" x14ac:dyDescent="0.25">
      <c r="A489" s="7">
        <v>2016</v>
      </c>
      <c r="B489" s="8" t="s">
        <v>132</v>
      </c>
      <c r="C489" s="8" t="s">
        <v>133</v>
      </c>
      <c r="D489" s="8" t="s">
        <v>115</v>
      </c>
      <c r="E489" s="9" t="s">
        <v>134</v>
      </c>
      <c r="F489" s="10">
        <v>10804.8</v>
      </c>
      <c r="G489" s="10">
        <v>0</v>
      </c>
      <c r="H489" s="10">
        <v>931</v>
      </c>
      <c r="I489" s="10">
        <v>40</v>
      </c>
      <c r="J489" s="10">
        <v>266</v>
      </c>
      <c r="K489" s="6">
        <f t="shared" si="7"/>
        <v>12041.8</v>
      </c>
      <c r="M489" t="str">
        <f>VLOOKUP(B489,'[2]TABULADOR ok'!$A$2:$I$424,7,FALSE)</f>
        <v>T6</v>
      </c>
      <c r="N489" t="str">
        <f>VLOOKUP(B489,'[2]TABULADOR ok'!$A$2:$I$424,8,FALSE)</f>
        <v>T08813</v>
      </c>
      <c r="O489">
        <f>VLOOKUP(B489,'[2]TABULADOR ok'!$A$2:$I$424,9,FALSE)</f>
        <v>95</v>
      </c>
    </row>
    <row r="490" spans="1:15" x14ac:dyDescent="0.25">
      <c r="A490" s="7">
        <v>2016</v>
      </c>
      <c r="B490" s="8" t="s">
        <v>135</v>
      </c>
      <c r="C490" s="8" t="s">
        <v>136</v>
      </c>
      <c r="D490" s="8" t="s">
        <v>137</v>
      </c>
      <c r="E490" s="9" t="s">
        <v>138</v>
      </c>
      <c r="F490" s="10">
        <v>11863.15</v>
      </c>
      <c r="G490" s="10">
        <v>0</v>
      </c>
      <c r="H490" s="10">
        <v>931</v>
      </c>
      <c r="I490" s="10">
        <v>40</v>
      </c>
      <c r="J490" s="10">
        <v>266</v>
      </c>
      <c r="K490" s="6">
        <f t="shared" si="7"/>
        <v>13100.15</v>
      </c>
      <c r="M490" t="str">
        <f>VLOOKUP(B490,'[2]TABULADOR ok'!$A$2:$I$424,7,FALSE)</f>
        <v>T7</v>
      </c>
      <c r="N490" t="str">
        <f>VLOOKUP(B490,'[2]TABULADOR ok'!$A$2:$I$424,8,FALSE)</f>
        <v>A01037</v>
      </c>
      <c r="O490">
        <f>VLOOKUP(B490,'[2]TABULADOR ok'!$A$2:$I$424,9,FALSE)</f>
        <v>95</v>
      </c>
    </row>
    <row r="491" spans="1:15" x14ac:dyDescent="0.25">
      <c r="A491" s="7">
        <v>2016</v>
      </c>
      <c r="B491" s="8" t="s">
        <v>139</v>
      </c>
      <c r="C491" s="8" t="s">
        <v>140</v>
      </c>
      <c r="D491" s="8" t="s">
        <v>137</v>
      </c>
      <c r="E491" s="9" t="s">
        <v>141</v>
      </c>
      <c r="F491" s="10">
        <v>11863.15</v>
      </c>
      <c r="G491" s="10">
        <v>0</v>
      </c>
      <c r="H491" s="10">
        <v>931</v>
      </c>
      <c r="I491" s="10">
        <v>40</v>
      </c>
      <c r="J491" s="10">
        <v>266</v>
      </c>
      <c r="K491" s="6">
        <f t="shared" si="7"/>
        <v>13100.15</v>
      </c>
      <c r="M491" t="str">
        <f>VLOOKUP(B491,'[2]TABULADOR ok'!$A$2:$I$424,7,FALSE)</f>
        <v>T7</v>
      </c>
      <c r="N491" t="str">
        <f>VLOOKUP(B491,'[2]TABULADOR ok'!$A$2:$I$424,8,FALSE)</f>
        <v>A02815</v>
      </c>
      <c r="O491">
        <f>VLOOKUP(B491,'[2]TABULADOR ok'!$A$2:$I$424,9,FALSE)</f>
        <v>95</v>
      </c>
    </row>
    <row r="492" spans="1:15" x14ac:dyDescent="0.25">
      <c r="A492" s="7">
        <v>2016</v>
      </c>
      <c r="B492" s="8" t="s">
        <v>142</v>
      </c>
      <c r="C492" s="8" t="s">
        <v>143</v>
      </c>
      <c r="D492" s="8" t="s">
        <v>137</v>
      </c>
      <c r="E492" s="9" t="s">
        <v>144</v>
      </c>
      <c r="F492" s="10">
        <v>11863.15</v>
      </c>
      <c r="G492" s="10">
        <v>0</v>
      </c>
      <c r="H492" s="10">
        <v>931</v>
      </c>
      <c r="I492" s="10">
        <v>40</v>
      </c>
      <c r="J492" s="10">
        <v>266</v>
      </c>
      <c r="K492" s="6">
        <f t="shared" si="7"/>
        <v>13100.15</v>
      </c>
      <c r="M492" t="str">
        <f>VLOOKUP(B492,'[2]TABULADOR ok'!$A$2:$I$424,7,FALSE)</f>
        <v>T7</v>
      </c>
      <c r="N492" t="str">
        <f>VLOOKUP(B492,'[2]TABULADOR ok'!$A$2:$I$424,8,FALSE)</f>
        <v>C01817</v>
      </c>
      <c r="O492">
        <f>VLOOKUP(B492,'[2]TABULADOR ok'!$A$2:$I$424,9,FALSE)</f>
        <v>95</v>
      </c>
    </row>
    <row r="493" spans="1:15" x14ac:dyDescent="0.25">
      <c r="A493" s="7">
        <v>2016</v>
      </c>
      <c r="B493" s="8" t="s">
        <v>145</v>
      </c>
      <c r="C493" s="8" t="s">
        <v>146</v>
      </c>
      <c r="D493" s="8" t="s">
        <v>137</v>
      </c>
      <c r="E493" s="9" t="s">
        <v>147</v>
      </c>
      <c r="F493" s="10">
        <v>11863.15</v>
      </c>
      <c r="G493" s="10">
        <v>0</v>
      </c>
      <c r="H493" s="10">
        <v>931</v>
      </c>
      <c r="I493" s="10">
        <v>40</v>
      </c>
      <c r="J493" s="10">
        <v>266</v>
      </c>
      <c r="K493" s="6">
        <f t="shared" si="7"/>
        <v>13100.15</v>
      </c>
      <c r="M493" t="str">
        <f>VLOOKUP(B493,'[2]TABULADOR ok'!$A$2:$I$424,7,FALSE)</f>
        <v>T7</v>
      </c>
      <c r="N493" t="str">
        <f>VLOOKUP(B493,'[2]TABULADOR ok'!$A$2:$I$424,8,FALSE)</f>
        <v>P07026</v>
      </c>
      <c r="O493">
        <f>VLOOKUP(B493,'[2]TABULADOR ok'!$A$2:$I$424,9,FALSE)</f>
        <v>95</v>
      </c>
    </row>
    <row r="494" spans="1:15" x14ac:dyDescent="0.25">
      <c r="A494" s="7">
        <v>2016</v>
      </c>
      <c r="B494" s="8" t="s">
        <v>148</v>
      </c>
      <c r="C494" s="8" t="s">
        <v>149</v>
      </c>
      <c r="D494" s="8" t="s">
        <v>137</v>
      </c>
      <c r="E494" s="9" t="s">
        <v>150</v>
      </c>
      <c r="F494" s="10">
        <v>11863.15</v>
      </c>
      <c r="G494" s="10">
        <v>0</v>
      </c>
      <c r="H494" s="10">
        <v>931</v>
      </c>
      <c r="I494" s="10">
        <v>40</v>
      </c>
      <c r="J494" s="10">
        <v>266</v>
      </c>
      <c r="K494" s="6">
        <f t="shared" si="7"/>
        <v>13100.15</v>
      </c>
      <c r="M494" t="str">
        <f>VLOOKUP(B494,'[2]TABULADOR ok'!$A$2:$I$424,7,FALSE)</f>
        <v>T7</v>
      </c>
      <c r="N494" t="str">
        <f>VLOOKUP(B494,'[2]TABULADOR ok'!$A$2:$I$424,8,FALSE)</f>
        <v>T05822</v>
      </c>
      <c r="O494">
        <f>VLOOKUP(B494,'[2]TABULADOR ok'!$A$2:$I$424,9,FALSE)</f>
        <v>95</v>
      </c>
    </row>
    <row r="495" spans="1:15" x14ac:dyDescent="0.25">
      <c r="A495" s="7">
        <v>2016</v>
      </c>
      <c r="B495" s="8" t="s">
        <v>151</v>
      </c>
      <c r="C495" s="8" t="s">
        <v>152</v>
      </c>
      <c r="D495" s="8" t="s">
        <v>137</v>
      </c>
      <c r="E495" s="9" t="s">
        <v>153</v>
      </c>
      <c r="F495" s="10">
        <v>11863.15</v>
      </c>
      <c r="G495" s="10">
        <v>0</v>
      </c>
      <c r="H495" s="10">
        <v>931</v>
      </c>
      <c r="I495" s="10">
        <v>40</v>
      </c>
      <c r="J495" s="10">
        <v>266</v>
      </c>
      <c r="K495" s="6">
        <f t="shared" si="7"/>
        <v>13100.15</v>
      </c>
      <c r="M495" t="str">
        <f>VLOOKUP(B495,'[2]TABULADOR ok'!$A$2:$I$424,7,FALSE)</f>
        <v>T7</v>
      </c>
      <c r="N495" t="str">
        <f>VLOOKUP(B495,'[2]TABULADOR ok'!$A$2:$I$424,8,FALSE)</f>
        <v>T09001</v>
      </c>
      <c r="O495">
        <f>VLOOKUP(B495,'[2]TABULADOR ok'!$A$2:$I$424,9,FALSE)</f>
        <v>95</v>
      </c>
    </row>
    <row r="496" spans="1:15" x14ac:dyDescent="0.25">
      <c r="A496" s="7">
        <v>2016</v>
      </c>
      <c r="B496" s="8" t="s">
        <v>154</v>
      </c>
      <c r="C496" s="8" t="s">
        <v>155</v>
      </c>
      <c r="D496" s="8" t="s">
        <v>137</v>
      </c>
      <c r="E496" s="9" t="s">
        <v>156</v>
      </c>
      <c r="F496" s="10">
        <v>11863.15</v>
      </c>
      <c r="G496" s="10">
        <v>0</v>
      </c>
      <c r="H496" s="10">
        <v>931</v>
      </c>
      <c r="I496" s="10">
        <v>40</v>
      </c>
      <c r="J496" s="10">
        <v>266</v>
      </c>
      <c r="K496" s="6">
        <f t="shared" si="7"/>
        <v>13100.15</v>
      </c>
      <c r="M496" t="str">
        <f>VLOOKUP(B496,'[2]TABULADOR ok'!$A$2:$I$424,7,FALSE)</f>
        <v>T7</v>
      </c>
      <c r="N496" t="str">
        <f>VLOOKUP(B496,'[2]TABULADOR ok'!$A$2:$I$424,8,FALSE)</f>
        <v>T13817</v>
      </c>
      <c r="O496">
        <f>VLOOKUP(B496,'[2]TABULADOR ok'!$A$2:$I$424,9,FALSE)</f>
        <v>95</v>
      </c>
    </row>
    <row r="497" spans="1:15" x14ac:dyDescent="0.25">
      <c r="A497" s="7">
        <v>2016</v>
      </c>
      <c r="B497" s="8" t="s">
        <v>157</v>
      </c>
      <c r="C497" s="8" t="s">
        <v>158</v>
      </c>
      <c r="D497" s="8" t="s">
        <v>137</v>
      </c>
      <c r="E497" s="9" t="s">
        <v>159</v>
      </c>
      <c r="F497" s="10">
        <v>11863.15</v>
      </c>
      <c r="G497" s="10">
        <v>0</v>
      </c>
      <c r="H497" s="10">
        <v>931</v>
      </c>
      <c r="I497" s="10">
        <v>40</v>
      </c>
      <c r="J497" s="10">
        <v>266</v>
      </c>
      <c r="K497" s="6">
        <f t="shared" si="7"/>
        <v>13100.15</v>
      </c>
      <c r="M497" t="str">
        <f>VLOOKUP(B497,'[2]TABULADOR ok'!$A$2:$I$424,7,FALSE)</f>
        <v>T7</v>
      </c>
      <c r="N497" t="str">
        <f>VLOOKUP(B497,'[2]TABULADOR ok'!$A$2:$I$424,8,FALSE)</f>
        <v>T14019</v>
      </c>
      <c r="O497">
        <f>VLOOKUP(B497,'[2]TABULADOR ok'!$A$2:$I$424,9,FALSE)</f>
        <v>95</v>
      </c>
    </row>
    <row r="498" spans="1:15" x14ac:dyDescent="0.25">
      <c r="A498" s="7">
        <v>2016</v>
      </c>
      <c r="B498" s="8" t="s">
        <v>160</v>
      </c>
      <c r="C498" s="8" t="s">
        <v>161</v>
      </c>
      <c r="D498" s="8" t="s">
        <v>137</v>
      </c>
      <c r="E498" s="9" t="s">
        <v>162</v>
      </c>
      <c r="F498" s="10">
        <v>11863.15</v>
      </c>
      <c r="G498" s="10">
        <v>0</v>
      </c>
      <c r="H498" s="10">
        <v>931</v>
      </c>
      <c r="I498" s="10">
        <v>40</v>
      </c>
      <c r="J498" s="10">
        <v>266</v>
      </c>
      <c r="K498" s="6">
        <f t="shared" si="7"/>
        <v>13100.15</v>
      </c>
      <c r="M498" t="str">
        <f>VLOOKUP(B498,'[2]TABULADOR ok'!$A$2:$I$424,7,FALSE)</f>
        <v>T7</v>
      </c>
      <c r="N498" t="str">
        <f>VLOOKUP(B498,'[2]TABULADOR ok'!$A$2:$I$424,8,FALSE)</f>
        <v>T16817</v>
      </c>
      <c r="O498">
        <f>VLOOKUP(B498,'[2]TABULADOR ok'!$A$2:$I$424,9,FALSE)</f>
        <v>95</v>
      </c>
    </row>
    <row r="499" spans="1:15" x14ac:dyDescent="0.25">
      <c r="A499" s="7">
        <v>2016</v>
      </c>
      <c r="B499" s="8" t="s">
        <v>163</v>
      </c>
      <c r="C499" s="8" t="s">
        <v>164</v>
      </c>
      <c r="D499" s="8" t="s">
        <v>165</v>
      </c>
      <c r="E499" s="9" t="s">
        <v>166</v>
      </c>
      <c r="F499" s="10">
        <v>13108</v>
      </c>
      <c r="G499" s="10">
        <v>0</v>
      </c>
      <c r="H499" s="10">
        <v>931</v>
      </c>
      <c r="I499" s="10">
        <v>40</v>
      </c>
      <c r="J499" s="10">
        <v>266</v>
      </c>
      <c r="K499" s="6">
        <f t="shared" si="7"/>
        <v>14345</v>
      </c>
      <c r="M499" t="str">
        <f>VLOOKUP(B499,'[2]TABULADOR ok'!$A$2:$I$424,7,FALSE)</f>
        <v>T8</v>
      </c>
      <c r="N499" t="str">
        <f>VLOOKUP(B499,'[2]TABULADOR ok'!$A$2:$I$424,8,FALSE)</f>
        <v>A01036</v>
      </c>
      <c r="O499">
        <f>VLOOKUP(B499,'[2]TABULADOR ok'!$A$2:$I$424,9,FALSE)</f>
        <v>95</v>
      </c>
    </row>
    <row r="500" spans="1:15" x14ac:dyDescent="0.25">
      <c r="A500" s="7">
        <v>2016</v>
      </c>
      <c r="B500" s="8" t="s">
        <v>167</v>
      </c>
      <c r="C500" s="8" t="s">
        <v>168</v>
      </c>
      <c r="D500" s="8" t="s">
        <v>165</v>
      </c>
      <c r="E500" s="9" t="s">
        <v>169</v>
      </c>
      <c r="F500" s="10">
        <v>13108</v>
      </c>
      <c r="G500" s="10">
        <v>0</v>
      </c>
      <c r="H500" s="10">
        <v>931</v>
      </c>
      <c r="I500" s="10">
        <v>40</v>
      </c>
      <c r="J500" s="10">
        <v>266</v>
      </c>
      <c r="K500" s="6">
        <f t="shared" si="7"/>
        <v>14345</v>
      </c>
      <c r="M500" t="str">
        <f>VLOOKUP(B500,'[2]TABULADOR ok'!$A$2:$I$424,7,FALSE)</f>
        <v>T8</v>
      </c>
      <c r="N500" t="str">
        <f>VLOOKUP(B500,'[2]TABULADOR ok'!$A$2:$I$424,8,FALSE)</f>
        <v>A06009</v>
      </c>
      <c r="O500">
        <f>VLOOKUP(B500,'[2]TABULADOR ok'!$A$2:$I$424,9,FALSE)</f>
        <v>95</v>
      </c>
    </row>
    <row r="501" spans="1:15" x14ac:dyDescent="0.25">
      <c r="A501" s="7">
        <v>2016</v>
      </c>
      <c r="B501" s="8" t="s">
        <v>170</v>
      </c>
      <c r="C501" s="8" t="s">
        <v>171</v>
      </c>
      <c r="D501" s="8" t="s">
        <v>165</v>
      </c>
      <c r="E501" s="9" t="s">
        <v>172</v>
      </c>
      <c r="F501" s="10">
        <v>13108</v>
      </c>
      <c r="G501" s="10">
        <v>0</v>
      </c>
      <c r="H501" s="10">
        <v>931</v>
      </c>
      <c r="I501" s="10">
        <v>40</v>
      </c>
      <c r="J501" s="10">
        <v>266</v>
      </c>
      <c r="K501" s="6">
        <f t="shared" si="7"/>
        <v>14345</v>
      </c>
      <c r="M501" t="str">
        <f>VLOOKUP(B501,'[2]TABULADOR ok'!$A$2:$I$424,7,FALSE)</f>
        <v>T8</v>
      </c>
      <c r="N501" t="str">
        <f>VLOOKUP(B501,'[2]TABULADOR ok'!$A$2:$I$424,8,FALSE)</f>
        <v>C01818</v>
      </c>
      <c r="O501">
        <f>VLOOKUP(B501,'[2]TABULADOR ok'!$A$2:$I$424,9,FALSE)</f>
        <v>95</v>
      </c>
    </row>
    <row r="502" spans="1:15" x14ac:dyDescent="0.25">
      <c r="A502" s="7">
        <v>2016</v>
      </c>
      <c r="B502" s="8" t="s">
        <v>173</v>
      </c>
      <c r="C502" s="8" t="s">
        <v>174</v>
      </c>
      <c r="D502" s="8" t="s">
        <v>165</v>
      </c>
      <c r="E502" s="9" t="s">
        <v>175</v>
      </c>
      <c r="F502" s="10">
        <v>13108</v>
      </c>
      <c r="G502" s="10">
        <v>0</v>
      </c>
      <c r="H502" s="10">
        <v>931</v>
      </c>
      <c r="I502" s="10">
        <v>40</v>
      </c>
      <c r="J502" s="10">
        <v>266</v>
      </c>
      <c r="K502" s="6">
        <f t="shared" si="7"/>
        <v>14345</v>
      </c>
      <c r="M502" t="str">
        <f>VLOOKUP(B502,'[2]TABULADOR ok'!$A$2:$I$424,7,FALSE)</f>
        <v>T8</v>
      </c>
      <c r="N502" t="str">
        <f>VLOOKUP(B502,'[2]TABULADOR ok'!$A$2:$I$424,8,FALSE)</f>
        <v>T03854</v>
      </c>
      <c r="O502">
        <f>VLOOKUP(B502,'[2]TABULADOR ok'!$A$2:$I$424,9,FALSE)</f>
        <v>95</v>
      </c>
    </row>
    <row r="503" spans="1:15" x14ac:dyDescent="0.25">
      <c r="A503" s="7">
        <v>2016</v>
      </c>
      <c r="B503" s="8" t="s">
        <v>176</v>
      </c>
      <c r="C503" s="8" t="s">
        <v>177</v>
      </c>
      <c r="D503" s="8" t="s">
        <v>165</v>
      </c>
      <c r="E503" s="9" t="s">
        <v>178</v>
      </c>
      <c r="F503" s="10">
        <v>13108</v>
      </c>
      <c r="G503" s="10">
        <v>0</v>
      </c>
      <c r="H503" s="10">
        <v>931</v>
      </c>
      <c r="I503" s="10">
        <v>40</v>
      </c>
      <c r="J503" s="10">
        <v>266</v>
      </c>
      <c r="K503" s="6">
        <f t="shared" si="7"/>
        <v>14345</v>
      </c>
      <c r="M503" t="str">
        <f>VLOOKUP(B503,'[2]TABULADOR ok'!$A$2:$I$424,7,FALSE)</f>
        <v>T8</v>
      </c>
      <c r="N503" t="str">
        <f>VLOOKUP(B503,'[2]TABULADOR ok'!$A$2:$I$424,8,FALSE)</f>
        <v>T04875</v>
      </c>
      <c r="O503">
        <f>VLOOKUP(B503,'[2]TABULADOR ok'!$A$2:$I$424,9,FALSE)</f>
        <v>95</v>
      </c>
    </row>
    <row r="504" spans="1:15" x14ac:dyDescent="0.25">
      <c r="A504" s="7">
        <v>2016</v>
      </c>
      <c r="B504" s="8" t="s">
        <v>179</v>
      </c>
      <c r="C504" s="8" t="s">
        <v>180</v>
      </c>
      <c r="D504" s="8" t="s">
        <v>165</v>
      </c>
      <c r="E504" s="9" t="s">
        <v>181</v>
      </c>
      <c r="F504" s="10">
        <v>13108</v>
      </c>
      <c r="G504" s="10">
        <v>0</v>
      </c>
      <c r="H504" s="10">
        <v>931</v>
      </c>
      <c r="I504" s="10">
        <v>40</v>
      </c>
      <c r="J504" s="10">
        <v>266</v>
      </c>
      <c r="K504" s="6">
        <f t="shared" si="7"/>
        <v>14345</v>
      </c>
      <c r="M504" t="str">
        <f>VLOOKUP(B504,'[2]TABULADOR ok'!$A$2:$I$424,7,FALSE)</f>
        <v>T8</v>
      </c>
      <c r="N504" t="str">
        <f>VLOOKUP(B504,'[2]TABULADOR ok'!$A$2:$I$424,8,FALSE)</f>
        <v>T08812</v>
      </c>
      <c r="O504">
        <f>VLOOKUP(B504,'[2]TABULADOR ok'!$A$2:$I$424,9,FALSE)</f>
        <v>95</v>
      </c>
    </row>
    <row r="505" spans="1:15" x14ac:dyDescent="0.25">
      <c r="A505" s="7">
        <v>2016</v>
      </c>
      <c r="B505" s="8" t="s">
        <v>182</v>
      </c>
      <c r="C505" s="8" t="s">
        <v>183</v>
      </c>
      <c r="D505" s="8" t="s">
        <v>184</v>
      </c>
      <c r="E505" s="9" t="s">
        <v>185</v>
      </c>
      <c r="F505" s="10">
        <v>14657.6</v>
      </c>
      <c r="G505" s="10">
        <v>0</v>
      </c>
      <c r="H505" s="10">
        <v>931</v>
      </c>
      <c r="I505" s="10">
        <v>40</v>
      </c>
      <c r="J505" s="10">
        <v>266</v>
      </c>
      <c r="K505" s="6">
        <f t="shared" si="7"/>
        <v>15894.6</v>
      </c>
      <c r="M505" t="str">
        <f>VLOOKUP(B505,'[2]TABULADOR ok'!$A$2:$I$424,7,FALSE)</f>
        <v>T9</v>
      </c>
      <c r="N505" t="str">
        <f>VLOOKUP(B505,'[2]TABULADOR ok'!$A$2:$I$424,8,FALSE)</f>
        <v>P02809</v>
      </c>
      <c r="O505">
        <f>VLOOKUP(B505,'[2]TABULADOR ok'!$A$2:$I$424,9,FALSE)</f>
        <v>95</v>
      </c>
    </row>
    <row r="506" spans="1:15" x14ac:dyDescent="0.25">
      <c r="A506" s="7">
        <v>2016</v>
      </c>
      <c r="B506" s="8" t="s">
        <v>186</v>
      </c>
      <c r="C506" s="8" t="s">
        <v>187</v>
      </c>
      <c r="D506" s="8" t="s">
        <v>184</v>
      </c>
      <c r="E506" s="9" t="s">
        <v>188</v>
      </c>
      <c r="F506" s="10">
        <v>14657.6</v>
      </c>
      <c r="G506" s="10">
        <v>0</v>
      </c>
      <c r="H506" s="10">
        <v>931</v>
      </c>
      <c r="I506" s="10">
        <v>40</v>
      </c>
      <c r="J506" s="10">
        <v>266</v>
      </c>
      <c r="K506" s="6">
        <f t="shared" si="7"/>
        <v>15894.6</v>
      </c>
      <c r="M506" t="str">
        <f>VLOOKUP(B506,'[2]TABULADOR ok'!$A$2:$I$424,7,FALSE)</f>
        <v>T9</v>
      </c>
      <c r="N506" t="str">
        <f>VLOOKUP(B506,'[2]TABULADOR ok'!$A$2:$I$424,8,FALSE)</f>
        <v>P04806</v>
      </c>
      <c r="O506">
        <f>VLOOKUP(B506,'[2]TABULADOR ok'!$A$2:$I$424,9,FALSE)</f>
        <v>95</v>
      </c>
    </row>
    <row r="507" spans="1:15" x14ac:dyDescent="0.25">
      <c r="A507" s="7">
        <v>2016</v>
      </c>
      <c r="B507" s="8" t="s">
        <v>189</v>
      </c>
      <c r="C507" s="8" t="s">
        <v>190</v>
      </c>
      <c r="D507" s="8" t="s">
        <v>184</v>
      </c>
      <c r="E507" s="9" t="s">
        <v>191</v>
      </c>
      <c r="F507" s="10">
        <v>14657.6</v>
      </c>
      <c r="G507" s="10">
        <v>0</v>
      </c>
      <c r="H507" s="10">
        <v>931</v>
      </c>
      <c r="I507" s="10">
        <v>40</v>
      </c>
      <c r="J507" s="10">
        <v>266</v>
      </c>
      <c r="K507" s="6">
        <f t="shared" si="7"/>
        <v>15894.6</v>
      </c>
      <c r="M507" t="str">
        <f>VLOOKUP(B507,'[2]TABULADOR ok'!$A$2:$I$424,7,FALSE)</f>
        <v>T9</v>
      </c>
      <c r="N507" t="str">
        <f>VLOOKUP(B507,'[2]TABULADOR ok'!$A$2:$I$424,8,FALSE)</f>
        <v>P05808</v>
      </c>
      <c r="O507">
        <f>VLOOKUP(B507,'[2]TABULADOR ok'!$A$2:$I$424,9,FALSE)</f>
        <v>95</v>
      </c>
    </row>
    <row r="508" spans="1:15" x14ac:dyDescent="0.25">
      <c r="A508" s="7">
        <v>2016</v>
      </c>
      <c r="B508" s="8" t="s">
        <v>192</v>
      </c>
      <c r="C508" s="8" t="s">
        <v>193</v>
      </c>
      <c r="D508" s="8" t="s">
        <v>184</v>
      </c>
      <c r="E508" s="9" t="s">
        <v>194</v>
      </c>
      <c r="F508" s="10">
        <v>14657.6</v>
      </c>
      <c r="G508" s="10">
        <v>0</v>
      </c>
      <c r="H508" s="10">
        <v>931</v>
      </c>
      <c r="I508" s="10">
        <v>40</v>
      </c>
      <c r="J508" s="10">
        <v>266</v>
      </c>
      <c r="K508" s="6">
        <f t="shared" si="7"/>
        <v>15894.6</v>
      </c>
      <c r="M508" t="str">
        <f>VLOOKUP(B508,'[2]TABULADOR ok'!$A$2:$I$424,7,FALSE)</f>
        <v>T9</v>
      </c>
      <c r="N508" t="str">
        <f>VLOOKUP(B508,'[2]TABULADOR ok'!$A$2:$I$424,8,FALSE)</f>
        <v>T03850</v>
      </c>
      <c r="O508">
        <f>VLOOKUP(B508,'[2]TABULADOR ok'!$A$2:$I$424,9,FALSE)</f>
        <v>95</v>
      </c>
    </row>
    <row r="509" spans="1:15" x14ac:dyDescent="0.25">
      <c r="A509" s="7">
        <v>2016</v>
      </c>
      <c r="B509" s="8" t="s">
        <v>195</v>
      </c>
      <c r="C509" s="8" t="s">
        <v>196</v>
      </c>
      <c r="D509" s="8" t="s">
        <v>184</v>
      </c>
      <c r="E509" s="9" t="s">
        <v>197</v>
      </c>
      <c r="F509" s="10">
        <v>14657.6</v>
      </c>
      <c r="G509" s="10">
        <v>0</v>
      </c>
      <c r="H509" s="10">
        <v>931</v>
      </c>
      <c r="I509" s="10">
        <v>40</v>
      </c>
      <c r="J509" s="10">
        <v>266</v>
      </c>
      <c r="K509" s="6">
        <f t="shared" si="7"/>
        <v>15894.6</v>
      </c>
      <c r="M509" t="str">
        <f>VLOOKUP(B509,'[2]TABULADOR ok'!$A$2:$I$424,7,FALSE)</f>
        <v>T9</v>
      </c>
      <c r="N509" t="str">
        <f>VLOOKUP(B509,'[2]TABULADOR ok'!$A$2:$I$424,8,FALSE)</f>
        <v>T03851</v>
      </c>
      <c r="O509">
        <f>VLOOKUP(B509,'[2]TABULADOR ok'!$A$2:$I$424,9,FALSE)</f>
        <v>95</v>
      </c>
    </row>
    <row r="510" spans="1:15" x14ac:dyDescent="0.25">
      <c r="A510" s="7">
        <v>2016</v>
      </c>
      <c r="B510" s="8" t="s">
        <v>198</v>
      </c>
      <c r="C510" s="8" t="s">
        <v>199</v>
      </c>
      <c r="D510" s="8" t="s">
        <v>184</v>
      </c>
      <c r="E510" s="9" t="s">
        <v>200</v>
      </c>
      <c r="F510" s="10">
        <v>14657.6</v>
      </c>
      <c r="G510" s="10">
        <v>0</v>
      </c>
      <c r="H510" s="10">
        <v>931</v>
      </c>
      <c r="I510" s="10">
        <v>40</v>
      </c>
      <c r="J510" s="10">
        <v>266</v>
      </c>
      <c r="K510" s="6">
        <f t="shared" si="7"/>
        <v>15894.6</v>
      </c>
      <c r="M510" t="str">
        <f>VLOOKUP(B510,'[2]TABULADOR ok'!$A$2:$I$424,7,FALSE)</f>
        <v>T9</v>
      </c>
      <c r="N510" t="str">
        <f>VLOOKUP(B510,'[2]TABULADOR ok'!$A$2:$I$424,8,FALSE)</f>
        <v>T03855</v>
      </c>
      <c r="O510">
        <f>VLOOKUP(B510,'[2]TABULADOR ok'!$A$2:$I$424,9,FALSE)</f>
        <v>95</v>
      </c>
    </row>
    <row r="511" spans="1:15" x14ac:dyDescent="0.25">
      <c r="A511" s="7">
        <v>2016</v>
      </c>
      <c r="B511" s="8" t="s">
        <v>201</v>
      </c>
      <c r="C511" s="8" t="s">
        <v>202</v>
      </c>
      <c r="D511" s="8" t="s">
        <v>184</v>
      </c>
      <c r="E511" s="9" t="s">
        <v>203</v>
      </c>
      <c r="F511" s="10">
        <v>14657.6</v>
      </c>
      <c r="G511" s="10">
        <v>0</v>
      </c>
      <c r="H511" s="10">
        <v>931</v>
      </c>
      <c r="I511" s="10">
        <v>40</v>
      </c>
      <c r="J511" s="10">
        <v>266</v>
      </c>
      <c r="K511" s="6">
        <f t="shared" si="7"/>
        <v>15894.6</v>
      </c>
      <c r="M511" t="str">
        <f>VLOOKUP(B511,'[2]TABULADOR ok'!$A$2:$I$424,7,FALSE)</f>
        <v>T9</v>
      </c>
      <c r="N511" t="str">
        <f>VLOOKUP(B511,'[2]TABULADOR ok'!$A$2:$I$424,8,FALSE)</f>
        <v>T04873</v>
      </c>
      <c r="O511">
        <f>VLOOKUP(B511,'[2]TABULADOR ok'!$A$2:$I$424,9,FALSE)</f>
        <v>95</v>
      </c>
    </row>
    <row r="512" spans="1:15" x14ac:dyDescent="0.25">
      <c r="A512" s="7">
        <v>2016</v>
      </c>
      <c r="B512" s="8" t="s">
        <v>204</v>
      </c>
      <c r="C512" s="8" t="s">
        <v>205</v>
      </c>
      <c r="D512" s="8" t="s">
        <v>184</v>
      </c>
      <c r="E512" s="9" t="s">
        <v>206</v>
      </c>
      <c r="F512" s="10">
        <v>14657.6</v>
      </c>
      <c r="G512" s="10">
        <v>0</v>
      </c>
      <c r="H512" s="10">
        <v>931</v>
      </c>
      <c r="I512" s="10">
        <v>40</v>
      </c>
      <c r="J512" s="10">
        <v>266</v>
      </c>
      <c r="K512" s="6">
        <f t="shared" si="7"/>
        <v>15894.6</v>
      </c>
      <c r="M512" t="str">
        <f>VLOOKUP(B512,'[2]TABULADOR ok'!$A$2:$I$424,7,FALSE)</f>
        <v>T9</v>
      </c>
      <c r="N512" t="str">
        <f>VLOOKUP(B512,'[2]TABULADOR ok'!$A$2:$I$424,8,FALSE)</f>
        <v>T14007</v>
      </c>
      <c r="O512">
        <f>VLOOKUP(B512,'[2]TABULADOR ok'!$A$2:$I$424,9,FALSE)</f>
        <v>95</v>
      </c>
    </row>
    <row r="513" spans="1:15" x14ac:dyDescent="0.25">
      <c r="A513" s="7">
        <v>2016</v>
      </c>
      <c r="B513" s="8" t="s">
        <v>207</v>
      </c>
      <c r="C513" s="8" t="s">
        <v>208</v>
      </c>
      <c r="D513" s="8" t="s">
        <v>184</v>
      </c>
      <c r="E513" s="9" t="s">
        <v>209</v>
      </c>
      <c r="F513" s="10">
        <v>14657.6</v>
      </c>
      <c r="G513" s="10">
        <v>0</v>
      </c>
      <c r="H513" s="10">
        <v>931</v>
      </c>
      <c r="I513" s="10">
        <v>40</v>
      </c>
      <c r="J513" s="10">
        <v>266</v>
      </c>
      <c r="K513" s="6">
        <f t="shared" si="7"/>
        <v>15894.6</v>
      </c>
      <c r="M513" t="str">
        <f>VLOOKUP(B513,'[2]TABULADOR ok'!$A$2:$I$424,7,FALSE)</f>
        <v>T9</v>
      </c>
      <c r="N513" t="str">
        <f>VLOOKUP(B513,'[2]TABULADOR ok'!$A$2:$I$424,8,FALSE)</f>
        <v>T26806</v>
      </c>
      <c r="O513">
        <f>VLOOKUP(B513,'[2]TABULADOR ok'!$A$2:$I$424,9,FALSE)</f>
        <v>95</v>
      </c>
    </row>
    <row r="514" spans="1:15" x14ac:dyDescent="0.25">
      <c r="A514" s="4">
        <v>2015</v>
      </c>
      <c r="B514" s="11" t="s">
        <v>10</v>
      </c>
      <c r="C514" s="11" t="s">
        <v>11</v>
      </c>
      <c r="D514" s="11" t="s">
        <v>12</v>
      </c>
      <c r="E514" s="12" t="s">
        <v>13</v>
      </c>
      <c r="F514" s="5">
        <v>7101.3</v>
      </c>
      <c r="G514" s="5">
        <v>0</v>
      </c>
      <c r="H514" s="5">
        <v>931</v>
      </c>
      <c r="I514" s="5">
        <v>40</v>
      </c>
      <c r="J514" s="5">
        <v>266</v>
      </c>
      <c r="K514" s="6">
        <f>SUM(F514:J514)</f>
        <v>8338.2999999999993</v>
      </c>
      <c r="M514" t="str">
        <f>VLOOKUP(B514,'[2]TABULADOR ok'!$A$2:$I$424,7,FALSE)</f>
        <v>T1</v>
      </c>
      <c r="N514" t="str">
        <f>VLOOKUP(B514,'[2]TABULADOR ok'!$A$2:$I$424,8,FALSE)</f>
        <v>S01893</v>
      </c>
      <c r="O514">
        <f>VLOOKUP(B514,'[2]TABULADOR ok'!$A$2:$I$424,9,FALSE)</f>
        <v>95</v>
      </c>
    </row>
    <row r="515" spans="1:15" x14ac:dyDescent="0.25">
      <c r="A515" s="4">
        <v>2015</v>
      </c>
      <c r="B515" s="11" t="s">
        <v>14</v>
      </c>
      <c r="C515" s="11" t="s">
        <v>15</v>
      </c>
      <c r="D515" s="11" t="s">
        <v>16</v>
      </c>
      <c r="E515" s="12" t="s">
        <v>17</v>
      </c>
      <c r="F515" s="5">
        <v>7447.85</v>
      </c>
      <c r="G515" s="5">
        <v>0</v>
      </c>
      <c r="H515" s="5">
        <v>931</v>
      </c>
      <c r="I515" s="5">
        <v>40</v>
      </c>
      <c r="J515" s="5">
        <v>266</v>
      </c>
      <c r="K515" s="6">
        <f t="shared" ref="K515:K573" si="8">SUM(F515:J515)</f>
        <v>8684.85</v>
      </c>
      <c r="M515" t="str">
        <f>VLOOKUP(B515,'[2]TABULADOR ok'!$A$2:$I$424,7,FALSE)</f>
        <v>T2</v>
      </c>
      <c r="N515" t="str">
        <f>VLOOKUP(B515,'[2]TABULADOR ok'!$A$2:$I$424,8,FALSE)</f>
        <v>S01891</v>
      </c>
      <c r="O515">
        <f>VLOOKUP(B515,'[2]TABULADOR ok'!$A$2:$I$424,9,FALSE)</f>
        <v>95</v>
      </c>
    </row>
    <row r="516" spans="1:15" x14ac:dyDescent="0.25">
      <c r="A516" s="4">
        <v>2015</v>
      </c>
      <c r="B516" s="11" t="s">
        <v>18</v>
      </c>
      <c r="C516" s="11" t="s">
        <v>19</v>
      </c>
      <c r="D516" s="11" t="s">
        <v>16</v>
      </c>
      <c r="E516" s="12" t="s">
        <v>20</v>
      </c>
      <c r="F516" s="5">
        <v>7447.85</v>
      </c>
      <c r="G516" s="5">
        <v>0</v>
      </c>
      <c r="H516" s="5">
        <v>931</v>
      </c>
      <c r="I516" s="5">
        <v>40</v>
      </c>
      <c r="J516" s="5">
        <v>266</v>
      </c>
      <c r="K516" s="6">
        <f t="shared" si="8"/>
        <v>8684.85</v>
      </c>
      <c r="M516" t="str">
        <f>VLOOKUP(B516,'[2]TABULADOR ok'!$A$2:$I$424,7,FALSE)</f>
        <v>T2</v>
      </c>
      <c r="N516" t="str">
        <f>VLOOKUP(B516,'[2]TABULADOR ok'!$A$2:$I$424,8,FALSE)</f>
        <v>S03833</v>
      </c>
      <c r="O516">
        <f>VLOOKUP(B516,'[2]TABULADOR ok'!$A$2:$I$424,9,FALSE)</f>
        <v>95</v>
      </c>
    </row>
    <row r="517" spans="1:15" x14ac:dyDescent="0.25">
      <c r="A517" s="4">
        <v>2015</v>
      </c>
      <c r="B517" s="11" t="s">
        <v>21</v>
      </c>
      <c r="C517" s="11" t="s">
        <v>22</v>
      </c>
      <c r="D517" s="11" t="s">
        <v>16</v>
      </c>
      <c r="E517" s="12" t="s">
        <v>23</v>
      </c>
      <c r="F517" s="5">
        <v>7447.85</v>
      </c>
      <c r="G517" s="5">
        <v>0</v>
      </c>
      <c r="H517" s="5">
        <v>931</v>
      </c>
      <c r="I517" s="5">
        <v>40</v>
      </c>
      <c r="J517" s="5">
        <v>266</v>
      </c>
      <c r="K517" s="6">
        <f t="shared" si="8"/>
        <v>8684.85</v>
      </c>
      <c r="M517" t="str">
        <f>VLOOKUP(B517,'[2]TABULADOR ok'!$A$2:$I$424,7,FALSE)</f>
        <v>T2</v>
      </c>
      <c r="N517" t="str">
        <f>VLOOKUP(B517,'[2]TABULADOR ok'!$A$2:$I$424,8,FALSE)</f>
        <v>S12091</v>
      </c>
      <c r="O517">
        <f>VLOOKUP(B517,'[2]TABULADOR ok'!$A$2:$I$424,9,FALSE)</f>
        <v>95</v>
      </c>
    </row>
    <row r="518" spans="1:15" x14ac:dyDescent="0.25">
      <c r="A518" s="4">
        <v>2015</v>
      </c>
      <c r="B518" s="11" t="s">
        <v>24</v>
      </c>
      <c r="C518" s="11" t="s">
        <v>24</v>
      </c>
      <c r="D518" s="11" t="s">
        <v>25</v>
      </c>
      <c r="E518" s="12" t="s">
        <v>26</v>
      </c>
      <c r="F518" s="5">
        <v>7794.2</v>
      </c>
      <c r="G518" s="5">
        <v>0</v>
      </c>
      <c r="H518" s="5">
        <v>931</v>
      </c>
      <c r="I518" s="5">
        <v>40</v>
      </c>
      <c r="J518" s="5">
        <v>266</v>
      </c>
      <c r="K518" s="6">
        <f t="shared" si="8"/>
        <v>9031.2000000000007</v>
      </c>
      <c r="M518" t="str">
        <f>VLOOKUP(B518,'[2]TABULADOR ok'!$A$2:$I$424,7,FALSE)</f>
        <v>T3</v>
      </c>
      <c r="N518" t="str">
        <f>VLOOKUP(B518,'[2]TABULADOR ok'!$A$2:$I$424,8,FALSE)</f>
        <v>A01023</v>
      </c>
      <c r="O518">
        <f>VLOOKUP(B518,'[2]TABULADOR ok'!$A$2:$I$424,9,FALSE)</f>
        <v>95</v>
      </c>
    </row>
    <row r="519" spans="1:15" x14ac:dyDescent="0.25">
      <c r="A519" s="4">
        <v>2015</v>
      </c>
      <c r="B519" s="11" t="s">
        <v>27</v>
      </c>
      <c r="C519" s="11" t="s">
        <v>28</v>
      </c>
      <c r="D519" s="11" t="s">
        <v>25</v>
      </c>
      <c r="E519" s="12" t="s">
        <v>29</v>
      </c>
      <c r="F519" s="5">
        <v>7794.2</v>
      </c>
      <c r="G519" s="5">
        <v>0</v>
      </c>
      <c r="H519" s="5">
        <v>931</v>
      </c>
      <c r="I519" s="5">
        <v>40</v>
      </c>
      <c r="J519" s="5">
        <v>266</v>
      </c>
      <c r="K519" s="6">
        <f t="shared" si="8"/>
        <v>9031.2000000000007</v>
      </c>
      <c r="M519" t="str">
        <f>VLOOKUP(B519,'[2]TABULADOR ok'!$A$2:$I$424,7,FALSE)</f>
        <v>T3</v>
      </c>
      <c r="N519" t="str">
        <f>VLOOKUP(B519,'[2]TABULADOR ok'!$A$2:$I$424,8,FALSE)</f>
        <v>A01040</v>
      </c>
      <c r="O519">
        <f>VLOOKUP(B519,'[2]TABULADOR ok'!$A$2:$I$424,9,FALSE)</f>
        <v>95</v>
      </c>
    </row>
    <row r="520" spans="1:15" x14ac:dyDescent="0.25">
      <c r="A520" s="4">
        <v>2015</v>
      </c>
      <c r="B520" s="11" t="s">
        <v>30</v>
      </c>
      <c r="C520" s="11" t="s">
        <v>31</v>
      </c>
      <c r="D520" s="11" t="s">
        <v>25</v>
      </c>
      <c r="E520" s="12" t="s">
        <v>32</v>
      </c>
      <c r="F520" s="5">
        <v>7794.2</v>
      </c>
      <c r="G520" s="5">
        <v>0</v>
      </c>
      <c r="H520" s="5">
        <v>931</v>
      </c>
      <c r="I520" s="5">
        <v>40</v>
      </c>
      <c r="J520" s="5">
        <v>266</v>
      </c>
      <c r="K520" s="6">
        <f t="shared" si="8"/>
        <v>9031.2000000000007</v>
      </c>
      <c r="M520" t="str">
        <f>VLOOKUP(B520,'[2]TABULADOR ok'!$A$2:$I$424,7,FALSE)</f>
        <v>T3</v>
      </c>
      <c r="N520" t="str">
        <f>VLOOKUP(B520,'[2]TABULADOR ok'!$A$2:$I$424,8,FALSE)</f>
        <v>A02813</v>
      </c>
      <c r="O520">
        <f>VLOOKUP(B520,'[2]TABULADOR ok'!$A$2:$I$424,9,FALSE)</f>
        <v>95</v>
      </c>
    </row>
    <row r="521" spans="1:15" x14ac:dyDescent="0.25">
      <c r="A521" s="4">
        <v>2015</v>
      </c>
      <c r="B521" s="11" t="s">
        <v>33</v>
      </c>
      <c r="C521" s="11" t="s">
        <v>34</v>
      </c>
      <c r="D521" s="11" t="s">
        <v>25</v>
      </c>
      <c r="E521" s="12" t="s">
        <v>35</v>
      </c>
      <c r="F521" s="5">
        <v>7794.2</v>
      </c>
      <c r="G521" s="5">
        <v>0</v>
      </c>
      <c r="H521" s="5">
        <v>931</v>
      </c>
      <c r="I521" s="5">
        <v>40</v>
      </c>
      <c r="J521" s="5">
        <v>266</v>
      </c>
      <c r="K521" s="6">
        <f t="shared" si="8"/>
        <v>9031.2000000000007</v>
      </c>
      <c r="M521" t="str">
        <f>VLOOKUP(B521,'[2]TABULADOR ok'!$A$2:$I$424,7,FALSE)</f>
        <v>T3</v>
      </c>
      <c r="N521" t="str">
        <f>VLOOKUP(B521,'[2]TABULADOR ok'!$A$2:$I$424,8,FALSE)</f>
        <v>A03832</v>
      </c>
      <c r="O521">
        <f>VLOOKUP(B521,'[2]TABULADOR ok'!$A$2:$I$424,9,FALSE)</f>
        <v>95</v>
      </c>
    </row>
    <row r="522" spans="1:15" x14ac:dyDescent="0.25">
      <c r="A522" s="4">
        <v>2015</v>
      </c>
      <c r="B522" s="11" t="s">
        <v>36</v>
      </c>
      <c r="C522" s="11" t="s">
        <v>37</v>
      </c>
      <c r="D522" s="11" t="s">
        <v>25</v>
      </c>
      <c r="E522" s="12" t="s">
        <v>38</v>
      </c>
      <c r="F522" s="5">
        <v>7794.2</v>
      </c>
      <c r="G522" s="5">
        <v>0</v>
      </c>
      <c r="H522" s="5">
        <v>931</v>
      </c>
      <c r="I522" s="5">
        <v>40</v>
      </c>
      <c r="J522" s="5">
        <v>266</v>
      </c>
      <c r="K522" s="6">
        <f t="shared" si="8"/>
        <v>9031.2000000000007</v>
      </c>
      <c r="M522" t="str">
        <f>VLOOKUP(B522,'[2]TABULADOR ok'!$A$2:$I$424,7,FALSE)</f>
        <v>T3</v>
      </c>
      <c r="N522" t="str">
        <f>VLOOKUP(B522,'[2]TABULADOR ok'!$A$2:$I$424,8,FALSE)</f>
        <v>A05012</v>
      </c>
      <c r="O522">
        <f>VLOOKUP(B522,'[2]TABULADOR ok'!$A$2:$I$424,9,FALSE)</f>
        <v>95</v>
      </c>
    </row>
    <row r="523" spans="1:15" x14ac:dyDescent="0.25">
      <c r="A523" s="4">
        <v>2015</v>
      </c>
      <c r="B523" s="11" t="s">
        <v>39</v>
      </c>
      <c r="C523" s="11" t="s">
        <v>40</v>
      </c>
      <c r="D523" s="11" t="s">
        <v>25</v>
      </c>
      <c r="E523" s="12" t="s">
        <v>41</v>
      </c>
      <c r="F523" s="5">
        <v>7794.2</v>
      </c>
      <c r="G523" s="5">
        <v>0</v>
      </c>
      <c r="H523" s="5">
        <v>931</v>
      </c>
      <c r="I523" s="5">
        <v>40</v>
      </c>
      <c r="J523" s="5">
        <v>266</v>
      </c>
      <c r="K523" s="6">
        <f t="shared" si="8"/>
        <v>9031.2000000000007</v>
      </c>
      <c r="M523" t="str">
        <f>VLOOKUP(B523,'[2]TABULADOR ok'!$A$2:$I$424,7,FALSE)</f>
        <v>T3</v>
      </c>
      <c r="N523" t="str">
        <f>VLOOKUP(B523,'[2]TABULADOR ok'!$A$2:$I$424,8,FALSE)</f>
        <v>S01890</v>
      </c>
      <c r="O523">
        <f>VLOOKUP(B523,'[2]TABULADOR ok'!$A$2:$I$424,9,FALSE)</f>
        <v>95</v>
      </c>
    </row>
    <row r="524" spans="1:15" x14ac:dyDescent="0.25">
      <c r="A524" s="4">
        <v>2015</v>
      </c>
      <c r="B524" s="11" t="s">
        <v>42</v>
      </c>
      <c r="C524" s="11" t="s">
        <v>43</v>
      </c>
      <c r="D524" s="11" t="s">
        <v>25</v>
      </c>
      <c r="E524" s="12" t="s">
        <v>44</v>
      </c>
      <c r="F524" s="5">
        <v>7794.2</v>
      </c>
      <c r="G524" s="5">
        <v>0</v>
      </c>
      <c r="H524" s="5">
        <v>931</v>
      </c>
      <c r="I524" s="5">
        <v>40</v>
      </c>
      <c r="J524" s="5">
        <v>266</v>
      </c>
      <c r="K524" s="6">
        <f t="shared" si="8"/>
        <v>9031.2000000000007</v>
      </c>
      <c r="M524" t="str">
        <f>VLOOKUP(B524,'[2]TABULADOR ok'!$A$2:$I$424,7,FALSE)</f>
        <v>T3</v>
      </c>
      <c r="N524" t="str">
        <f>VLOOKUP(B524,'[2]TABULADOR ok'!$A$2:$I$424,8,FALSE)</f>
        <v>S01894</v>
      </c>
      <c r="O524">
        <f>VLOOKUP(B524,'[2]TABULADOR ok'!$A$2:$I$424,9,FALSE)</f>
        <v>95</v>
      </c>
    </row>
    <row r="525" spans="1:15" x14ac:dyDescent="0.25">
      <c r="A525" s="4">
        <v>2015</v>
      </c>
      <c r="B525" s="11" t="s">
        <v>45</v>
      </c>
      <c r="C525" s="11" t="s">
        <v>46</v>
      </c>
      <c r="D525" s="11" t="s">
        <v>47</v>
      </c>
      <c r="E525" s="12" t="s">
        <v>48</v>
      </c>
      <c r="F525" s="5">
        <v>8555.75</v>
      </c>
      <c r="G525" s="5">
        <v>0</v>
      </c>
      <c r="H525" s="5">
        <v>931</v>
      </c>
      <c r="I525" s="5">
        <v>40</v>
      </c>
      <c r="J525" s="5">
        <v>266</v>
      </c>
      <c r="K525" s="6">
        <f t="shared" si="8"/>
        <v>9792.75</v>
      </c>
      <c r="M525" t="str">
        <f>VLOOKUP(B525,'[2]TABULADOR ok'!$A$2:$I$424,7,FALSE)</f>
        <v>T4</v>
      </c>
      <c r="N525" t="str">
        <f>VLOOKUP(B525,'[2]TABULADOR ok'!$A$2:$I$424,8,FALSE)</f>
        <v>A03841</v>
      </c>
      <c r="O525">
        <f>VLOOKUP(B525,'[2]TABULADOR ok'!$A$2:$I$424,9,FALSE)</f>
        <v>95</v>
      </c>
    </row>
    <row r="526" spans="1:15" x14ac:dyDescent="0.25">
      <c r="A526" s="4">
        <v>2015</v>
      </c>
      <c r="B526" s="11" t="s">
        <v>49</v>
      </c>
      <c r="C526" s="11" t="s">
        <v>50</v>
      </c>
      <c r="D526" s="11" t="s">
        <v>47</v>
      </c>
      <c r="E526" s="12" t="s">
        <v>51</v>
      </c>
      <c r="F526" s="5">
        <v>8555.75</v>
      </c>
      <c r="G526" s="5">
        <v>0</v>
      </c>
      <c r="H526" s="5">
        <v>931</v>
      </c>
      <c r="I526" s="5">
        <v>40</v>
      </c>
      <c r="J526" s="5">
        <v>266</v>
      </c>
      <c r="K526" s="6">
        <f t="shared" si="8"/>
        <v>9792.75</v>
      </c>
      <c r="M526" t="str">
        <f>VLOOKUP(B526,'[2]TABULADOR ok'!$A$2:$I$424,7,FALSE)</f>
        <v>T4</v>
      </c>
      <c r="N526" t="str">
        <f>VLOOKUP(B526,'[2]TABULADOR ok'!$A$2:$I$424,8,FALSE)</f>
        <v>C02810</v>
      </c>
      <c r="O526">
        <f>VLOOKUP(B526,'[2]TABULADOR ok'!$A$2:$I$424,9,FALSE)</f>
        <v>95</v>
      </c>
    </row>
    <row r="527" spans="1:15" x14ac:dyDescent="0.25">
      <c r="A527" s="4">
        <v>2015</v>
      </c>
      <c r="B527" s="11" t="s">
        <v>52</v>
      </c>
      <c r="C527" s="11" t="s">
        <v>53</v>
      </c>
      <c r="D527" s="11" t="s">
        <v>47</v>
      </c>
      <c r="E527" s="12" t="s">
        <v>54</v>
      </c>
      <c r="F527" s="5">
        <v>8555.75</v>
      </c>
      <c r="G527" s="5">
        <v>0</v>
      </c>
      <c r="H527" s="5">
        <v>931</v>
      </c>
      <c r="I527" s="5">
        <v>40</v>
      </c>
      <c r="J527" s="5">
        <v>266</v>
      </c>
      <c r="K527" s="6">
        <f t="shared" si="8"/>
        <v>9792.75</v>
      </c>
      <c r="M527" t="str">
        <f>VLOOKUP(B527,'[2]TABULADOR ok'!$A$2:$I$424,7,FALSE)</f>
        <v>T4</v>
      </c>
      <c r="N527" t="str">
        <f>VLOOKUP(B527,'[2]TABULADOR ok'!$A$2:$I$424,8,FALSE)</f>
        <v>S01889</v>
      </c>
      <c r="O527">
        <f>VLOOKUP(B527,'[2]TABULADOR ok'!$A$2:$I$424,9,FALSE)</f>
        <v>95</v>
      </c>
    </row>
    <row r="528" spans="1:15" x14ac:dyDescent="0.25">
      <c r="A528" s="4">
        <v>2015</v>
      </c>
      <c r="B528" s="11" t="s">
        <v>55</v>
      </c>
      <c r="C528" s="11" t="s">
        <v>56</v>
      </c>
      <c r="D528" s="11" t="s">
        <v>47</v>
      </c>
      <c r="E528" s="12" t="s">
        <v>57</v>
      </c>
      <c r="F528" s="5">
        <v>8555.75</v>
      </c>
      <c r="G528" s="5">
        <v>0</v>
      </c>
      <c r="H528" s="5">
        <v>931</v>
      </c>
      <c r="I528" s="5">
        <v>40</v>
      </c>
      <c r="J528" s="5">
        <v>266</v>
      </c>
      <c r="K528" s="6">
        <f t="shared" si="8"/>
        <v>9792.75</v>
      </c>
      <c r="M528" t="str">
        <f>VLOOKUP(B528,'[2]TABULADOR ok'!$A$2:$I$424,7,FALSE)</f>
        <v>T4</v>
      </c>
      <c r="N528" t="str">
        <f>VLOOKUP(B528,'[2]TABULADOR ok'!$A$2:$I$424,8,FALSE)</f>
        <v>S01895</v>
      </c>
      <c r="O528">
        <f>VLOOKUP(B528,'[2]TABULADOR ok'!$A$2:$I$424,9,FALSE)</f>
        <v>95</v>
      </c>
    </row>
    <row r="529" spans="1:15" x14ac:dyDescent="0.25">
      <c r="A529" s="4">
        <v>2015</v>
      </c>
      <c r="B529" s="11" t="s">
        <v>58</v>
      </c>
      <c r="C529" s="11" t="s">
        <v>59</v>
      </c>
      <c r="D529" s="11" t="s">
        <v>47</v>
      </c>
      <c r="E529" s="12" t="s">
        <v>60</v>
      </c>
      <c r="F529" s="5">
        <v>8555.75</v>
      </c>
      <c r="G529" s="5">
        <v>0</v>
      </c>
      <c r="H529" s="5">
        <v>931</v>
      </c>
      <c r="I529" s="5">
        <v>40</v>
      </c>
      <c r="J529" s="5">
        <v>266</v>
      </c>
      <c r="K529" s="6">
        <f t="shared" si="8"/>
        <v>9792.75</v>
      </c>
      <c r="M529" t="str">
        <f>VLOOKUP(B529,'[2]TABULADOR ok'!$A$2:$I$424,7,FALSE)</f>
        <v>T4</v>
      </c>
      <c r="N529" t="str">
        <f>VLOOKUP(B529,'[2]TABULADOR ok'!$A$2:$I$424,8,FALSE)</f>
        <v>S03834</v>
      </c>
      <c r="O529">
        <f>VLOOKUP(B529,'[2]TABULADOR ok'!$A$2:$I$424,9,FALSE)</f>
        <v>95</v>
      </c>
    </row>
    <row r="530" spans="1:15" x14ac:dyDescent="0.25">
      <c r="A530" s="4">
        <v>2015</v>
      </c>
      <c r="B530" s="11" t="s">
        <v>61</v>
      </c>
      <c r="C530" s="11" t="s">
        <v>62</v>
      </c>
      <c r="D530" s="11" t="s">
        <v>47</v>
      </c>
      <c r="E530" s="12" t="s">
        <v>63</v>
      </c>
      <c r="F530" s="5">
        <v>8555.75</v>
      </c>
      <c r="G530" s="5">
        <v>0</v>
      </c>
      <c r="H530" s="5">
        <v>931</v>
      </c>
      <c r="I530" s="5">
        <v>40</v>
      </c>
      <c r="J530" s="5">
        <v>266</v>
      </c>
      <c r="K530" s="6">
        <f t="shared" si="8"/>
        <v>9792.75</v>
      </c>
      <c r="M530" t="str">
        <f>VLOOKUP(B530,'[2]TABULADOR ok'!$A$2:$I$424,7,FALSE)</f>
        <v>T4</v>
      </c>
      <c r="N530" t="str">
        <f>VLOOKUP(B530,'[2]TABULADOR ok'!$A$2:$I$424,8,FALSE)</f>
        <v>S12020</v>
      </c>
      <c r="O530">
        <f>VLOOKUP(B530,'[2]TABULADOR ok'!$A$2:$I$424,9,FALSE)</f>
        <v>95</v>
      </c>
    </row>
    <row r="531" spans="1:15" x14ac:dyDescent="0.25">
      <c r="A531" s="4">
        <v>2015</v>
      </c>
      <c r="B531" s="11" t="s">
        <v>64</v>
      </c>
      <c r="C531" s="11" t="s">
        <v>65</v>
      </c>
      <c r="D531" s="11" t="s">
        <v>47</v>
      </c>
      <c r="E531" s="12" t="s">
        <v>66</v>
      </c>
      <c r="F531" s="5">
        <v>8555.75</v>
      </c>
      <c r="G531" s="5">
        <v>0</v>
      </c>
      <c r="H531" s="5">
        <v>931</v>
      </c>
      <c r="I531" s="5">
        <v>40</v>
      </c>
      <c r="J531" s="5">
        <v>266</v>
      </c>
      <c r="K531" s="6">
        <f t="shared" si="8"/>
        <v>9792.75</v>
      </c>
      <c r="M531" t="str">
        <f>VLOOKUP(B531,'[2]TABULADOR ok'!$A$2:$I$424,7,FALSE)</f>
        <v>T4</v>
      </c>
      <c r="N531" t="str">
        <f>VLOOKUP(B531,'[2]TABULADOR ok'!$A$2:$I$424,8,FALSE)</f>
        <v>S12092</v>
      </c>
      <c r="O531">
        <f>VLOOKUP(B531,'[2]TABULADOR ok'!$A$2:$I$424,9,FALSE)</f>
        <v>95</v>
      </c>
    </row>
    <row r="532" spans="1:15" x14ac:dyDescent="0.25">
      <c r="A532" s="4">
        <v>2015</v>
      </c>
      <c r="B532" s="11" t="s">
        <v>67</v>
      </c>
      <c r="C532" s="11" t="s">
        <v>68</v>
      </c>
      <c r="D532" s="11" t="s">
        <v>47</v>
      </c>
      <c r="E532" s="12" t="s">
        <v>69</v>
      </c>
      <c r="F532" s="5">
        <v>8555.75</v>
      </c>
      <c r="G532" s="5">
        <v>0</v>
      </c>
      <c r="H532" s="5">
        <v>931</v>
      </c>
      <c r="I532" s="5">
        <v>40</v>
      </c>
      <c r="J532" s="5">
        <v>266</v>
      </c>
      <c r="K532" s="6">
        <f t="shared" si="8"/>
        <v>9792.75</v>
      </c>
      <c r="M532" t="str">
        <f>VLOOKUP(B532,'[2]TABULADOR ok'!$A$2:$I$424,7,FALSE)</f>
        <v>T4</v>
      </c>
      <c r="N532" t="str">
        <f>VLOOKUP(B532,'[2]TABULADOR ok'!$A$2:$I$424,8,FALSE)</f>
        <v>S12093</v>
      </c>
      <c r="O532">
        <f>VLOOKUP(B532,'[2]TABULADOR ok'!$A$2:$I$424,9,FALSE)</f>
        <v>95</v>
      </c>
    </row>
    <row r="533" spans="1:15" x14ac:dyDescent="0.25">
      <c r="A533" s="4">
        <v>2015</v>
      </c>
      <c r="B533" s="11" t="s">
        <v>70</v>
      </c>
      <c r="C533" s="11" t="s">
        <v>71</v>
      </c>
      <c r="D533" s="11" t="s">
        <v>47</v>
      </c>
      <c r="E533" s="12" t="s">
        <v>72</v>
      </c>
      <c r="F533" s="5">
        <v>8555.75</v>
      </c>
      <c r="G533" s="5">
        <v>0</v>
      </c>
      <c r="H533" s="5">
        <v>931</v>
      </c>
      <c r="I533" s="5">
        <v>40</v>
      </c>
      <c r="J533" s="5">
        <v>266</v>
      </c>
      <c r="K533" s="6">
        <f t="shared" si="8"/>
        <v>9792.75</v>
      </c>
      <c r="M533" t="str">
        <f>VLOOKUP(B533,'[2]TABULADOR ok'!$A$2:$I$424,7,FALSE)</f>
        <v>T4</v>
      </c>
      <c r="N533" t="str">
        <f>VLOOKUP(B533,'[2]TABULADOR ok'!$A$2:$I$424,8,FALSE)</f>
        <v>S12096</v>
      </c>
      <c r="O533">
        <f>VLOOKUP(B533,'[2]TABULADOR ok'!$A$2:$I$424,9,FALSE)</f>
        <v>95</v>
      </c>
    </row>
    <row r="534" spans="1:15" x14ac:dyDescent="0.25">
      <c r="A534" s="4">
        <v>2015</v>
      </c>
      <c r="B534" s="11" t="s">
        <v>73</v>
      </c>
      <c r="C534" s="11" t="s">
        <v>74</v>
      </c>
      <c r="D534" s="11" t="s">
        <v>47</v>
      </c>
      <c r="E534" s="12" t="s">
        <v>75</v>
      </c>
      <c r="F534" s="5">
        <v>8555.75</v>
      </c>
      <c r="G534" s="5">
        <v>0</v>
      </c>
      <c r="H534" s="5">
        <v>931</v>
      </c>
      <c r="I534" s="5">
        <v>40</v>
      </c>
      <c r="J534" s="5">
        <v>266</v>
      </c>
      <c r="K534" s="6">
        <f t="shared" si="8"/>
        <v>9792.75</v>
      </c>
      <c r="M534" t="str">
        <f>VLOOKUP(B534,'[2]TABULADOR ok'!$A$2:$I$424,7,FALSE)</f>
        <v>T4</v>
      </c>
      <c r="N534" t="str">
        <f>VLOOKUP(B534,'[2]TABULADOR ok'!$A$2:$I$424,8,FALSE)</f>
        <v>S12097</v>
      </c>
      <c r="O534">
        <f>VLOOKUP(B534,'[2]TABULADOR ok'!$A$2:$I$424,9,FALSE)</f>
        <v>95</v>
      </c>
    </row>
    <row r="535" spans="1:15" x14ac:dyDescent="0.25">
      <c r="A535" s="4">
        <v>2015</v>
      </c>
      <c r="B535" s="11" t="s">
        <v>76</v>
      </c>
      <c r="C535" s="11" t="s">
        <v>77</v>
      </c>
      <c r="D535" s="11" t="s">
        <v>47</v>
      </c>
      <c r="E535" s="12" t="s">
        <v>78</v>
      </c>
      <c r="F535" s="5">
        <v>8555.75</v>
      </c>
      <c r="G535" s="5">
        <v>0</v>
      </c>
      <c r="H535" s="5">
        <v>931</v>
      </c>
      <c r="I535" s="5">
        <v>40</v>
      </c>
      <c r="J535" s="5">
        <v>266</v>
      </c>
      <c r="K535" s="6">
        <f t="shared" si="8"/>
        <v>9792.75</v>
      </c>
      <c r="M535" t="str">
        <f>VLOOKUP(B535,'[2]TABULADOR ok'!$A$2:$I$424,7,FALSE)</f>
        <v>T4</v>
      </c>
      <c r="N535" t="str">
        <f>VLOOKUP(B535,'[2]TABULADOR ok'!$A$2:$I$424,8,FALSE)</f>
        <v>S12098</v>
      </c>
      <c r="O535">
        <f>VLOOKUP(B535,'[2]TABULADOR ok'!$A$2:$I$424,9,FALSE)</f>
        <v>95</v>
      </c>
    </row>
    <row r="536" spans="1:15" x14ac:dyDescent="0.25">
      <c r="A536" s="4">
        <v>2015</v>
      </c>
      <c r="B536" s="11" t="s">
        <v>79</v>
      </c>
      <c r="C536" s="11" t="s">
        <v>80</v>
      </c>
      <c r="D536" s="11" t="s">
        <v>47</v>
      </c>
      <c r="E536" s="12" t="s">
        <v>81</v>
      </c>
      <c r="F536" s="5">
        <v>8555.75</v>
      </c>
      <c r="G536" s="5">
        <v>0</v>
      </c>
      <c r="H536" s="5">
        <v>931</v>
      </c>
      <c r="I536" s="5">
        <v>40</v>
      </c>
      <c r="J536" s="5">
        <v>266</v>
      </c>
      <c r="K536" s="6">
        <f t="shared" si="8"/>
        <v>9792.75</v>
      </c>
      <c r="M536" t="str">
        <f>VLOOKUP(B536,'[2]TABULADOR ok'!$A$2:$I$424,7,FALSE)</f>
        <v>T4</v>
      </c>
      <c r="N536" t="str">
        <f>VLOOKUP(B536,'[2]TABULADOR ok'!$A$2:$I$424,8,FALSE)</f>
        <v>T06824</v>
      </c>
      <c r="O536">
        <f>VLOOKUP(B536,'[2]TABULADOR ok'!$A$2:$I$424,9,FALSE)</f>
        <v>95</v>
      </c>
    </row>
    <row r="537" spans="1:15" x14ac:dyDescent="0.25">
      <c r="A537" s="4">
        <v>2015</v>
      </c>
      <c r="B537" s="11" t="s">
        <v>82</v>
      </c>
      <c r="C537" s="11" t="s">
        <v>83</v>
      </c>
      <c r="D537" s="11" t="s">
        <v>84</v>
      </c>
      <c r="E537" s="12" t="s">
        <v>85</v>
      </c>
      <c r="F537" s="5">
        <v>9415.2999999999993</v>
      </c>
      <c r="G537" s="5">
        <v>0</v>
      </c>
      <c r="H537" s="5">
        <v>931</v>
      </c>
      <c r="I537" s="5">
        <v>40</v>
      </c>
      <c r="J537" s="5">
        <v>266</v>
      </c>
      <c r="K537" s="6">
        <f t="shared" si="8"/>
        <v>10652.3</v>
      </c>
      <c r="M537" t="str">
        <f>VLOOKUP(B537,'[2]TABULADOR ok'!$A$2:$I$424,7,FALSE)</f>
        <v>T5</v>
      </c>
      <c r="N537" t="str">
        <f>VLOOKUP(B537,'[2]TABULADOR ok'!$A$2:$I$424,8,FALSE)</f>
        <v>A01038</v>
      </c>
      <c r="O537">
        <f>VLOOKUP(B537,'[2]TABULADOR ok'!$A$2:$I$424,9,FALSE)</f>
        <v>95</v>
      </c>
    </row>
    <row r="538" spans="1:15" x14ac:dyDescent="0.25">
      <c r="A538" s="4">
        <v>2015</v>
      </c>
      <c r="B538" s="11" t="s">
        <v>86</v>
      </c>
      <c r="C538" s="11" t="s">
        <v>87</v>
      </c>
      <c r="D538" s="11" t="s">
        <v>84</v>
      </c>
      <c r="E538" s="12" t="s">
        <v>88</v>
      </c>
      <c r="F538" s="5">
        <v>9415.2999999999993</v>
      </c>
      <c r="G538" s="5">
        <v>0</v>
      </c>
      <c r="H538" s="5">
        <v>931</v>
      </c>
      <c r="I538" s="5">
        <v>40</v>
      </c>
      <c r="J538" s="5">
        <v>266</v>
      </c>
      <c r="K538" s="6">
        <f t="shared" si="8"/>
        <v>10652.3</v>
      </c>
      <c r="M538" t="str">
        <f>VLOOKUP(B538,'[2]TABULADOR ok'!$A$2:$I$424,7,FALSE)</f>
        <v>T5</v>
      </c>
      <c r="N538" t="str">
        <f>VLOOKUP(B538,'[2]TABULADOR ok'!$A$2:$I$424,8,FALSE)</f>
        <v>A03840</v>
      </c>
      <c r="O538">
        <f>VLOOKUP(B538,'[2]TABULADOR ok'!$A$2:$I$424,9,FALSE)</f>
        <v>95</v>
      </c>
    </row>
    <row r="539" spans="1:15" x14ac:dyDescent="0.25">
      <c r="A539" s="4">
        <v>2015</v>
      </c>
      <c r="B539" s="11" t="s">
        <v>89</v>
      </c>
      <c r="C539" s="11" t="s">
        <v>90</v>
      </c>
      <c r="D539" s="11" t="s">
        <v>84</v>
      </c>
      <c r="E539" s="12" t="s">
        <v>91</v>
      </c>
      <c r="F539" s="5">
        <v>9415.2999999999993</v>
      </c>
      <c r="G539" s="5">
        <v>0</v>
      </c>
      <c r="H539" s="5">
        <v>931</v>
      </c>
      <c r="I539" s="5">
        <v>40</v>
      </c>
      <c r="J539" s="5">
        <v>266</v>
      </c>
      <c r="K539" s="6">
        <f t="shared" si="8"/>
        <v>10652.3</v>
      </c>
      <c r="M539" t="str">
        <f>VLOOKUP(B539,'[2]TABULADOR ok'!$A$2:$I$424,7,FALSE)</f>
        <v>T5</v>
      </c>
      <c r="N539" t="str">
        <f>VLOOKUP(B539,'[2]TABULADOR ok'!$A$2:$I$424,8,FALSE)</f>
        <v>A05011</v>
      </c>
      <c r="O539">
        <f>VLOOKUP(B539,'[2]TABULADOR ok'!$A$2:$I$424,9,FALSE)</f>
        <v>95</v>
      </c>
    </row>
    <row r="540" spans="1:15" x14ac:dyDescent="0.25">
      <c r="A540" s="4">
        <v>2015</v>
      </c>
      <c r="B540" s="11" t="s">
        <v>92</v>
      </c>
      <c r="C540" s="11" t="s">
        <v>93</v>
      </c>
      <c r="D540" s="11" t="s">
        <v>84</v>
      </c>
      <c r="E540" s="12" t="s">
        <v>94</v>
      </c>
      <c r="F540" s="5">
        <v>9415.2999999999993</v>
      </c>
      <c r="G540" s="5">
        <v>0</v>
      </c>
      <c r="H540" s="5">
        <v>931</v>
      </c>
      <c r="I540" s="5">
        <v>40</v>
      </c>
      <c r="J540" s="5">
        <v>266</v>
      </c>
      <c r="K540" s="6">
        <f t="shared" si="8"/>
        <v>10652.3</v>
      </c>
      <c r="M540" t="str">
        <f>VLOOKUP(B540,'[2]TABULADOR ok'!$A$2:$I$424,7,FALSE)</f>
        <v>T5</v>
      </c>
      <c r="N540" t="str">
        <f>VLOOKUP(B540,'[2]TABULADOR ok'!$A$2:$I$424,8,FALSE)</f>
        <v>S01892</v>
      </c>
      <c r="O540">
        <f>VLOOKUP(B540,'[2]TABULADOR ok'!$A$2:$I$424,9,FALSE)</f>
        <v>95</v>
      </c>
    </row>
    <row r="541" spans="1:15" x14ac:dyDescent="0.25">
      <c r="A541" s="4">
        <v>2015</v>
      </c>
      <c r="B541" s="11" t="s">
        <v>95</v>
      </c>
      <c r="C541" s="11" t="s">
        <v>96</v>
      </c>
      <c r="D541" s="11" t="s">
        <v>84</v>
      </c>
      <c r="E541" s="12" t="s">
        <v>97</v>
      </c>
      <c r="F541" s="5">
        <v>9415.2999999999993</v>
      </c>
      <c r="G541" s="5">
        <v>0</v>
      </c>
      <c r="H541" s="5">
        <v>931</v>
      </c>
      <c r="I541" s="5">
        <v>40</v>
      </c>
      <c r="J541" s="5">
        <v>266</v>
      </c>
      <c r="K541" s="6">
        <f t="shared" si="8"/>
        <v>10652.3</v>
      </c>
      <c r="M541" t="str">
        <f>VLOOKUP(B541,'[2]TABULADOR ok'!$A$2:$I$424,7,FALSE)</f>
        <v>T5</v>
      </c>
      <c r="N541" t="str">
        <f>VLOOKUP(B541,'[2]TABULADOR ok'!$A$2:$I$424,8,FALSE)</f>
        <v>S01896</v>
      </c>
      <c r="O541">
        <f>VLOOKUP(B541,'[2]TABULADOR ok'!$A$2:$I$424,9,FALSE)</f>
        <v>95</v>
      </c>
    </row>
    <row r="542" spans="1:15" x14ac:dyDescent="0.25">
      <c r="A542" s="4">
        <v>2015</v>
      </c>
      <c r="B542" s="11" t="s">
        <v>98</v>
      </c>
      <c r="C542" s="11" t="s">
        <v>99</v>
      </c>
      <c r="D542" s="11" t="s">
        <v>84</v>
      </c>
      <c r="E542" s="12" t="s">
        <v>100</v>
      </c>
      <c r="F542" s="5">
        <v>9415.2999999999993</v>
      </c>
      <c r="G542" s="5">
        <v>0</v>
      </c>
      <c r="H542" s="5">
        <v>931</v>
      </c>
      <c r="I542" s="5">
        <v>40</v>
      </c>
      <c r="J542" s="5">
        <v>266</v>
      </c>
      <c r="K542" s="6">
        <f t="shared" si="8"/>
        <v>10652.3</v>
      </c>
      <c r="M542" t="str">
        <f>VLOOKUP(B542,'[2]TABULADOR ok'!$A$2:$I$424,7,FALSE)</f>
        <v>T5</v>
      </c>
      <c r="N542" t="str">
        <f>VLOOKUP(B542,'[2]TABULADOR ok'!$A$2:$I$424,8,FALSE)</f>
        <v>S12011</v>
      </c>
      <c r="O542">
        <f>VLOOKUP(B542,'[2]TABULADOR ok'!$A$2:$I$424,9,FALSE)</f>
        <v>95</v>
      </c>
    </row>
    <row r="543" spans="1:15" x14ac:dyDescent="0.25">
      <c r="A543" s="4">
        <v>2015</v>
      </c>
      <c r="B543" s="11" t="s">
        <v>101</v>
      </c>
      <c r="C543" s="11" t="s">
        <v>102</v>
      </c>
      <c r="D543" s="11" t="s">
        <v>84</v>
      </c>
      <c r="E543" s="12" t="s">
        <v>103</v>
      </c>
      <c r="F543" s="5">
        <v>9415.2999999999993</v>
      </c>
      <c r="G543" s="5">
        <v>0</v>
      </c>
      <c r="H543" s="5">
        <v>931</v>
      </c>
      <c r="I543" s="5">
        <v>40</v>
      </c>
      <c r="J543" s="5">
        <v>266</v>
      </c>
      <c r="K543" s="6">
        <f t="shared" si="8"/>
        <v>10652.3</v>
      </c>
      <c r="M543" t="str">
        <f>VLOOKUP(B543,'[2]TABULADOR ok'!$A$2:$I$424,7,FALSE)</f>
        <v>T5</v>
      </c>
      <c r="N543" t="str">
        <f>VLOOKUP(B543,'[2]TABULADOR ok'!$A$2:$I$424,8,FALSE)</f>
        <v>S12094</v>
      </c>
      <c r="O543">
        <f>VLOOKUP(B543,'[2]TABULADOR ok'!$A$2:$I$424,9,FALSE)</f>
        <v>95</v>
      </c>
    </row>
    <row r="544" spans="1:15" x14ac:dyDescent="0.25">
      <c r="A544" s="4">
        <v>2015</v>
      </c>
      <c r="B544" s="11" t="s">
        <v>104</v>
      </c>
      <c r="C544" s="11" t="s">
        <v>105</v>
      </c>
      <c r="D544" s="11" t="s">
        <v>84</v>
      </c>
      <c r="E544" s="12" t="s">
        <v>106</v>
      </c>
      <c r="F544" s="5">
        <v>9415.2999999999993</v>
      </c>
      <c r="G544" s="5">
        <v>0</v>
      </c>
      <c r="H544" s="5">
        <v>931</v>
      </c>
      <c r="I544" s="5">
        <v>40</v>
      </c>
      <c r="J544" s="5">
        <v>266</v>
      </c>
      <c r="K544" s="6">
        <f t="shared" si="8"/>
        <v>10652.3</v>
      </c>
      <c r="M544" t="str">
        <f>VLOOKUP(B544,'[2]TABULADOR ok'!$A$2:$I$424,7,FALSE)</f>
        <v>T5</v>
      </c>
      <c r="N544" t="str">
        <f>VLOOKUP(B544,'[2]TABULADOR ok'!$A$2:$I$424,8,FALSE)</f>
        <v>T03853</v>
      </c>
      <c r="O544">
        <f>VLOOKUP(B544,'[2]TABULADOR ok'!$A$2:$I$424,9,FALSE)</f>
        <v>95</v>
      </c>
    </row>
    <row r="545" spans="1:15" x14ac:dyDescent="0.25">
      <c r="A545" s="4">
        <v>2015</v>
      </c>
      <c r="B545" s="11" t="s">
        <v>107</v>
      </c>
      <c r="C545" s="11" t="s">
        <v>108</v>
      </c>
      <c r="D545" s="11" t="s">
        <v>84</v>
      </c>
      <c r="E545" s="12" t="s">
        <v>109</v>
      </c>
      <c r="F545" s="5">
        <v>9415.2999999999993</v>
      </c>
      <c r="G545" s="5">
        <v>0</v>
      </c>
      <c r="H545" s="5">
        <v>931</v>
      </c>
      <c r="I545" s="5">
        <v>40</v>
      </c>
      <c r="J545" s="5">
        <v>266</v>
      </c>
      <c r="K545" s="6">
        <f t="shared" si="8"/>
        <v>10652.3</v>
      </c>
      <c r="M545" t="str">
        <f>VLOOKUP(B545,'[2]TABULADOR ok'!$A$2:$I$424,7,FALSE)</f>
        <v>T5</v>
      </c>
      <c r="N545" t="str">
        <f>VLOOKUP(B545,'[2]TABULADOR ok'!$A$2:$I$424,8,FALSE)</f>
        <v>T13818</v>
      </c>
      <c r="O545">
        <f>VLOOKUP(B545,'[2]TABULADOR ok'!$A$2:$I$424,9,FALSE)</f>
        <v>95</v>
      </c>
    </row>
    <row r="546" spans="1:15" x14ac:dyDescent="0.25">
      <c r="A546" s="4">
        <v>2015</v>
      </c>
      <c r="B546" s="11" t="s">
        <v>110</v>
      </c>
      <c r="C546" s="11" t="s">
        <v>111</v>
      </c>
      <c r="D546" s="11" t="s">
        <v>84</v>
      </c>
      <c r="E546" s="12" t="s">
        <v>112</v>
      </c>
      <c r="F546" s="5">
        <v>9415.2999999999993</v>
      </c>
      <c r="G546" s="5">
        <v>0</v>
      </c>
      <c r="H546" s="5">
        <v>931</v>
      </c>
      <c r="I546" s="5">
        <v>40</v>
      </c>
      <c r="J546" s="5">
        <v>266</v>
      </c>
      <c r="K546" s="6">
        <f t="shared" si="8"/>
        <v>10652.3</v>
      </c>
      <c r="M546" t="str">
        <f>VLOOKUP(B546,'[2]TABULADOR ok'!$A$2:$I$424,7,FALSE)</f>
        <v>T5</v>
      </c>
      <c r="N546" t="str">
        <f>VLOOKUP(B546,'[2]TABULADOR ok'!$A$2:$I$424,8,FALSE)</f>
        <v>T14034</v>
      </c>
      <c r="O546">
        <f>VLOOKUP(B546,'[2]TABULADOR ok'!$A$2:$I$424,9,FALSE)</f>
        <v>95</v>
      </c>
    </row>
    <row r="547" spans="1:15" x14ac:dyDescent="0.25">
      <c r="A547" s="4">
        <v>2015</v>
      </c>
      <c r="B547" s="11" t="s">
        <v>113</v>
      </c>
      <c r="C547" s="11" t="s">
        <v>114</v>
      </c>
      <c r="D547" s="11" t="s">
        <v>115</v>
      </c>
      <c r="E547" s="12" t="s">
        <v>116</v>
      </c>
      <c r="F547" s="5">
        <v>10474.85</v>
      </c>
      <c r="G547" s="5">
        <v>0</v>
      </c>
      <c r="H547" s="5">
        <v>931</v>
      </c>
      <c r="I547" s="5">
        <v>40</v>
      </c>
      <c r="J547" s="5">
        <v>266</v>
      </c>
      <c r="K547" s="6">
        <f t="shared" si="8"/>
        <v>11711.85</v>
      </c>
      <c r="M547" t="str">
        <f>VLOOKUP(B547,'[2]TABULADOR ok'!$A$2:$I$424,7,FALSE)</f>
        <v>T6</v>
      </c>
      <c r="N547" t="str">
        <f>VLOOKUP(B547,'[2]TABULADOR ok'!$A$2:$I$424,8,FALSE)</f>
        <v>A03839</v>
      </c>
      <c r="O547">
        <f>VLOOKUP(B547,'[2]TABULADOR ok'!$A$2:$I$424,9,FALSE)</f>
        <v>95</v>
      </c>
    </row>
    <row r="548" spans="1:15" x14ac:dyDescent="0.25">
      <c r="A548" s="4">
        <v>2015</v>
      </c>
      <c r="B548" s="11" t="s">
        <v>117</v>
      </c>
      <c r="C548" s="11" t="s">
        <v>118</v>
      </c>
      <c r="D548" s="11" t="s">
        <v>115</v>
      </c>
      <c r="E548" s="12" t="s">
        <v>119</v>
      </c>
      <c r="F548" s="5">
        <v>10474.85</v>
      </c>
      <c r="G548" s="5">
        <v>0</v>
      </c>
      <c r="H548" s="5">
        <v>931</v>
      </c>
      <c r="I548" s="5">
        <v>40</v>
      </c>
      <c r="J548" s="5">
        <v>266</v>
      </c>
      <c r="K548" s="6">
        <f t="shared" si="8"/>
        <v>11711.85</v>
      </c>
      <c r="M548" t="str">
        <f>VLOOKUP(B548,'[2]TABULADOR ok'!$A$2:$I$424,7,FALSE)</f>
        <v>T6</v>
      </c>
      <c r="N548" t="str">
        <f>VLOOKUP(B548,'[2]TABULADOR ok'!$A$2:$I$424,8,FALSE)</f>
        <v>P07027</v>
      </c>
      <c r="O548">
        <f>VLOOKUP(B548,'[2]TABULADOR ok'!$A$2:$I$424,9,FALSE)</f>
        <v>95</v>
      </c>
    </row>
    <row r="549" spans="1:15" x14ac:dyDescent="0.25">
      <c r="A549" s="4">
        <v>2015</v>
      </c>
      <c r="B549" s="11" t="s">
        <v>120</v>
      </c>
      <c r="C549" s="11" t="s">
        <v>121</v>
      </c>
      <c r="D549" s="11" t="s">
        <v>115</v>
      </c>
      <c r="E549" s="12" t="s">
        <v>122</v>
      </c>
      <c r="F549" s="5">
        <v>10474.85</v>
      </c>
      <c r="G549" s="5">
        <v>0</v>
      </c>
      <c r="H549" s="5">
        <v>931</v>
      </c>
      <c r="I549" s="5">
        <v>40</v>
      </c>
      <c r="J549" s="5">
        <v>266</v>
      </c>
      <c r="K549" s="6">
        <f t="shared" si="8"/>
        <v>11711.85</v>
      </c>
      <c r="M549" t="str">
        <f>VLOOKUP(B549,'[2]TABULADOR ok'!$A$2:$I$424,7,FALSE)</f>
        <v>T6</v>
      </c>
      <c r="N549" t="str">
        <f>VLOOKUP(B549,'[2]TABULADOR ok'!$A$2:$I$424,8,FALSE)</f>
        <v>S03830</v>
      </c>
      <c r="O549">
        <f>VLOOKUP(B549,'[2]TABULADOR ok'!$A$2:$I$424,9,FALSE)</f>
        <v>95</v>
      </c>
    </row>
    <row r="550" spans="1:15" x14ac:dyDescent="0.25">
      <c r="A550" s="4">
        <v>2015</v>
      </c>
      <c r="B550" s="11" t="s">
        <v>123</v>
      </c>
      <c r="C550" s="11" t="s">
        <v>124</v>
      </c>
      <c r="D550" s="11" t="s">
        <v>115</v>
      </c>
      <c r="E550" s="12" t="s">
        <v>125</v>
      </c>
      <c r="F550" s="5">
        <v>10474.85</v>
      </c>
      <c r="G550" s="5">
        <v>0</v>
      </c>
      <c r="H550" s="5">
        <v>931</v>
      </c>
      <c r="I550" s="5">
        <v>40</v>
      </c>
      <c r="J550" s="5">
        <v>266</v>
      </c>
      <c r="K550" s="6">
        <f t="shared" si="8"/>
        <v>11711.85</v>
      </c>
      <c r="M550" t="str">
        <f>VLOOKUP(B550,'[2]TABULADOR ok'!$A$2:$I$424,7,FALSE)</f>
        <v>T6</v>
      </c>
      <c r="N550" t="str">
        <f>VLOOKUP(B550,'[2]TABULADOR ok'!$A$2:$I$424,8,FALSE)</f>
        <v>S03831</v>
      </c>
      <c r="O550">
        <f>VLOOKUP(B550,'[2]TABULADOR ok'!$A$2:$I$424,9,FALSE)</f>
        <v>95</v>
      </c>
    </row>
    <row r="551" spans="1:15" x14ac:dyDescent="0.25">
      <c r="A551" s="4">
        <v>2015</v>
      </c>
      <c r="B551" s="11" t="s">
        <v>126</v>
      </c>
      <c r="C551" s="11" t="s">
        <v>127</v>
      </c>
      <c r="D551" s="11" t="s">
        <v>115</v>
      </c>
      <c r="E551" s="12" t="s">
        <v>128</v>
      </c>
      <c r="F551" s="5">
        <v>10474.85</v>
      </c>
      <c r="G551" s="5">
        <v>0</v>
      </c>
      <c r="H551" s="5">
        <v>931</v>
      </c>
      <c r="I551" s="5">
        <v>40</v>
      </c>
      <c r="J551" s="5">
        <v>266</v>
      </c>
      <c r="K551" s="6">
        <f t="shared" si="8"/>
        <v>11711.85</v>
      </c>
      <c r="M551" t="str">
        <f>VLOOKUP(B551,'[2]TABULADOR ok'!$A$2:$I$424,7,FALSE)</f>
        <v>T6</v>
      </c>
      <c r="N551" t="str">
        <f>VLOOKUP(B551,'[2]TABULADOR ok'!$A$2:$I$424,8,FALSE)</f>
        <v>S09807</v>
      </c>
      <c r="O551">
        <f>VLOOKUP(B551,'[2]TABULADOR ok'!$A$2:$I$424,9,FALSE)</f>
        <v>95</v>
      </c>
    </row>
    <row r="552" spans="1:15" x14ac:dyDescent="0.25">
      <c r="A552" s="4">
        <v>2015</v>
      </c>
      <c r="B552" s="11" t="s">
        <v>129</v>
      </c>
      <c r="C552" s="11" t="s">
        <v>130</v>
      </c>
      <c r="D552" s="11" t="s">
        <v>115</v>
      </c>
      <c r="E552" s="12" t="s">
        <v>131</v>
      </c>
      <c r="F552" s="5">
        <v>10474.85</v>
      </c>
      <c r="G552" s="5">
        <v>0</v>
      </c>
      <c r="H552" s="5">
        <v>931</v>
      </c>
      <c r="I552" s="5">
        <v>40</v>
      </c>
      <c r="J552" s="5">
        <v>266</v>
      </c>
      <c r="K552" s="6">
        <f t="shared" si="8"/>
        <v>11711.85</v>
      </c>
      <c r="M552" t="str">
        <f>VLOOKUP(B552,'[2]TABULADOR ok'!$A$2:$I$424,7,FALSE)</f>
        <v>T6</v>
      </c>
      <c r="N552" t="str">
        <f>VLOOKUP(B552,'[2]TABULADOR ok'!$A$2:$I$424,8,FALSE)</f>
        <v>T06823</v>
      </c>
      <c r="O552">
        <f>VLOOKUP(B552,'[2]TABULADOR ok'!$A$2:$I$424,9,FALSE)</f>
        <v>95</v>
      </c>
    </row>
    <row r="553" spans="1:15" x14ac:dyDescent="0.25">
      <c r="A553" s="4">
        <v>2015</v>
      </c>
      <c r="B553" s="11" t="s">
        <v>132</v>
      </c>
      <c r="C553" s="11" t="s">
        <v>133</v>
      </c>
      <c r="D553" s="11" t="s">
        <v>115</v>
      </c>
      <c r="E553" s="12" t="s">
        <v>134</v>
      </c>
      <c r="F553" s="5">
        <v>10474.85</v>
      </c>
      <c r="G553" s="5">
        <v>0</v>
      </c>
      <c r="H553" s="5">
        <v>931</v>
      </c>
      <c r="I553" s="5">
        <v>40</v>
      </c>
      <c r="J553" s="5">
        <v>266</v>
      </c>
      <c r="K553" s="6">
        <f t="shared" si="8"/>
        <v>11711.85</v>
      </c>
      <c r="M553" t="str">
        <f>VLOOKUP(B553,'[2]TABULADOR ok'!$A$2:$I$424,7,FALSE)</f>
        <v>T6</v>
      </c>
      <c r="N553" t="str">
        <f>VLOOKUP(B553,'[2]TABULADOR ok'!$A$2:$I$424,8,FALSE)</f>
        <v>T08813</v>
      </c>
      <c r="O553">
        <f>VLOOKUP(B553,'[2]TABULADOR ok'!$A$2:$I$424,9,FALSE)</f>
        <v>95</v>
      </c>
    </row>
    <row r="554" spans="1:15" x14ac:dyDescent="0.25">
      <c r="A554" s="4">
        <v>2015</v>
      </c>
      <c r="B554" s="11" t="s">
        <v>135</v>
      </c>
      <c r="C554" s="11" t="s">
        <v>136</v>
      </c>
      <c r="D554" s="11" t="s">
        <v>137</v>
      </c>
      <c r="E554" s="12" t="s">
        <v>138</v>
      </c>
      <c r="F554" s="5">
        <v>11500.85</v>
      </c>
      <c r="G554" s="5">
        <v>0</v>
      </c>
      <c r="H554" s="5">
        <v>931</v>
      </c>
      <c r="I554" s="5">
        <v>40</v>
      </c>
      <c r="J554" s="5">
        <v>266</v>
      </c>
      <c r="K554" s="6">
        <f t="shared" si="8"/>
        <v>12737.85</v>
      </c>
      <c r="M554" t="str">
        <f>VLOOKUP(B554,'[2]TABULADOR ok'!$A$2:$I$424,7,FALSE)</f>
        <v>T7</v>
      </c>
      <c r="N554" t="str">
        <f>VLOOKUP(B554,'[2]TABULADOR ok'!$A$2:$I$424,8,FALSE)</f>
        <v>A01037</v>
      </c>
      <c r="O554">
        <f>VLOOKUP(B554,'[2]TABULADOR ok'!$A$2:$I$424,9,FALSE)</f>
        <v>95</v>
      </c>
    </row>
    <row r="555" spans="1:15" x14ac:dyDescent="0.25">
      <c r="A555" s="4">
        <v>2015</v>
      </c>
      <c r="B555" s="11" t="s">
        <v>139</v>
      </c>
      <c r="C555" s="11" t="s">
        <v>140</v>
      </c>
      <c r="D555" s="11" t="s">
        <v>137</v>
      </c>
      <c r="E555" s="12" t="s">
        <v>141</v>
      </c>
      <c r="F555" s="5">
        <v>11500.85</v>
      </c>
      <c r="G555" s="5">
        <v>0</v>
      </c>
      <c r="H555" s="5">
        <v>931</v>
      </c>
      <c r="I555" s="5">
        <v>40</v>
      </c>
      <c r="J555" s="5">
        <v>266</v>
      </c>
      <c r="K555" s="6">
        <f t="shared" si="8"/>
        <v>12737.85</v>
      </c>
      <c r="M555" t="str">
        <f>VLOOKUP(B555,'[2]TABULADOR ok'!$A$2:$I$424,7,FALSE)</f>
        <v>T7</v>
      </c>
      <c r="N555" t="str">
        <f>VLOOKUP(B555,'[2]TABULADOR ok'!$A$2:$I$424,8,FALSE)</f>
        <v>A02815</v>
      </c>
      <c r="O555">
        <f>VLOOKUP(B555,'[2]TABULADOR ok'!$A$2:$I$424,9,FALSE)</f>
        <v>95</v>
      </c>
    </row>
    <row r="556" spans="1:15" x14ac:dyDescent="0.25">
      <c r="A556" s="4">
        <v>2015</v>
      </c>
      <c r="B556" s="11" t="s">
        <v>142</v>
      </c>
      <c r="C556" s="11" t="s">
        <v>143</v>
      </c>
      <c r="D556" s="11" t="s">
        <v>137</v>
      </c>
      <c r="E556" s="12" t="s">
        <v>144</v>
      </c>
      <c r="F556" s="5">
        <v>11500.85</v>
      </c>
      <c r="G556" s="5">
        <v>0</v>
      </c>
      <c r="H556" s="5">
        <v>931</v>
      </c>
      <c r="I556" s="5">
        <v>40</v>
      </c>
      <c r="J556" s="5">
        <v>266</v>
      </c>
      <c r="K556" s="6">
        <f t="shared" si="8"/>
        <v>12737.85</v>
      </c>
      <c r="M556" t="str">
        <f>VLOOKUP(B556,'[2]TABULADOR ok'!$A$2:$I$424,7,FALSE)</f>
        <v>T7</v>
      </c>
      <c r="N556" t="str">
        <f>VLOOKUP(B556,'[2]TABULADOR ok'!$A$2:$I$424,8,FALSE)</f>
        <v>C01817</v>
      </c>
      <c r="O556">
        <f>VLOOKUP(B556,'[2]TABULADOR ok'!$A$2:$I$424,9,FALSE)</f>
        <v>95</v>
      </c>
    </row>
    <row r="557" spans="1:15" x14ac:dyDescent="0.25">
      <c r="A557" s="4">
        <v>2015</v>
      </c>
      <c r="B557" s="11" t="s">
        <v>145</v>
      </c>
      <c r="C557" s="11" t="s">
        <v>146</v>
      </c>
      <c r="D557" s="11" t="s">
        <v>137</v>
      </c>
      <c r="E557" s="12" t="s">
        <v>147</v>
      </c>
      <c r="F557" s="5">
        <v>11500.85</v>
      </c>
      <c r="G557" s="5">
        <v>0</v>
      </c>
      <c r="H557" s="5">
        <v>931</v>
      </c>
      <c r="I557" s="5">
        <v>40</v>
      </c>
      <c r="J557" s="5">
        <v>266</v>
      </c>
      <c r="K557" s="6">
        <f t="shared" si="8"/>
        <v>12737.85</v>
      </c>
      <c r="M557" t="str">
        <f>VLOOKUP(B557,'[2]TABULADOR ok'!$A$2:$I$424,7,FALSE)</f>
        <v>T7</v>
      </c>
      <c r="N557" t="str">
        <f>VLOOKUP(B557,'[2]TABULADOR ok'!$A$2:$I$424,8,FALSE)</f>
        <v>P07026</v>
      </c>
      <c r="O557">
        <f>VLOOKUP(B557,'[2]TABULADOR ok'!$A$2:$I$424,9,FALSE)</f>
        <v>95</v>
      </c>
    </row>
    <row r="558" spans="1:15" x14ac:dyDescent="0.25">
      <c r="A558" s="4">
        <v>2015</v>
      </c>
      <c r="B558" s="11" t="s">
        <v>148</v>
      </c>
      <c r="C558" s="11" t="s">
        <v>149</v>
      </c>
      <c r="D558" s="11" t="s">
        <v>137</v>
      </c>
      <c r="E558" s="12" t="s">
        <v>150</v>
      </c>
      <c r="F558" s="5">
        <v>11500.85</v>
      </c>
      <c r="G558" s="5">
        <v>0</v>
      </c>
      <c r="H558" s="5">
        <v>931</v>
      </c>
      <c r="I558" s="5">
        <v>40</v>
      </c>
      <c r="J558" s="5">
        <v>266</v>
      </c>
      <c r="K558" s="6">
        <f t="shared" si="8"/>
        <v>12737.85</v>
      </c>
      <c r="M558" t="str">
        <f>VLOOKUP(B558,'[2]TABULADOR ok'!$A$2:$I$424,7,FALSE)</f>
        <v>T7</v>
      </c>
      <c r="N558" t="str">
        <f>VLOOKUP(B558,'[2]TABULADOR ok'!$A$2:$I$424,8,FALSE)</f>
        <v>T05822</v>
      </c>
      <c r="O558">
        <f>VLOOKUP(B558,'[2]TABULADOR ok'!$A$2:$I$424,9,FALSE)</f>
        <v>95</v>
      </c>
    </row>
    <row r="559" spans="1:15" x14ac:dyDescent="0.25">
      <c r="A559" s="4">
        <v>2015</v>
      </c>
      <c r="B559" s="11" t="s">
        <v>151</v>
      </c>
      <c r="C559" s="11" t="s">
        <v>152</v>
      </c>
      <c r="D559" s="11" t="s">
        <v>137</v>
      </c>
      <c r="E559" s="12" t="s">
        <v>153</v>
      </c>
      <c r="F559" s="5">
        <v>11500.85</v>
      </c>
      <c r="G559" s="5">
        <v>0</v>
      </c>
      <c r="H559" s="5">
        <v>931</v>
      </c>
      <c r="I559" s="5">
        <v>40</v>
      </c>
      <c r="J559" s="5">
        <v>266</v>
      </c>
      <c r="K559" s="6">
        <f t="shared" si="8"/>
        <v>12737.85</v>
      </c>
      <c r="M559" t="str">
        <f>VLOOKUP(B559,'[2]TABULADOR ok'!$A$2:$I$424,7,FALSE)</f>
        <v>T7</v>
      </c>
      <c r="N559" t="str">
        <f>VLOOKUP(B559,'[2]TABULADOR ok'!$A$2:$I$424,8,FALSE)</f>
        <v>T09001</v>
      </c>
      <c r="O559">
        <f>VLOOKUP(B559,'[2]TABULADOR ok'!$A$2:$I$424,9,FALSE)</f>
        <v>95</v>
      </c>
    </row>
    <row r="560" spans="1:15" x14ac:dyDescent="0.25">
      <c r="A560" s="4">
        <v>2015</v>
      </c>
      <c r="B560" s="11" t="s">
        <v>154</v>
      </c>
      <c r="C560" s="11" t="s">
        <v>155</v>
      </c>
      <c r="D560" s="11" t="s">
        <v>137</v>
      </c>
      <c r="E560" s="12" t="s">
        <v>156</v>
      </c>
      <c r="F560" s="5">
        <v>11500.85</v>
      </c>
      <c r="G560" s="5">
        <v>0</v>
      </c>
      <c r="H560" s="5">
        <v>931</v>
      </c>
      <c r="I560" s="5">
        <v>40</v>
      </c>
      <c r="J560" s="5">
        <v>266</v>
      </c>
      <c r="K560" s="6">
        <f t="shared" si="8"/>
        <v>12737.85</v>
      </c>
      <c r="M560" t="str">
        <f>VLOOKUP(B560,'[2]TABULADOR ok'!$A$2:$I$424,7,FALSE)</f>
        <v>T7</v>
      </c>
      <c r="N560" t="str">
        <f>VLOOKUP(B560,'[2]TABULADOR ok'!$A$2:$I$424,8,FALSE)</f>
        <v>T13817</v>
      </c>
      <c r="O560">
        <f>VLOOKUP(B560,'[2]TABULADOR ok'!$A$2:$I$424,9,FALSE)</f>
        <v>95</v>
      </c>
    </row>
    <row r="561" spans="1:15" x14ac:dyDescent="0.25">
      <c r="A561" s="4">
        <v>2015</v>
      </c>
      <c r="B561" s="11" t="s">
        <v>157</v>
      </c>
      <c r="C561" s="11" t="s">
        <v>158</v>
      </c>
      <c r="D561" s="11" t="s">
        <v>137</v>
      </c>
      <c r="E561" s="12" t="s">
        <v>159</v>
      </c>
      <c r="F561" s="5">
        <v>11500.85</v>
      </c>
      <c r="G561" s="5">
        <v>0</v>
      </c>
      <c r="H561" s="5">
        <v>931</v>
      </c>
      <c r="I561" s="5">
        <v>40</v>
      </c>
      <c r="J561" s="5">
        <v>266</v>
      </c>
      <c r="K561" s="6">
        <f t="shared" si="8"/>
        <v>12737.85</v>
      </c>
      <c r="M561" t="str">
        <f>VLOOKUP(B561,'[2]TABULADOR ok'!$A$2:$I$424,7,FALSE)</f>
        <v>T7</v>
      </c>
      <c r="N561" t="str">
        <f>VLOOKUP(B561,'[2]TABULADOR ok'!$A$2:$I$424,8,FALSE)</f>
        <v>T14019</v>
      </c>
      <c r="O561">
        <f>VLOOKUP(B561,'[2]TABULADOR ok'!$A$2:$I$424,9,FALSE)</f>
        <v>95</v>
      </c>
    </row>
    <row r="562" spans="1:15" x14ac:dyDescent="0.25">
      <c r="A562" s="4">
        <v>2015</v>
      </c>
      <c r="B562" s="11" t="s">
        <v>160</v>
      </c>
      <c r="C562" s="11" t="s">
        <v>161</v>
      </c>
      <c r="D562" s="11" t="s">
        <v>137</v>
      </c>
      <c r="E562" s="12" t="s">
        <v>162</v>
      </c>
      <c r="F562" s="5">
        <v>11500.85</v>
      </c>
      <c r="G562" s="5">
        <v>0</v>
      </c>
      <c r="H562" s="5">
        <v>931</v>
      </c>
      <c r="I562" s="5">
        <v>40</v>
      </c>
      <c r="J562" s="5">
        <v>266</v>
      </c>
      <c r="K562" s="6">
        <f t="shared" si="8"/>
        <v>12737.85</v>
      </c>
      <c r="M562" t="str">
        <f>VLOOKUP(B562,'[2]TABULADOR ok'!$A$2:$I$424,7,FALSE)</f>
        <v>T7</v>
      </c>
      <c r="N562" t="str">
        <f>VLOOKUP(B562,'[2]TABULADOR ok'!$A$2:$I$424,8,FALSE)</f>
        <v>T16817</v>
      </c>
      <c r="O562">
        <f>VLOOKUP(B562,'[2]TABULADOR ok'!$A$2:$I$424,9,FALSE)</f>
        <v>95</v>
      </c>
    </row>
    <row r="563" spans="1:15" x14ac:dyDescent="0.25">
      <c r="A563" s="4">
        <v>2015</v>
      </c>
      <c r="B563" s="11" t="s">
        <v>163</v>
      </c>
      <c r="C563" s="11" t="s">
        <v>164</v>
      </c>
      <c r="D563" s="11" t="s">
        <v>165</v>
      </c>
      <c r="E563" s="12" t="s">
        <v>166</v>
      </c>
      <c r="F563" s="5">
        <v>12707.7</v>
      </c>
      <c r="G563" s="5">
        <v>0</v>
      </c>
      <c r="H563" s="5">
        <v>931</v>
      </c>
      <c r="I563" s="5">
        <v>40</v>
      </c>
      <c r="J563" s="5">
        <v>266</v>
      </c>
      <c r="K563" s="6">
        <f t="shared" si="8"/>
        <v>13944.7</v>
      </c>
      <c r="M563" t="str">
        <f>VLOOKUP(B563,'[2]TABULADOR ok'!$A$2:$I$424,7,FALSE)</f>
        <v>T8</v>
      </c>
      <c r="N563" t="str">
        <f>VLOOKUP(B563,'[2]TABULADOR ok'!$A$2:$I$424,8,FALSE)</f>
        <v>A01036</v>
      </c>
      <c r="O563">
        <f>VLOOKUP(B563,'[2]TABULADOR ok'!$A$2:$I$424,9,FALSE)</f>
        <v>95</v>
      </c>
    </row>
    <row r="564" spans="1:15" x14ac:dyDescent="0.25">
      <c r="A564" s="4">
        <v>2015</v>
      </c>
      <c r="B564" s="11" t="s">
        <v>167</v>
      </c>
      <c r="C564" s="11" t="s">
        <v>168</v>
      </c>
      <c r="D564" s="11" t="s">
        <v>165</v>
      </c>
      <c r="E564" s="12" t="s">
        <v>169</v>
      </c>
      <c r="F564" s="5">
        <v>12707.7</v>
      </c>
      <c r="G564" s="5">
        <v>0</v>
      </c>
      <c r="H564" s="5">
        <v>931</v>
      </c>
      <c r="I564" s="5">
        <v>40</v>
      </c>
      <c r="J564" s="5">
        <v>266</v>
      </c>
      <c r="K564" s="6">
        <f t="shared" si="8"/>
        <v>13944.7</v>
      </c>
      <c r="M564" t="str">
        <f>VLOOKUP(B564,'[2]TABULADOR ok'!$A$2:$I$424,7,FALSE)</f>
        <v>T8</v>
      </c>
      <c r="N564" t="str">
        <f>VLOOKUP(B564,'[2]TABULADOR ok'!$A$2:$I$424,8,FALSE)</f>
        <v>A06009</v>
      </c>
      <c r="O564">
        <f>VLOOKUP(B564,'[2]TABULADOR ok'!$A$2:$I$424,9,FALSE)</f>
        <v>95</v>
      </c>
    </row>
    <row r="565" spans="1:15" x14ac:dyDescent="0.25">
      <c r="A565" s="4">
        <v>2015</v>
      </c>
      <c r="B565" s="11" t="s">
        <v>170</v>
      </c>
      <c r="C565" s="11" t="s">
        <v>171</v>
      </c>
      <c r="D565" s="11" t="s">
        <v>165</v>
      </c>
      <c r="E565" s="12" t="s">
        <v>172</v>
      </c>
      <c r="F565" s="5">
        <v>12707.7</v>
      </c>
      <c r="G565" s="5">
        <v>0</v>
      </c>
      <c r="H565" s="5">
        <v>931</v>
      </c>
      <c r="I565" s="5">
        <v>40</v>
      </c>
      <c r="J565" s="5">
        <v>266</v>
      </c>
      <c r="K565" s="6">
        <f t="shared" si="8"/>
        <v>13944.7</v>
      </c>
      <c r="M565" t="str">
        <f>VLOOKUP(B565,'[2]TABULADOR ok'!$A$2:$I$424,7,FALSE)</f>
        <v>T8</v>
      </c>
      <c r="N565" t="str">
        <f>VLOOKUP(B565,'[2]TABULADOR ok'!$A$2:$I$424,8,FALSE)</f>
        <v>C01818</v>
      </c>
      <c r="O565">
        <f>VLOOKUP(B565,'[2]TABULADOR ok'!$A$2:$I$424,9,FALSE)</f>
        <v>95</v>
      </c>
    </row>
    <row r="566" spans="1:15" x14ac:dyDescent="0.25">
      <c r="A566" s="4">
        <v>2015</v>
      </c>
      <c r="B566" s="11" t="s">
        <v>173</v>
      </c>
      <c r="C566" s="11" t="s">
        <v>174</v>
      </c>
      <c r="D566" s="11" t="s">
        <v>165</v>
      </c>
      <c r="E566" s="12" t="s">
        <v>175</v>
      </c>
      <c r="F566" s="5">
        <v>12707.7</v>
      </c>
      <c r="G566" s="5">
        <v>0</v>
      </c>
      <c r="H566" s="5">
        <v>931</v>
      </c>
      <c r="I566" s="5">
        <v>40</v>
      </c>
      <c r="J566" s="5">
        <v>266</v>
      </c>
      <c r="K566" s="6">
        <f t="shared" si="8"/>
        <v>13944.7</v>
      </c>
      <c r="M566" t="str">
        <f>VLOOKUP(B566,'[2]TABULADOR ok'!$A$2:$I$424,7,FALSE)</f>
        <v>T8</v>
      </c>
      <c r="N566" t="str">
        <f>VLOOKUP(B566,'[2]TABULADOR ok'!$A$2:$I$424,8,FALSE)</f>
        <v>T03854</v>
      </c>
      <c r="O566">
        <f>VLOOKUP(B566,'[2]TABULADOR ok'!$A$2:$I$424,9,FALSE)</f>
        <v>95</v>
      </c>
    </row>
    <row r="567" spans="1:15" x14ac:dyDescent="0.25">
      <c r="A567" s="4">
        <v>2015</v>
      </c>
      <c r="B567" s="11" t="s">
        <v>176</v>
      </c>
      <c r="C567" s="11" t="s">
        <v>177</v>
      </c>
      <c r="D567" s="11" t="s">
        <v>165</v>
      </c>
      <c r="E567" s="12" t="s">
        <v>178</v>
      </c>
      <c r="F567" s="5">
        <v>12707.7</v>
      </c>
      <c r="G567" s="5">
        <v>0</v>
      </c>
      <c r="H567" s="5">
        <v>931</v>
      </c>
      <c r="I567" s="5">
        <v>40</v>
      </c>
      <c r="J567" s="5">
        <v>266</v>
      </c>
      <c r="K567" s="6">
        <f t="shared" si="8"/>
        <v>13944.7</v>
      </c>
      <c r="M567" t="str">
        <f>VLOOKUP(B567,'[2]TABULADOR ok'!$A$2:$I$424,7,FALSE)</f>
        <v>T8</v>
      </c>
      <c r="N567" t="str">
        <f>VLOOKUP(B567,'[2]TABULADOR ok'!$A$2:$I$424,8,FALSE)</f>
        <v>T04875</v>
      </c>
      <c r="O567">
        <f>VLOOKUP(B567,'[2]TABULADOR ok'!$A$2:$I$424,9,FALSE)</f>
        <v>95</v>
      </c>
    </row>
    <row r="568" spans="1:15" x14ac:dyDescent="0.25">
      <c r="A568" s="4">
        <v>2015</v>
      </c>
      <c r="B568" s="11" t="s">
        <v>179</v>
      </c>
      <c r="C568" s="11" t="s">
        <v>180</v>
      </c>
      <c r="D568" s="11" t="s">
        <v>165</v>
      </c>
      <c r="E568" s="12" t="s">
        <v>181</v>
      </c>
      <c r="F568" s="5">
        <v>12707.7</v>
      </c>
      <c r="G568" s="5">
        <v>0</v>
      </c>
      <c r="H568" s="5">
        <v>931</v>
      </c>
      <c r="I568" s="5">
        <v>40</v>
      </c>
      <c r="J568" s="5">
        <v>266</v>
      </c>
      <c r="K568" s="6">
        <f t="shared" si="8"/>
        <v>13944.7</v>
      </c>
      <c r="M568" t="str">
        <f>VLOOKUP(B568,'[2]TABULADOR ok'!$A$2:$I$424,7,FALSE)</f>
        <v>T8</v>
      </c>
      <c r="N568" t="str">
        <f>VLOOKUP(B568,'[2]TABULADOR ok'!$A$2:$I$424,8,FALSE)</f>
        <v>T08812</v>
      </c>
      <c r="O568">
        <f>VLOOKUP(B568,'[2]TABULADOR ok'!$A$2:$I$424,9,FALSE)</f>
        <v>95</v>
      </c>
    </row>
    <row r="569" spans="1:15" x14ac:dyDescent="0.25">
      <c r="A569" s="4">
        <v>2015</v>
      </c>
      <c r="B569" s="11" t="s">
        <v>182</v>
      </c>
      <c r="C569" s="11" t="s">
        <v>183</v>
      </c>
      <c r="D569" s="11" t="s">
        <v>184</v>
      </c>
      <c r="E569" s="12" t="s">
        <v>185</v>
      </c>
      <c r="F569" s="5">
        <v>14210</v>
      </c>
      <c r="G569" s="5">
        <v>0</v>
      </c>
      <c r="H569" s="5">
        <v>931</v>
      </c>
      <c r="I569" s="5">
        <v>40</v>
      </c>
      <c r="J569" s="5">
        <v>266</v>
      </c>
      <c r="K569" s="6">
        <f t="shared" si="8"/>
        <v>15447</v>
      </c>
      <c r="M569" t="str">
        <f>VLOOKUP(B569,'[2]TABULADOR ok'!$A$2:$I$424,7,FALSE)</f>
        <v>T9</v>
      </c>
      <c r="N569" t="str">
        <f>VLOOKUP(B569,'[2]TABULADOR ok'!$A$2:$I$424,8,FALSE)</f>
        <v>P02809</v>
      </c>
      <c r="O569">
        <f>VLOOKUP(B569,'[2]TABULADOR ok'!$A$2:$I$424,9,FALSE)</f>
        <v>95</v>
      </c>
    </row>
    <row r="570" spans="1:15" x14ac:dyDescent="0.25">
      <c r="A570" s="4">
        <v>2015</v>
      </c>
      <c r="B570" s="11" t="s">
        <v>186</v>
      </c>
      <c r="C570" s="11" t="s">
        <v>187</v>
      </c>
      <c r="D570" s="11" t="s">
        <v>184</v>
      </c>
      <c r="E570" s="12" t="s">
        <v>188</v>
      </c>
      <c r="F570" s="5">
        <v>14210</v>
      </c>
      <c r="G570" s="5">
        <v>0</v>
      </c>
      <c r="H570" s="5">
        <v>931</v>
      </c>
      <c r="I570" s="5">
        <v>40</v>
      </c>
      <c r="J570" s="5">
        <v>266</v>
      </c>
      <c r="K570" s="6">
        <f t="shared" si="8"/>
        <v>15447</v>
      </c>
      <c r="M570" t="str">
        <f>VLOOKUP(B570,'[2]TABULADOR ok'!$A$2:$I$424,7,FALSE)</f>
        <v>T9</v>
      </c>
      <c r="N570" t="str">
        <f>VLOOKUP(B570,'[2]TABULADOR ok'!$A$2:$I$424,8,FALSE)</f>
        <v>P04806</v>
      </c>
      <c r="O570">
        <f>VLOOKUP(B570,'[2]TABULADOR ok'!$A$2:$I$424,9,FALSE)</f>
        <v>95</v>
      </c>
    </row>
    <row r="571" spans="1:15" x14ac:dyDescent="0.25">
      <c r="A571" s="4">
        <v>2015</v>
      </c>
      <c r="B571" s="11" t="s">
        <v>189</v>
      </c>
      <c r="C571" s="11" t="s">
        <v>190</v>
      </c>
      <c r="D571" s="11" t="s">
        <v>184</v>
      </c>
      <c r="E571" s="12" t="s">
        <v>191</v>
      </c>
      <c r="F571" s="5">
        <v>14210</v>
      </c>
      <c r="G571" s="5">
        <v>0</v>
      </c>
      <c r="H571" s="5">
        <v>931</v>
      </c>
      <c r="I571" s="5">
        <v>40</v>
      </c>
      <c r="J571" s="5">
        <v>266</v>
      </c>
      <c r="K571" s="6">
        <f t="shared" si="8"/>
        <v>15447</v>
      </c>
      <c r="M571" t="str">
        <f>VLOOKUP(B571,'[2]TABULADOR ok'!$A$2:$I$424,7,FALSE)</f>
        <v>T9</v>
      </c>
      <c r="N571" t="str">
        <f>VLOOKUP(B571,'[2]TABULADOR ok'!$A$2:$I$424,8,FALSE)</f>
        <v>P05808</v>
      </c>
      <c r="O571">
        <f>VLOOKUP(B571,'[2]TABULADOR ok'!$A$2:$I$424,9,FALSE)</f>
        <v>95</v>
      </c>
    </row>
    <row r="572" spans="1:15" x14ac:dyDescent="0.25">
      <c r="A572" s="4">
        <v>2015</v>
      </c>
      <c r="B572" s="11" t="s">
        <v>192</v>
      </c>
      <c r="C572" s="11" t="s">
        <v>193</v>
      </c>
      <c r="D572" s="11" t="s">
        <v>184</v>
      </c>
      <c r="E572" s="12" t="s">
        <v>194</v>
      </c>
      <c r="F572" s="5">
        <v>14210</v>
      </c>
      <c r="G572" s="5">
        <v>0</v>
      </c>
      <c r="H572" s="5">
        <v>931</v>
      </c>
      <c r="I572" s="5">
        <v>40</v>
      </c>
      <c r="J572" s="5">
        <v>266</v>
      </c>
      <c r="K572" s="6">
        <f t="shared" si="8"/>
        <v>15447</v>
      </c>
      <c r="M572" t="str">
        <f>VLOOKUP(B572,'[2]TABULADOR ok'!$A$2:$I$424,7,FALSE)</f>
        <v>T9</v>
      </c>
      <c r="N572" t="str">
        <f>VLOOKUP(B572,'[2]TABULADOR ok'!$A$2:$I$424,8,FALSE)</f>
        <v>T03850</v>
      </c>
      <c r="O572">
        <f>VLOOKUP(B572,'[2]TABULADOR ok'!$A$2:$I$424,9,FALSE)</f>
        <v>95</v>
      </c>
    </row>
    <row r="573" spans="1:15" x14ac:dyDescent="0.25">
      <c r="A573" s="4">
        <v>2015</v>
      </c>
      <c r="B573" s="11" t="s">
        <v>195</v>
      </c>
      <c r="C573" s="11" t="s">
        <v>196</v>
      </c>
      <c r="D573" s="11" t="s">
        <v>184</v>
      </c>
      <c r="E573" s="12" t="s">
        <v>197</v>
      </c>
      <c r="F573" s="5">
        <v>14210</v>
      </c>
      <c r="G573" s="5">
        <v>0</v>
      </c>
      <c r="H573" s="5">
        <v>931</v>
      </c>
      <c r="I573" s="5">
        <v>40</v>
      </c>
      <c r="J573" s="5">
        <v>266</v>
      </c>
      <c r="K573" s="6">
        <f t="shared" si="8"/>
        <v>15447</v>
      </c>
      <c r="M573" t="str">
        <f>VLOOKUP(B573,'[2]TABULADOR ok'!$A$2:$I$424,7,FALSE)</f>
        <v>T9</v>
      </c>
      <c r="N573" t="str">
        <f>VLOOKUP(B573,'[2]TABULADOR ok'!$A$2:$I$424,8,FALSE)</f>
        <v>T03851</v>
      </c>
      <c r="O573">
        <f>VLOOKUP(B573,'[2]TABULADOR ok'!$A$2:$I$424,9,FALSE)</f>
        <v>95</v>
      </c>
    </row>
    <row r="574" spans="1:15" x14ac:dyDescent="0.25">
      <c r="A574" s="4">
        <v>2015</v>
      </c>
      <c r="B574" s="11" t="s">
        <v>198</v>
      </c>
      <c r="C574" s="11" t="s">
        <v>199</v>
      </c>
      <c r="D574" s="11" t="s">
        <v>184</v>
      </c>
      <c r="E574" s="12" t="s">
        <v>200</v>
      </c>
      <c r="F574" s="5">
        <v>14210</v>
      </c>
      <c r="G574" s="5">
        <v>0</v>
      </c>
      <c r="H574" s="5">
        <v>931</v>
      </c>
      <c r="I574" s="5">
        <v>40</v>
      </c>
      <c r="J574" s="5">
        <v>266</v>
      </c>
      <c r="K574" s="6">
        <f>SUM(F574:J574)</f>
        <v>15447</v>
      </c>
      <c r="M574" t="str">
        <f>VLOOKUP(B574,'[2]TABULADOR ok'!$A$2:$I$424,7,FALSE)</f>
        <v>T9</v>
      </c>
      <c r="N574" t="str">
        <f>VLOOKUP(B574,'[2]TABULADOR ok'!$A$2:$I$424,8,FALSE)</f>
        <v>T03855</v>
      </c>
      <c r="O574">
        <f>VLOOKUP(B574,'[2]TABULADOR ok'!$A$2:$I$424,9,FALSE)</f>
        <v>95</v>
      </c>
    </row>
    <row r="575" spans="1:15" x14ac:dyDescent="0.25">
      <c r="A575" s="4">
        <v>2015</v>
      </c>
      <c r="B575" s="11" t="s">
        <v>201</v>
      </c>
      <c r="C575" s="11" t="s">
        <v>202</v>
      </c>
      <c r="D575" s="11" t="s">
        <v>184</v>
      </c>
      <c r="E575" s="12" t="s">
        <v>203</v>
      </c>
      <c r="F575" s="5">
        <v>14210</v>
      </c>
      <c r="G575" s="5">
        <v>0</v>
      </c>
      <c r="H575" s="5">
        <v>931</v>
      </c>
      <c r="I575" s="5">
        <v>40</v>
      </c>
      <c r="J575" s="5">
        <v>266</v>
      </c>
      <c r="K575" s="6">
        <f t="shared" ref="K575:K577" si="9">SUM(F575:J575)</f>
        <v>15447</v>
      </c>
      <c r="M575" t="str">
        <f>VLOOKUP(B575,'[2]TABULADOR ok'!$A$2:$I$424,7,FALSE)</f>
        <v>T9</v>
      </c>
      <c r="N575" t="str">
        <f>VLOOKUP(B575,'[2]TABULADOR ok'!$A$2:$I$424,8,FALSE)</f>
        <v>T04873</v>
      </c>
      <c r="O575">
        <f>VLOOKUP(B575,'[2]TABULADOR ok'!$A$2:$I$424,9,FALSE)</f>
        <v>95</v>
      </c>
    </row>
    <row r="576" spans="1:15" x14ac:dyDescent="0.25">
      <c r="A576" s="4">
        <v>2015</v>
      </c>
      <c r="B576" s="11" t="s">
        <v>204</v>
      </c>
      <c r="C576" s="11" t="s">
        <v>205</v>
      </c>
      <c r="D576" s="11" t="s">
        <v>184</v>
      </c>
      <c r="E576" s="12" t="s">
        <v>206</v>
      </c>
      <c r="F576" s="5">
        <v>14210</v>
      </c>
      <c r="G576" s="5">
        <v>0</v>
      </c>
      <c r="H576" s="5">
        <v>931</v>
      </c>
      <c r="I576" s="5">
        <v>40</v>
      </c>
      <c r="J576" s="5">
        <v>266</v>
      </c>
      <c r="K576" s="6">
        <f t="shared" si="9"/>
        <v>15447</v>
      </c>
      <c r="M576" t="str">
        <f>VLOOKUP(B576,'[2]TABULADOR ok'!$A$2:$I$424,7,FALSE)</f>
        <v>T9</v>
      </c>
      <c r="N576" t="str">
        <f>VLOOKUP(B576,'[2]TABULADOR ok'!$A$2:$I$424,8,FALSE)</f>
        <v>T14007</v>
      </c>
      <c r="O576">
        <f>VLOOKUP(B576,'[2]TABULADOR ok'!$A$2:$I$424,9,FALSE)</f>
        <v>95</v>
      </c>
    </row>
    <row r="577" spans="1:15" x14ac:dyDescent="0.25">
      <c r="A577" s="4">
        <v>2015</v>
      </c>
      <c r="B577" s="11" t="s">
        <v>207</v>
      </c>
      <c r="C577" s="11" t="s">
        <v>208</v>
      </c>
      <c r="D577" s="11" t="s">
        <v>184</v>
      </c>
      <c r="E577" s="12" t="s">
        <v>209</v>
      </c>
      <c r="F577" s="5">
        <v>14210</v>
      </c>
      <c r="G577" s="5">
        <v>0</v>
      </c>
      <c r="H577" s="5">
        <v>931</v>
      </c>
      <c r="I577" s="5">
        <v>40</v>
      </c>
      <c r="J577" s="5">
        <v>266</v>
      </c>
      <c r="K577" s="6">
        <f t="shared" si="9"/>
        <v>15447</v>
      </c>
      <c r="M577" t="str">
        <f>VLOOKUP(B577,'[2]TABULADOR ok'!$A$2:$I$424,7,FALSE)</f>
        <v>T9</v>
      </c>
      <c r="N577" t="str">
        <f>VLOOKUP(B577,'[2]TABULADOR ok'!$A$2:$I$424,8,FALSE)</f>
        <v>T26806</v>
      </c>
      <c r="O577">
        <f>VLOOKUP(B577,'[2]TABULADOR ok'!$A$2:$I$424,9,FALSE)</f>
        <v>95</v>
      </c>
    </row>
    <row r="578" spans="1:15" x14ac:dyDescent="0.25">
      <c r="A578" s="7">
        <v>2014</v>
      </c>
      <c r="B578" s="8" t="s">
        <v>10</v>
      </c>
      <c r="C578" s="8" t="s">
        <v>11</v>
      </c>
      <c r="D578" s="8" t="s">
        <v>12</v>
      </c>
      <c r="E578" s="9" t="s">
        <v>13</v>
      </c>
      <c r="F578" s="10">
        <v>6868.8</v>
      </c>
      <c r="G578" s="10">
        <v>0</v>
      </c>
      <c r="H578" s="10">
        <v>771</v>
      </c>
      <c r="I578" s="10">
        <v>40</v>
      </c>
      <c r="J578" s="10">
        <v>225</v>
      </c>
      <c r="K578" s="6">
        <f>SUM(F578:J578)</f>
        <v>7904.8</v>
      </c>
      <c r="M578" t="str">
        <f>VLOOKUP(B578,'[2]TABULADOR ok'!$A$2:$I$424,7,FALSE)</f>
        <v>T1</v>
      </c>
      <c r="N578" t="str">
        <f>VLOOKUP(B578,'[2]TABULADOR ok'!$A$2:$I$424,8,FALSE)</f>
        <v>S01893</v>
      </c>
      <c r="O578">
        <f>VLOOKUP(B578,'[2]TABULADOR ok'!$A$2:$I$424,9,FALSE)</f>
        <v>95</v>
      </c>
    </row>
    <row r="579" spans="1:15" x14ac:dyDescent="0.25">
      <c r="A579" s="7">
        <v>2014</v>
      </c>
      <c r="B579" s="8" t="s">
        <v>14</v>
      </c>
      <c r="C579" s="8" t="s">
        <v>15</v>
      </c>
      <c r="D579" s="8" t="s">
        <v>16</v>
      </c>
      <c r="E579" s="9" t="s">
        <v>17</v>
      </c>
      <c r="F579" s="10">
        <v>7202.95</v>
      </c>
      <c r="G579" s="10">
        <v>0</v>
      </c>
      <c r="H579" s="10">
        <v>771</v>
      </c>
      <c r="I579" s="10">
        <v>40</v>
      </c>
      <c r="J579" s="10">
        <v>225</v>
      </c>
      <c r="K579" s="6">
        <f t="shared" ref="K579:K641" si="10">SUM(F579:J579)</f>
        <v>8238.9500000000007</v>
      </c>
      <c r="M579" t="str">
        <f>VLOOKUP(B579,'[2]TABULADOR ok'!$A$2:$I$424,7,FALSE)</f>
        <v>T2</v>
      </c>
      <c r="N579" t="str">
        <f>VLOOKUP(B579,'[2]TABULADOR ok'!$A$2:$I$424,8,FALSE)</f>
        <v>S01891</v>
      </c>
      <c r="O579">
        <f>VLOOKUP(B579,'[2]TABULADOR ok'!$A$2:$I$424,9,FALSE)</f>
        <v>95</v>
      </c>
    </row>
    <row r="580" spans="1:15" x14ac:dyDescent="0.25">
      <c r="A580" s="7">
        <v>2014</v>
      </c>
      <c r="B580" s="8" t="s">
        <v>18</v>
      </c>
      <c r="C580" s="8" t="s">
        <v>19</v>
      </c>
      <c r="D580" s="8" t="s">
        <v>16</v>
      </c>
      <c r="E580" s="9" t="s">
        <v>20</v>
      </c>
      <c r="F580" s="10">
        <v>7202.95</v>
      </c>
      <c r="G580" s="10">
        <v>0</v>
      </c>
      <c r="H580" s="10">
        <v>771</v>
      </c>
      <c r="I580" s="10">
        <v>40</v>
      </c>
      <c r="J580" s="10">
        <v>225</v>
      </c>
      <c r="K580" s="6">
        <f t="shared" si="10"/>
        <v>8238.9500000000007</v>
      </c>
      <c r="M580" t="str">
        <f>VLOOKUP(B580,'[2]TABULADOR ok'!$A$2:$I$424,7,FALSE)</f>
        <v>T2</v>
      </c>
      <c r="N580" t="str">
        <f>VLOOKUP(B580,'[2]TABULADOR ok'!$A$2:$I$424,8,FALSE)</f>
        <v>S03833</v>
      </c>
      <c r="O580">
        <f>VLOOKUP(B580,'[2]TABULADOR ok'!$A$2:$I$424,9,FALSE)</f>
        <v>95</v>
      </c>
    </row>
    <row r="581" spans="1:15" x14ac:dyDescent="0.25">
      <c r="A581" s="7">
        <v>2014</v>
      </c>
      <c r="B581" s="8" t="s">
        <v>21</v>
      </c>
      <c r="C581" s="8" t="s">
        <v>22</v>
      </c>
      <c r="D581" s="8" t="s">
        <v>16</v>
      </c>
      <c r="E581" s="9" t="s">
        <v>23</v>
      </c>
      <c r="F581" s="10">
        <v>7202.95</v>
      </c>
      <c r="G581" s="10">
        <v>0</v>
      </c>
      <c r="H581" s="10">
        <v>771</v>
      </c>
      <c r="I581" s="10">
        <v>40</v>
      </c>
      <c r="J581" s="10">
        <v>225</v>
      </c>
      <c r="K581" s="6">
        <f t="shared" si="10"/>
        <v>8238.9500000000007</v>
      </c>
      <c r="M581" t="str">
        <f>VLOOKUP(B581,'[2]TABULADOR ok'!$A$2:$I$424,7,FALSE)</f>
        <v>T2</v>
      </c>
      <c r="N581" t="str">
        <f>VLOOKUP(B581,'[2]TABULADOR ok'!$A$2:$I$424,8,FALSE)</f>
        <v>S12091</v>
      </c>
      <c r="O581">
        <f>VLOOKUP(B581,'[2]TABULADOR ok'!$A$2:$I$424,9,FALSE)</f>
        <v>95</v>
      </c>
    </row>
    <row r="582" spans="1:15" x14ac:dyDescent="0.25">
      <c r="A582" s="7">
        <v>2014</v>
      </c>
      <c r="B582" s="8" t="s">
        <v>24</v>
      </c>
      <c r="C582" s="8" t="s">
        <v>24</v>
      </c>
      <c r="D582" s="8" t="s">
        <v>25</v>
      </c>
      <c r="E582" s="9" t="s">
        <v>26</v>
      </c>
      <c r="F582" s="10">
        <v>7537.9</v>
      </c>
      <c r="G582" s="10">
        <v>0</v>
      </c>
      <c r="H582" s="10">
        <v>771</v>
      </c>
      <c r="I582" s="10">
        <v>40</v>
      </c>
      <c r="J582" s="10">
        <v>225</v>
      </c>
      <c r="K582" s="6">
        <f t="shared" si="10"/>
        <v>8573.9</v>
      </c>
      <c r="M582" t="str">
        <f>VLOOKUP(B582,'[2]TABULADOR ok'!$A$2:$I$424,7,FALSE)</f>
        <v>T3</v>
      </c>
      <c r="N582" t="str">
        <f>VLOOKUP(B582,'[2]TABULADOR ok'!$A$2:$I$424,8,FALSE)</f>
        <v>A01023</v>
      </c>
      <c r="O582">
        <f>VLOOKUP(B582,'[2]TABULADOR ok'!$A$2:$I$424,9,FALSE)</f>
        <v>95</v>
      </c>
    </row>
    <row r="583" spans="1:15" x14ac:dyDescent="0.25">
      <c r="A583" s="7">
        <v>2014</v>
      </c>
      <c r="B583" s="8" t="s">
        <v>27</v>
      </c>
      <c r="C583" s="8" t="s">
        <v>28</v>
      </c>
      <c r="D583" s="8" t="s">
        <v>25</v>
      </c>
      <c r="E583" s="9" t="s">
        <v>29</v>
      </c>
      <c r="F583" s="10">
        <v>7537.9</v>
      </c>
      <c r="G583" s="10">
        <v>0</v>
      </c>
      <c r="H583" s="10">
        <v>771</v>
      </c>
      <c r="I583" s="10">
        <v>40</v>
      </c>
      <c r="J583" s="10">
        <v>225</v>
      </c>
      <c r="K583" s="6">
        <f t="shared" si="10"/>
        <v>8573.9</v>
      </c>
      <c r="M583" t="str">
        <f>VLOOKUP(B583,'[2]TABULADOR ok'!$A$2:$I$424,7,FALSE)</f>
        <v>T3</v>
      </c>
      <c r="N583" t="str">
        <f>VLOOKUP(B583,'[2]TABULADOR ok'!$A$2:$I$424,8,FALSE)</f>
        <v>A01040</v>
      </c>
      <c r="O583">
        <f>VLOOKUP(B583,'[2]TABULADOR ok'!$A$2:$I$424,9,FALSE)</f>
        <v>95</v>
      </c>
    </row>
    <row r="584" spans="1:15" x14ac:dyDescent="0.25">
      <c r="A584" s="7">
        <v>2014</v>
      </c>
      <c r="B584" s="8" t="s">
        <v>30</v>
      </c>
      <c r="C584" s="8" t="s">
        <v>31</v>
      </c>
      <c r="D584" s="8" t="s">
        <v>25</v>
      </c>
      <c r="E584" s="9" t="s">
        <v>32</v>
      </c>
      <c r="F584" s="10">
        <v>7537.9</v>
      </c>
      <c r="G584" s="10">
        <v>0</v>
      </c>
      <c r="H584" s="10">
        <v>771</v>
      </c>
      <c r="I584" s="10">
        <v>40</v>
      </c>
      <c r="J584" s="10">
        <v>225</v>
      </c>
      <c r="K584" s="6">
        <f t="shared" si="10"/>
        <v>8573.9</v>
      </c>
      <c r="M584" t="str">
        <f>VLOOKUP(B584,'[2]TABULADOR ok'!$A$2:$I$424,7,FALSE)</f>
        <v>T3</v>
      </c>
      <c r="N584" t="str">
        <f>VLOOKUP(B584,'[2]TABULADOR ok'!$A$2:$I$424,8,FALSE)</f>
        <v>A02813</v>
      </c>
      <c r="O584">
        <f>VLOOKUP(B584,'[2]TABULADOR ok'!$A$2:$I$424,9,FALSE)</f>
        <v>95</v>
      </c>
    </row>
    <row r="585" spans="1:15" x14ac:dyDescent="0.25">
      <c r="A585" s="7">
        <v>2014</v>
      </c>
      <c r="B585" s="8" t="s">
        <v>33</v>
      </c>
      <c r="C585" s="8" t="s">
        <v>34</v>
      </c>
      <c r="D585" s="8" t="s">
        <v>25</v>
      </c>
      <c r="E585" s="9" t="s">
        <v>35</v>
      </c>
      <c r="F585" s="10">
        <v>7537.9</v>
      </c>
      <c r="G585" s="10">
        <v>0</v>
      </c>
      <c r="H585" s="10">
        <v>771</v>
      </c>
      <c r="I585" s="10">
        <v>40</v>
      </c>
      <c r="J585" s="10">
        <v>225</v>
      </c>
      <c r="K585" s="6">
        <f t="shared" si="10"/>
        <v>8573.9</v>
      </c>
      <c r="M585" t="str">
        <f>VLOOKUP(B585,'[2]TABULADOR ok'!$A$2:$I$424,7,FALSE)</f>
        <v>T3</v>
      </c>
      <c r="N585" t="str">
        <f>VLOOKUP(B585,'[2]TABULADOR ok'!$A$2:$I$424,8,FALSE)</f>
        <v>A03832</v>
      </c>
      <c r="O585">
        <f>VLOOKUP(B585,'[2]TABULADOR ok'!$A$2:$I$424,9,FALSE)</f>
        <v>95</v>
      </c>
    </row>
    <row r="586" spans="1:15" x14ac:dyDescent="0.25">
      <c r="A586" s="7">
        <v>2014</v>
      </c>
      <c r="B586" s="8" t="s">
        <v>36</v>
      </c>
      <c r="C586" s="8" t="s">
        <v>37</v>
      </c>
      <c r="D586" s="8" t="s">
        <v>25</v>
      </c>
      <c r="E586" s="9" t="s">
        <v>38</v>
      </c>
      <c r="F586" s="10">
        <v>7537.9</v>
      </c>
      <c r="G586" s="10">
        <v>0</v>
      </c>
      <c r="H586" s="10">
        <v>771</v>
      </c>
      <c r="I586" s="10">
        <v>40</v>
      </c>
      <c r="J586" s="10">
        <v>225</v>
      </c>
      <c r="K586" s="6">
        <f t="shared" si="10"/>
        <v>8573.9</v>
      </c>
      <c r="M586" t="str">
        <f>VLOOKUP(B586,'[2]TABULADOR ok'!$A$2:$I$424,7,FALSE)</f>
        <v>T3</v>
      </c>
      <c r="N586" t="str">
        <f>VLOOKUP(B586,'[2]TABULADOR ok'!$A$2:$I$424,8,FALSE)</f>
        <v>A05012</v>
      </c>
      <c r="O586">
        <f>VLOOKUP(B586,'[2]TABULADOR ok'!$A$2:$I$424,9,FALSE)</f>
        <v>95</v>
      </c>
    </row>
    <row r="587" spans="1:15" x14ac:dyDescent="0.25">
      <c r="A587" s="7">
        <v>2014</v>
      </c>
      <c r="B587" s="8" t="s">
        <v>39</v>
      </c>
      <c r="C587" s="8" t="s">
        <v>40</v>
      </c>
      <c r="D587" s="8" t="s">
        <v>25</v>
      </c>
      <c r="E587" s="9" t="s">
        <v>41</v>
      </c>
      <c r="F587" s="10">
        <v>7537.9</v>
      </c>
      <c r="G587" s="10">
        <v>0</v>
      </c>
      <c r="H587" s="10">
        <v>771</v>
      </c>
      <c r="I587" s="10">
        <v>40</v>
      </c>
      <c r="J587" s="10">
        <v>225</v>
      </c>
      <c r="K587" s="6">
        <f t="shared" si="10"/>
        <v>8573.9</v>
      </c>
      <c r="M587" t="str">
        <f>VLOOKUP(B587,'[2]TABULADOR ok'!$A$2:$I$424,7,FALSE)</f>
        <v>T3</v>
      </c>
      <c r="N587" t="str">
        <f>VLOOKUP(B587,'[2]TABULADOR ok'!$A$2:$I$424,8,FALSE)</f>
        <v>S01890</v>
      </c>
      <c r="O587">
        <f>VLOOKUP(B587,'[2]TABULADOR ok'!$A$2:$I$424,9,FALSE)</f>
        <v>95</v>
      </c>
    </row>
    <row r="588" spans="1:15" x14ac:dyDescent="0.25">
      <c r="A588" s="7">
        <v>2014</v>
      </c>
      <c r="B588" s="8" t="s">
        <v>42</v>
      </c>
      <c r="C588" s="8" t="s">
        <v>43</v>
      </c>
      <c r="D588" s="8" t="s">
        <v>25</v>
      </c>
      <c r="E588" s="9" t="s">
        <v>44</v>
      </c>
      <c r="F588" s="10">
        <v>7537.9</v>
      </c>
      <c r="G588" s="10">
        <v>0</v>
      </c>
      <c r="H588" s="10">
        <v>771</v>
      </c>
      <c r="I588" s="10">
        <v>40</v>
      </c>
      <c r="J588" s="10">
        <v>225</v>
      </c>
      <c r="K588" s="6">
        <f t="shared" si="10"/>
        <v>8573.9</v>
      </c>
      <c r="M588" t="str">
        <f>VLOOKUP(B588,'[2]TABULADOR ok'!$A$2:$I$424,7,FALSE)</f>
        <v>T3</v>
      </c>
      <c r="N588" t="str">
        <f>VLOOKUP(B588,'[2]TABULADOR ok'!$A$2:$I$424,8,FALSE)</f>
        <v>S01894</v>
      </c>
      <c r="O588">
        <f>VLOOKUP(B588,'[2]TABULADOR ok'!$A$2:$I$424,9,FALSE)</f>
        <v>95</v>
      </c>
    </row>
    <row r="589" spans="1:15" x14ac:dyDescent="0.25">
      <c r="A589" s="7">
        <v>2014</v>
      </c>
      <c r="B589" s="8" t="s">
        <v>45</v>
      </c>
      <c r="C589" s="8" t="s">
        <v>46</v>
      </c>
      <c r="D589" s="8" t="s">
        <v>47</v>
      </c>
      <c r="E589" s="9" t="s">
        <v>48</v>
      </c>
      <c r="F589" s="10">
        <v>8274.4</v>
      </c>
      <c r="G589" s="10">
        <v>0</v>
      </c>
      <c r="H589" s="10">
        <v>771</v>
      </c>
      <c r="I589" s="10">
        <v>40</v>
      </c>
      <c r="J589" s="10">
        <v>225</v>
      </c>
      <c r="K589" s="6">
        <f t="shared" si="10"/>
        <v>9310.4</v>
      </c>
      <c r="M589" t="str">
        <f>VLOOKUP(B589,'[2]TABULADOR ok'!$A$2:$I$424,7,FALSE)</f>
        <v>T4</v>
      </c>
      <c r="N589" t="str">
        <f>VLOOKUP(B589,'[2]TABULADOR ok'!$A$2:$I$424,8,FALSE)</f>
        <v>A03841</v>
      </c>
      <c r="O589">
        <f>VLOOKUP(B589,'[2]TABULADOR ok'!$A$2:$I$424,9,FALSE)</f>
        <v>95</v>
      </c>
    </row>
    <row r="590" spans="1:15" x14ac:dyDescent="0.25">
      <c r="A590" s="7">
        <v>2014</v>
      </c>
      <c r="B590" s="8" t="s">
        <v>49</v>
      </c>
      <c r="C590" s="8" t="s">
        <v>50</v>
      </c>
      <c r="D590" s="8" t="s">
        <v>47</v>
      </c>
      <c r="E590" s="9" t="s">
        <v>51</v>
      </c>
      <c r="F590" s="10">
        <v>8274.4</v>
      </c>
      <c r="G590" s="10">
        <v>0</v>
      </c>
      <c r="H590" s="10">
        <v>771</v>
      </c>
      <c r="I590" s="10">
        <v>40</v>
      </c>
      <c r="J590" s="10">
        <v>225</v>
      </c>
      <c r="K590" s="6">
        <f t="shared" si="10"/>
        <v>9310.4</v>
      </c>
      <c r="M590" t="str">
        <f>VLOOKUP(B590,'[2]TABULADOR ok'!$A$2:$I$424,7,FALSE)</f>
        <v>T4</v>
      </c>
      <c r="N590" t="str">
        <f>VLOOKUP(B590,'[2]TABULADOR ok'!$A$2:$I$424,8,FALSE)</f>
        <v>C02810</v>
      </c>
      <c r="O590">
        <f>VLOOKUP(B590,'[2]TABULADOR ok'!$A$2:$I$424,9,FALSE)</f>
        <v>95</v>
      </c>
    </row>
    <row r="591" spans="1:15" x14ac:dyDescent="0.25">
      <c r="A591" s="7">
        <v>2014</v>
      </c>
      <c r="B591" s="8" t="s">
        <v>52</v>
      </c>
      <c r="C591" s="8" t="s">
        <v>53</v>
      </c>
      <c r="D591" s="8" t="s">
        <v>47</v>
      </c>
      <c r="E591" s="9" t="s">
        <v>54</v>
      </c>
      <c r="F591" s="10">
        <v>8274.4</v>
      </c>
      <c r="G591" s="10">
        <v>0</v>
      </c>
      <c r="H591" s="10">
        <v>771</v>
      </c>
      <c r="I591" s="10">
        <v>40</v>
      </c>
      <c r="J591" s="10">
        <v>225</v>
      </c>
      <c r="K591" s="6">
        <f t="shared" si="10"/>
        <v>9310.4</v>
      </c>
      <c r="M591" t="str">
        <f>VLOOKUP(B591,'[2]TABULADOR ok'!$A$2:$I$424,7,FALSE)</f>
        <v>T4</v>
      </c>
      <c r="N591" t="str">
        <f>VLOOKUP(B591,'[2]TABULADOR ok'!$A$2:$I$424,8,FALSE)</f>
        <v>S01889</v>
      </c>
      <c r="O591">
        <f>VLOOKUP(B591,'[2]TABULADOR ok'!$A$2:$I$424,9,FALSE)</f>
        <v>95</v>
      </c>
    </row>
    <row r="592" spans="1:15" x14ac:dyDescent="0.25">
      <c r="A592" s="7">
        <v>2014</v>
      </c>
      <c r="B592" s="8" t="s">
        <v>55</v>
      </c>
      <c r="C592" s="8" t="s">
        <v>56</v>
      </c>
      <c r="D592" s="8" t="s">
        <v>47</v>
      </c>
      <c r="E592" s="9" t="s">
        <v>57</v>
      </c>
      <c r="F592" s="10">
        <v>8274.4</v>
      </c>
      <c r="G592" s="10">
        <v>0</v>
      </c>
      <c r="H592" s="10">
        <v>771</v>
      </c>
      <c r="I592" s="10">
        <v>40</v>
      </c>
      <c r="J592" s="10">
        <v>225</v>
      </c>
      <c r="K592" s="6">
        <f t="shared" si="10"/>
        <v>9310.4</v>
      </c>
      <c r="M592" t="str">
        <f>VLOOKUP(B592,'[2]TABULADOR ok'!$A$2:$I$424,7,FALSE)</f>
        <v>T4</v>
      </c>
      <c r="N592" t="str">
        <f>VLOOKUP(B592,'[2]TABULADOR ok'!$A$2:$I$424,8,FALSE)</f>
        <v>S01895</v>
      </c>
      <c r="O592">
        <f>VLOOKUP(B592,'[2]TABULADOR ok'!$A$2:$I$424,9,FALSE)</f>
        <v>95</v>
      </c>
    </row>
    <row r="593" spans="1:15" x14ac:dyDescent="0.25">
      <c r="A593" s="7">
        <v>2014</v>
      </c>
      <c r="B593" s="8" t="s">
        <v>58</v>
      </c>
      <c r="C593" s="8" t="s">
        <v>59</v>
      </c>
      <c r="D593" s="8" t="s">
        <v>47</v>
      </c>
      <c r="E593" s="9" t="s">
        <v>60</v>
      </c>
      <c r="F593" s="10">
        <v>8274.4</v>
      </c>
      <c r="G593" s="10">
        <v>0</v>
      </c>
      <c r="H593" s="10">
        <v>771</v>
      </c>
      <c r="I593" s="10">
        <v>40</v>
      </c>
      <c r="J593" s="10">
        <v>225</v>
      </c>
      <c r="K593" s="6">
        <f t="shared" si="10"/>
        <v>9310.4</v>
      </c>
      <c r="M593" t="str">
        <f>VLOOKUP(B593,'[2]TABULADOR ok'!$A$2:$I$424,7,FALSE)</f>
        <v>T4</v>
      </c>
      <c r="N593" t="str">
        <f>VLOOKUP(B593,'[2]TABULADOR ok'!$A$2:$I$424,8,FALSE)</f>
        <v>S03834</v>
      </c>
      <c r="O593">
        <f>VLOOKUP(B593,'[2]TABULADOR ok'!$A$2:$I$424,9,FALSE)</f>
        <v>95</v>
      </c>
    </row>
    <row r="594" spans="1:15" x14ac:dyDescent="0.25">
      <c r="A594" s="7">
        <v>2014</v>
      </c>
      <c r="B594" s="8" t="s">
        <v>61</v>
      </c>
      <c r="C594" s="8" t="s">
        <v>62</v>
      </c>
      <c r="D594" s="8" t="s">
        <v>47</v>
      </c>
      <c r="E594" s="9" t="s">
        <v>63</v>
      </c>
      <c r="F594" s="10">
        <v>8274.4</v>
      </c>
      <c r="G594" s="10">
        <v>0</v>
      </c>
      <c r="H594" s="10">
        <v>771</v>
      </c>
      <c r="I594" s="10">
        <v>40</v>
      </c>
      <c r="J594" s="10">
        <v>225</v>
      </c>
      <c r="K594" s="6">
        <f t="shared" si="10"/>
        <v>9310.4</v>
      </c>
      <c r="M594" t="str">
        <f>VLOOKUP(B594,'[2]TABULADOR ok'!$A$2:$I$424,7,FALSE)</f>
        <v>T4</v>
      </c>
      <c r="N594" t="str">
        <f>VLOOKUP(B594,'[2]TABULADOR ok'!$A$2:$I$424,8,FALSE)</f>
        <v>S12020</v>
      </c>
      <c r="O594">
        <f>VLOOKUP(B594,'[2]TABULADOR ok'!$A$2:$I$424,9,FALSE)</f>
        <v>95</v>
      </c>
    </row>
    <row r="595" spans="1:15" x14ac:dyDescent="0.25">
      <c r="A595" s="7">
        <v>2014</v>
      </c>
      <c r="B595" s="8" t="s">
        <v>64</v>
      </c>
      <c r="C595" s="8" t="s">
        <v>65</v>
      </c>
      <c r="D595" s="8" t="s">
        <v>47</v>
      </c>
      <c r="E595" s="9" t="s">
        <v>66</v>
      </c>
      <c r="F595" s="10">
        <v>8274.4</v>
      </c>
      <c r="G595" s="10">
        <v>0</v>
      </c>
      <c r="H595" s="10">
        <v>771</v>
      </c>
      <c r="I595" s="10">
        <v>40</v>
      </c>
      <c r="J595" s="10">
        <v>225</v>
      </c>
      <c r="K595" s="6">
        <f t="shared" si="10"/>
        <v>9310.4</v>
      </c>
      <c r="M595" t="str">
        <f>VLOOKUP(B595,'[2]TABULADOR ok'!$A$2:$I$424,7,FALSE)</f>
        <v>T4</v>
      </c>
      <c r="N595" t="str">
        <f>VLOOKUP(B595,'[2]TABULADOR ok'!$A$2:$I$424,8,FALSE)</f>
        <v>S12092</v>
      </c>
      <c r="O595">
        <f>VLOOKUP(B595,'[2]TABULADOR ok'!$A$2:$I$424,9,FALSE)</f>
        <v>95</v>
      </c>
    </row>
    <row r="596" spans="1:15" x14ac:dyDescent="0.25">
      <c r="A596" s="7">
        <v>2014</v>
      </c>
      <c r="B596" s="8" t="s">
        <v>67</v>
      </c>
      <c r="C596" s="8" t="s">
        <v>68</v>
      </c>
      <c r="D596" s="8" t="s">
        <v>47</v>
      </c>
      <c r="E596" s="9" t="s">
        <v>69</v>
      </c>
      <c r="F596" s="10">
        <v>8274.4</v>
      </c>
      <c r="G596" s="10">
        <v>0</v>
      </c>
      <c r="H596" s="10">
        <v>771</v>
      </c>
      <c r="I596" s="10">
        <v>40</v>
      </c>
      <c r="J596" s="10">
        <v>225</v>
      </c>
      <c r="K596" s="6">
        <f t="shared" si="10"/>
        <v>9310.4</v>
      </c>
      <c r="M596" t="str">
        <f>VLOOKUP(B596,'[2]TABULADOR ok'!$A$2:$I$424,7,FALSE)</f>
        <v>T4</v>
      </c>
      <c r="N596" t="str">
        <f>VLOOKUP(B596,'[2]TABULADOR ok'!$A$2:$I$424,8,FALSE)</f>
        <v>S12093</v>
      </c>
      <c r="O596">
        <f>VLOOKUP(B596,'[2]TABULADOR ok'!$A$2:$I$424,9,FALSE)</f>
        <v>95</v>
      </c>
    </row>
    <row r="597" spans="1:15" x14ac:dyDescent="0.25">
      <c r="A597" s="7">
        <v>2014</v>
      </c>
      <c r="B597" s="8" t="s">
        <v>70</v>
      </c>
      <c r="C597" s="8" t="s">
        <v>71</v>
      </c>
      <c r="D597" s="8" t="s">
        <v>47</v>
      </c>
      <c r="E597" s="9" t="s">
        <v>72</v>
      </c>
      <c r="F597" s="10">
        <v>8274.4</v>
      </c>
      <c r="G597" s="10">
        <v>0</v>
      </c>
      <c r="H597" s="10">
        <v>771</v>
      </c>
      <c r="I597" s="10">
        <v>40</v>
      </c>
      <c r="J597" s="10">
        <v>225</v>
      </c>
      <c r="K597" s="6">
        <f t="shared" si="10"/>
        <v>9310.4</v>
      </c>
      <c r="M597" t="str">
        <f>VLOOKUP(B597,'[2]TABULADOR ok'!$A$2:$I$424,7,FALSE)</f>
        <v>T4</v>
      </c>
      <c r="N597" t="str">
        <f>VLOOKUP(B597,'[2]TABULADOR ok'!$A$2:$I$424,8,FALSE)</f>
        <v>S12096</v>
      </c>
      <c r="O597">
        <f>VLOOKUP(B597,'[2]TABULADOR ok'!$A$2:$I$424,9,FALSE)</f>
        <v>95</v>
      </c>
    </row>
    <row r="598" spans="1:15" x14ac:dyDescent="0.25">
      <c r="A598" s="7">
        <v>2014</v>
      </c>
      <c r="B598" s="8" t="s">
        <v>73</v>
      </c>
      <c r="C598" s="8" t="s">
        <v>74</v>
      </c>
      <c r="D598" s="8" t="s">
        <v>47</v>
      </c>
      <c r="E598" s="9" t="s">
        <v>75</v>
      </c>
      <c r="F598" s="10">
        <v>8274.4</v>
      </c>
      <c r="G598" s="10">
        <v>0</v>
      </c>
      <c r="H598" s="10">
        <v>771</v>
      </c>
      <c r="I598" s="10">
        <v>40</v>
      </c>
      <c r="J598" s="10">
        <v>225</v>
      </c>
      <c r="K598" s="6">
        <f t="shared" si="10"/>
        <v>9310.4</v>
      </c>
      <c r="M598" t="str">
        <f>VLOOKUP(B598,'[2]TABULADOR ok'!$A$2:$I$424,7,FALSE)</f>
        <v>T4</v>
      </c>
      <c r="N598" t="str">
        <f>VLOOKUP(B598,'[2]TABULADOR ok'!$A$2:$I$424,8,FALSE)</f>
        <v>S12097</v>
      </c>
      <c r="O598">
        <f>VLOOKUP(B598,'[2]TABULADOR ok'!$A$2:$I$424,9,FALSE)</f>
        <v>95</v>
      </c>
    </row>
    <row r="599" spans="1:15" x14ac:dyDescent="0.25">
      <c r="A599" s="7">
        <v>2014</v>
      </c>
      <c r="B599" s="8" t="s">
        <v>76</v>
      </c>
      <c r="C599" s="8" t="s">
        <v>77</v>
      </c>
      <c r="D599" s="8" t="s">
        <v>47</v>
      </c>
      <c r="E599" s="9" t="s">
        <v>78</v>
      </c>
      <c r="F599" s="10">
        <v>8274.4</v>
      </c>
      <c r="G599" s="10">
        <v>0</v>
      </c>
      <c r="H599" s="10">
        <v>771</v>
      </c>
      <c r="I599" s="10">
        <v>40</v>
      </c>
      <c r="J599" s="10">
        <v>225</v>
      </c>
      <c r="K599" s="6">
        <f t="shared" si="10"/>
        <v>9310.4</v>
      </c>
      <c r="M599" t="str">
        <f>VLOOKUP(B599,'[2]TABULADOR ok'!$A$2:$I$424,7,FALSE)</f>
        <v>T4</v>
      </c>
      <c r="N599" t="str">
        <f>VLOOKUP(B599,'[2]TABULADOR ok'!$A$2:$I$424,8,FALSE)</f>
        <v>S12098</v>
      </c>
      <c r="O599">
        <f>VLOOKUP(B599,'[2]TABULADOR ok'!$A$2:$I$424,9,FALSE)</f>
        <v>95</v>
      </c>
    </row>
    <row r="600" spans="1:15" x14ac:dyDescent="0.25">
      <c r="A600" s="7">
        <v>2014</v>
      </c>
      <c r="B600" s="8" t="s">
        <v>79</v>
      </c>
      <c r="C600" s="8" t="s">
        <v>80</v>
      </c>
      <c r="D600" s="8" t="s">
        <v>47</v>
      </c>
      <c r="E600" s="9" t="s">
        <v>81</v>
      </c>
      <c r="F600" s="10">
        <v>8274.4</v>
      </c>
      <c r="G600" s="10">
        <v>0</v>
      </c>
      <c r="H600" s="10">
        <v>771</v>
      </c>
      <c r="I600" s="10">
        <v>40</v>
      </c>
      <c r="J600" s="10">
        <v>225</v>
      </c>
      <c r="K600" s="6">
        <f t="shared" si="10"/>
        <v>9310.4</v>
      </c>
      <c r="M600" t="str">
        <f>VLOOKUP(B600,'[2]TABULADOR ok'!$A$2:$I$424,7,FALSE)</f>
        <v>T4</v>
      </c>
      <c r="N600" t="str">
        <f>VLOOKUP(B600,'[2]TABULADOR ok'!$A$2:$I$424,8,FALSE)</f>
        <v>T06824</v>
      </c>
      <c r="O600">
        <f>VLOOKUP(B600,'[2]TABULADOR ok'!$A$2:$I$424,9,FALSE)</f>
        <v>95</v>
      </c>
    </row>
    <row r="601" spans="1:15" x14ac:dyDescent="0.25">
      <c r="A601" s="7">
        <v>2014</v>
      </c>
      <c r="B601" s="8" t="s">
        <v>82</v>
      </c>
      <c r="C601" s="8" t="s">
        <v>83</v>
      </c>
      <c r="D601" s="8" t="s">
        <v>84</v>
      </c>
      <c r="E601" s="9" t="s">
        <v>85</v>
      </c>
      <c r="F601" s="10">
        <v>9105.7000000000007</v>
      </c>
      <c r="G601" s="10">
        <v>0</v>
      </c>
      <c r="H601" s="10">
        <v>771</v>
      </c>
      <c r="I601" s="10">
        <v>40</v>
      </c>
      <c r="J601" s="10">
        <v>225</v>
      </c>
      <c r="K601" s="6">
        <f t="shared" si="10"/>
        <v>10141.700000000001</v>
      </c>
      <c r="M601" t="str">
        <f>VLOOKUP(B601,'[2]TABULADOR ok'!$A$2:$I$424,7,FALSE)</f>
        <v>T5</v>
      </c>
      <c r="N601" t="str">
        <f>VLOOKUP(B601,'[2]TABULADOR ok'!$A$2:$I$424,8,FALSE)</f>
        <v>A01038</v>
      </c>
      <c r="O601">
        <f>VLOOKUP(B601,'[2]TABULADOR ok'!$A$2:$I$424,9,FALSE)</f>
        <v>95</v>
      </c>
    </row>
    <row r="602" spans="1:15" x14ac:dyDescent="0.25">
      <c r="A602" s="7">
        <v>2014</v>
      </c>
      <c r="B602" s="8" t="s">
        <v>86</v>
      </c>
      <c r="C602" s="8" t="s">
        <v>87</v>
      </c>
      <c r="D602" s="8" t="s">
        <v>84</v>
      </c>
      <c r="E602" s="9" t="s">
        <v>88</v>
      </c>
      <c r="F602" s="10">
        <v>9105.7000000000007</v>
      </c>
      <c r="G602" s="10">
        <v>0</v>
      </c>
      <c r="H602" s="10">
        <v>771</v>
      </c>
      <c r="I602" s="10">
        <v>40</v>
      </c>
      <c r="J602" s="10">
        <v>225</v>
      </c>
      <c r="K602" s="6">
        <f t="shared" si="10"/>
        <v>10141.700000000001</v>
      </c>
      <c r="M602" t="str">
        <f>VLOOKUP(B602,'[2]TABULADOR ok'!$A$2:$I$424,7,FALSE)</f>
        <v>T5</v>
      </c>
      <c r="N602" t="str">
        <f>VLOOKUP(B602,'[2]TABULADOR ok'!$A$2:$I$424,8,FALSE)</f>
        <v>A03840</v>
      </c>
      <c r="O602">
        <f>VLOOKUP(B602,'[2]TABULADOR ok'!$A$2:$I$424,9,FALSE)</f>
        <v>95</v>
      </c>
    </row>
    <row r="603" spans="1:15" x14ac:dyDescent="0.25">
      <c r="A603" s="7">
        <v>2014</v>
      </c>
      <c r="B603" s="8" t="s">
        <v>89</v>
      </c>
      <c r="C603" s="8" t="s">
        <v>90</v>
      </c>
      <c r="D603" s="8" t="s">
        <v>84</v>
      </c>
      <c r="E603" s="9" t="s">
        <v>91</v>
      </c>
      <c r="F603" s="10">
        <v>9105.7000000000007</v>
      </c>
      <c r="G603" s="10">
        <v>0</v>
      </c>
      <c r="H603" s="10">
        <v>771</v>
      </c>
      <c r="I603" s="10">
        <v>40</v>
      </c>
      <c r="J603" s="10">
        <v>225</v>
      </c>
      <c r="K603" s="6">
        <f t="shared" si="10"/>
        <v>10141.700000000001</v>
      </c>
      <c r="M603" t="str">
        <f>VLOOKUP(B603,'[2]TABULADOR ok'!$A$2:$I$424,7,FALSE)</f>
        <v>T5</v>
      </c>
      <c r="N603" t="str">
        <f>VLOOKUP(B603,'[2]TABULADOR ok'!$A$2:$I$424,8,FALSE)</f>
        <v>A05011</v>
      </c>
      <c r="O603">
        <f>VLOOKUP(B603,'[2]TABULADOR ok'!$A$2:$I$424,9,FALSE)</f>
        <v>95</v>
      </c>
    </row>
    <row r="604" spans="1:15" x14ac:dyDescent="0.25">
      <c r="A604" s="7">
        <v>2014</v>
      </c>
      <c r="B604" s="8" t="s">
        <v>92</v>
      </c>
      <c r="C604" s="8" t="s">
        <v>93</v>
      </c>
      <c r="D604" s="8" t="s">
        <v>84</v>
      </c>
      <c r="E604" s="9" t="s">
        <v>94</v>
      </c>
      <c r="F604" s="10">
        <v>9105.7000000000007</v>
      </c>
      <c r="G604" s="10">
        <v>0</v>
      </c>
      <c r="H604" s="10">
        <v>771</v>
      </c>
      <c r="I604" s="10">
        <v>40</v>
      </c>
      <c r="J604" s="10">
        <v>225</v>
      </c>
      <c r="K604" s="6">
        <f t="shared" si="10"/>
        <v>10141.700000000001</v>
      </c>
      <c r="M604" t="str">
        <f>VLOOKUP(B604,'[2]TABULADOR ok'!$A$2:$I$424,7,FALSE)</f>
        <v>T5</v>
      </c>
      <c r="N604" t="str">
        <f>VLOOKUP(B604,'[2]TABULADOR ok'!$A$2:$I$424,8,FALSE)</f>
        <v>S01892</v>
      </c>
      <c r="O604">
        <f>VLOOKUP(B604,'[2]TABULADOR ok'!$A$2:$I$424,9,FALSE)</f>
        <v>95</v>
      </c>
    </row>
    <row r="605" spans="1:15" x14ac:dyDescent="0.25">
      <c r="A605" s="7">
        <v>2014</v>
      </c>
      <c r="B605" s="8" t="s">
        <v>95</v>
      </c>
      <c r="C605" s="8" t="s">
        <v>96</v>
      </c>
      <c r="D605" s="8" t="s">
        <v>84</v>
      </c>
      <c r="E605" s="9" t="s">
        <v>97</v>
      </c>
      <c r="F605" s="10">
        <v>9105.7000000000007</v>
      </c>
      <c r="G605" s="10">
        <v>0</v>
      </c>
      <c r="H605" s="10">
        <v>771</v>
      </c>
      <c r="I605" s="10">
        <v>40</v>
      </c>
      <c r="J605" s="10">
        <v>225</v>
      </c>
      <c r="K605" s="6">
        <f t="shared" si="10"/>
        <v>10141.700000000001</v>
      </c>
      <c r="M605" t="str">
        <f>VLOOKUP(B605,'[2]TABULADOR ok'!$A$2:$I$424,7,FALSE)</f>
        <v>T5</v>
      </c>
      <c r="N605" t="str">
        <f>VLOOKUP(B605,'[2]TABULADOR ok'!$A$2:$I$424,8,FALSE)</f>
        <v>S01896</v>
      </c>
      <c r="O605">
        <f>VLOOKUP(B605,'[2]TABULADOR ok'!$A$2:$I$424,9,FALSE)</f>
        <v>95</v>
      </c>
    </row>
    <row r="606" spans="1:15" x14ac:dyDescent="0.25">
      <c r="A606" s="7">
        <v>2014</v>
      </c>
      <c r="B606" s="8" t="s">
        <v>98</v>
      </c>
      <c r="C606" s="8" t="s">
        <v>99</v>
      </c>
      <c r="D606" s="8" t="s">
        <v>84</v>
      </c>
      <c r="E606" s="9" t="s">
        <v>100</v>
      </c>
      <c r="F606" s="10">
        <v>9105.7000000000007</v>
      </c>
      <c r="G606" s="10">
        <v>0</v>
      </c>
      <c r="H606" s="10">
        <v>771</v>
      </c>
      <c r="I606" s="10">
        <v>40</v>
      </c>
      <c r="J606" s="10">
        <v>225</v>
      </c>
      <c r="K606" s="6">
        <f t="shared" si="10"/>
        <v>10141.700000000001</v>
      </c>
      <c r="M606" t="str">
        <f>VLOOKUP(B606,'[2]TABULADOR ok'!$A$2:$I$424,7,FALSE)</f>
        <v>T5</v>
      </c>
      <c r="N606" t="str">
        <f>VLOOKUP(B606,'[2]TABULADOR ok'!$A$2:$I$424,8,FALSE)</f>
        <v>S12011</v>
      </c>
      <c r="O606">
        <f>VLOOKUP(B606,'[2]TABULADOR ok'!$A$2:$I$424,9,FALSE)</f>
        <v>95</v>
      </c>
    </row>
    <row r="607" spans="1:15" x14ac:dyDescent="0.25">
      <c r="A607" s="7">
        <v>2014</v>
      </c>
      <c r="B607" s="8" t="s">
        <v>101</v>
      </c>
      <c r="C607" s="8" t="s">
        <v>102</v>
      </c>
      <c r="D607" s="8" t="s">
        <v>84</v>
      </c>
      <c r="E607" s="9" t="s">
        <v>103</v>
      </c>
      <c r="F607" s="10">
        <v>9105.7000000000007</v>
      </c>
      <c r="G607" s="10">
        <v>0</v>
      </c>
      <c r="H607" s="10">
        <v>771</v>
      </c>
      <c r="I607" s="10">
        <v>40</v>
      </c>
      <c r="J607" s="10">
        <v>225</v>
      </c>
      <c r="K607" s="6">
        <f t="shared" si="10"/>
        <v>10141.700000000001</v>
      </c>
      <c r="M607" t="str">
        <f>VLOOKUP(B607,'[2]TABULADOR ok'!$A$2:$I$424,7,FALSE)</f>
        <v>T5</v>
      </c>
      <c r="N607" t="str">
        <f>VLOOKUP(B607,'[2]TABULADOR ok'!$A$2:$I$424,8,FALSE)</f>
        <v>S12094</v>
      </c>
      <c r="O607">
        <f>VLOOKUP(B607,'[2]TABULADOR ok'!$A$2:$I$424,9,FALSE)</f>
        <v>95</v>
      </c>
    </row>
    <row r="608" spans="1:15" x14ac:dyDescent="0.25">
      <c r="A608" s="7">
        <v>2014</v>
      </c>
      <c r="B608" s="8" t="s">
        <v>104</v>
      </c>
      <c r="C608" s="8" t="s">
        <v>105</v>
      </c>
      <c r="D608" s="8" t="s">
        <v>84</v>
      </c>
      <c r="E608" s="9" t="s">
        <v>106</v>
      </c>
      <c r="F608" s="10">
        <v>9105.7000000000007</v>
      </c>
      <c r="G608" s="10">
        <v>0</v>
      </c>
      <c r="H608" s="10">
        <v>771</v>
      </c>
      <c r="I608" s="10">
        <v>40</v>
      </c>
      <c r="J608" s="10">
        <v>225</v>
      </c>
      <c r="K608" s="6">
        <f t="shared" si="10"/>
        <v>10141.700000000001</v>
      </c>
      <c r="M608" t="str">
        <f>VLOOKUP(B608,'[2]TABULADOR ok'!$A$2:$I$424,7,FALSE)</f>
        <v>T5</v>
      </c>
      <c r="N608" t="str">
        <f>VLOOKUP(B608,'[2]TABULADOR ok'!$A$2:$I$424,8,FALSE)</f>
        <v>T03853</v>
      </c>
      <c r="O608">
        <f>VLOOKUP(B608,'[2]TABULADOR ok'!$A$2:$I$424,9,FALSE)</f>
        <v>95</v>
      </c>
    </row>
    <row r="609" spans="1:15" x14ac:dyDescent="0.25">
      <c r="A609" s="7">
        <v>2014</v>
      </c>
      <c r="B609" s="8" t="s">
        <v>107</v>
      </c>
      <c r="C609" s="8" t="s">
        <v>108</v>
      </c>
      <c r="D609" s="8" t="s">
        <v>84</v>
      </c>
      <c r="E609" s="9" t="s">
        <v>109</v>
      </c>
      <c r="F609" s="10">
        <v>9105.7000000000007</v>
      </c>
      <c r="G609" s="10">
        <v>0</v>
      </c>
      <c r="H609" s="10">
        <v>771</v>
      </c>
      <c r="I609" s="10">
        <v>40</v>
      </c>
      <c r="J609" s="10">
        <v>225</v>
      </c>
      <c r="K609" s="6">
        <f t="shared" si="10"/>
        <v>10141.700000000001</v>
      </c>
      <c r="M609" t="str">
        <f>VLOOKUP(B609,'[2]TABULADOR ok'!$A$2:$I$424,7,FALSE)</f>
        <v>T5</v>
      </c>
      <c r="N609" t="str">
        <f>VLOOKUP(B609,'[2]TABULADOR ok'!$A$2:$I$424,8,FALSE)</f>
        <v>T13818</v>
      </c>
      <c r="O609">
        <f>VLOOKUP(B609,'[2]TABULADOR ok'!$A$2:$I$424,9,FALSE)</f>
        <v>95</v>
      </c>
    </row>
    <row r="610" spans="1:15" x14ac:dyDescent="0.25">
      <c r="A610" s="7">
        <v>2014</v>
      </c>
      <c r="B610" s="8" t="s">
        <v>110</v>
      </c>
      <c r="C610" s="8" t="s">
        <v>111</v>
      </c>
      <c r="D610" s="8" t="s">
        <v>84</v>
      </c>
      <c r="E610" s="9" t="s">
        <v>112</v>
      </c>
      <c r="F610" s="10">
        <v>9105.7000000000007</v>
      </c>
      <c r="G610" s="10">
        <v>0</v>
      </c>
      <c r="H610" s="10">
        <v>771</v>
      </c>
      <c r="I610" s="10">
        <v>40</v>
      </c>
      <c r="J610" s="10">
        <v>225</v>
      </c>
      <c r="K610" s="6">
        <f t="shared" si="10"/>
        <v>10141.700000000001</v>
      </c>
      <c r="M610" t="str">
        <f>VLOOKUP(B610,'[2]TABULADOR ok'!$A$2:$I$424,7,FALSE)</f>
        <v>T5</v>
      </c>
      <c r="N610" t="str">
        <f>VLOOKUP(B610,'[2]TABULADOR ok'!$A$2:$I$424,8,FALSE)</f>
        <v>T14034</v>
      </c>
      <c r="O610">
        <f>VLOOKUP(B610,'[2]TABULADOR ok'!$A$2:$I$424,9,FALSE)</f>
        <v>95</v>
      </c>
    </row>
    <row r="611" spans="1:15" x14ac:dyDescent="0.25">
      <c r="A611" s="7">
        <v>2014</v>
      </c>
      <c r="B611" s="8" t="s">
        <v>113</v>
      </c>
      <c r="C611" s="8" t="s">
        <v>114</v>
      </c>
      <c r="D611" s="8" t="s">
        <v>115</v>
      </c>
      <c r="E611" s="9" t="s">
        <v>116</v>
      </c>
      <c r="F611" s="10">
        <v>10130.4</v>
      </c>
      <c r="G611" s="10">
        <v>0</v>
      </c>
      <c r="H611" s="10">
        <v>771</v>
      </c>
      <c r="I611" s="10">
        <v>40</v>
      </c>
      <c r="J611" s="10">
        <v>225</v>
      </c>
      <c r="K611" s="6">
        <f t="shared" si="10"/>
        <v>11166.4</v>
      </c>
      <c r="M611" t="str">
        <f>VLOOKUP(B611,'[2]TABULADOR ok'!$A$2:$I$424,7,FALSE)</f>
        <v>T6</v>
      </c>
      <c r="N611" t="str">
        <f>VLOOKUP(B611,'[2]TABULADOR ok'!$A$2:$I$424,8,FALSE)</f>
        <v>A03839</v>
      </c>
      <c r="O611">
        <f>VLOOKUP(B611,'[2]TABULADOR ok'!$A$2:$I$424,9,FALSE)</f>
        <v>95</v>
      </c>
    </row>
    <row r="612" spans="1:15" x14ac:dyDescent="0.25">
      <c r="A612" s="7">
        <v>2014</v>
      </c>
      <c r="B612" s="8" t="s">
        <v>117</v>
      </c>
      <c r="C612" s="8" t="s">
        <v>118</v>
      </c>
      <c r="D612" s="8" t="s">
        <v>115</v>
      </c>
      <c r="E612" s="9" t="s">
        <v>119</v>
      </c>
      <c r="F612" s="10">
        <v>10130.4</v>
      </c>
      <c r="G612" s="10">
        <v>0</v>
      </c>
      <c r="H612" s="10">
        <v>771</v>
      </c>
      <c r="I612" s="10">
        <v>40</v>
      </c>
      <c r="J612" s="10">
        <v>225</v>
      </c>
      <c r="K612" s="6">
        <f t="shared" si="10"/>
        <v>11166.4</v>
      </c>
      <c r="M612" t="str">
        <f>VLOOKUP(B612,'[2]TABULADOR ok'!$A$2:$I$424,7,FALSE)</f>
        <v>T6</v>
      </c>
      <c r="N612" t="str">
        <f>VLOOKUP(B612,'[2]TABULADOR ok'!$A$2:$I$424,8,FALSE)</f>
        <v>P07027</v>
      </c>
      <c r="O612">
        <f>VLOOKUP(B612,'[2]TABULADOR ok'!$A$2:$I$424,9,FALSE)</f>
        <v>95</v>
      </c>
    </row>
    <row r="613" spans="1:15" x14ac:dyDescent="0.25">
      <c r="A613" s="7">
        <v>2014</v>
      </c>
      <c r="B613" s="8" t="s">
        <v>120</v>
      </c>
      <c r="C613" s="8" t="s">
        <v>121</v>
      </c>
      <c r="D613" s="8" t="s">
        <v>115</v>
      </c>
      <c r="E613" s="9" t="s">
        <v>122</v>
      </c>
      <c r="F613" s="10">
        <v>10130.4</v>
      </c>
      <c r="G613" s="10">
        <v>0</v>
      </c>
      <c r="H613" s="10">
        <v>771</v>
      </c>
      <c r="I613" s="10">
        <v>40</v>
      </c>
      <c r="J613" s="10">
        <v>225</v>
      </c>
      <c r="K613" s="6">
        <f t="shared" si="10"/>
        <v>11166.4</v>
      </c>
      <c r="M613" t="str">
        <f>VLOOKUP(B613,'[2]TABULADOR ok'!$A$2:$I$424,7,FALSE)</f>
        <v>T6</v>
      </c>
      <c r="N613" t="str">
        <f>VLOOKUP(B613,'[2]TABULADOR ok'!$A$2:$I$424,8,FALSE)</f>
        <v>S03830</v>
      </c>
      <c r="O613">
        <f>VLOOKUP(B613,'[2]TABULADOR ok'!$A$2:$I$424,9,FALSE)</f>
        <v>95</v>
      </c>
    </row>
    <row r="614" spans="1:15" x14ac:dyDescent="0.25">
      <c r="A614" s="7">
        <v>2014</v>
      </c>
      <c r="B614" s="8" t="s">
        <v>123</v>
      </c>
      <c r="C614" s="8" t="s">
        <v>124</v>
      </c>
      <c r="D614" s="8" t="s">
        <v>115</v>
      </c>
      <c r="E614" s="9" t="s">
        <v>125</v>
      </c>
      <c r="F614" s="10">
        <v>10130.4</v>
      </c>
      <c r="G614" s="10">
        <v>0</v>
      </c>
      <c r="H614" s="10">
        <v>771</v>
      </c>
      <c r="I614" s="10">
        <v>40</v>
      </c>
      <c r="J614" s="10">
        <v>225</v>
      </c>
      <c r="K614" s="6">
        <f t="shared" si="10"/>
        <v>11166.4</v>
      </c>
      <c r="M614" t="str">
        <f>VLOOKUP(B614,'[2]TABULADOR ok'!$A$2:$I$424,7,FALSE)</f>
        <v>T6</v>
      </c>
      <c r="N614" t="str">
        <f>VLOOKUP(B614,'[2]TABULADOR ok'!$A$2:$I$424,8,FALSE)</f>
        <v>S03831</v>
      </c>
      <c r="O614">
        <f>VLOOKUP(B614,'[2]TABULADOR ok'!$A$2:$I$424,9,FALSE)</f>
        <v>95</v>
      </c>
    </row>
    <row r="615" spans="1:15" x14ac:dyDescent="0.25">
      <c r="A615" s="7">
        <v>2014</v>
      </c>
      <c r="B615" s="8" t="s">
        <v>126</v>
      </c>
      <c r="C615" s="8" t="s">
        <v>127</v>
      </c>
      <c r="D615" s="8" t="s">
        <v>115</v>
      </c>
      <c r="E615" s="9" t="s">
        <v>128</v>
      </c>
      <c r="F615" s="10">
        <v>10130.4</v>
      </c>
      <c r="G615" s="10">
        <v>0</v>
      </c>
      <c r="H615" s="10">
        <v>771</v>
      </c>
      <c r="I615" s="10">
        <v>40</v>
      </c>
      <c r="J615" s="10">
        <v>225</v>
      </c>
      <c r="K615" s="6">
        <f t="shared" si="10"/>
        <v>11166.4</v>
      </c>
      <c r="M615" t="str">
        <f>VLOOKUP(B615,'[2]TABULADOR ok'!$A$2:$I$424,7,FALSE)</f>
        <v>T6</v>
      </c>
      <c r="N615" t="str">
        <f>VLOOKUP(B615,'[2]TABULADOR ok'!$A$2:$I$424,8,FALSE)</f>
        <v>S09807</v>
      </c>
      <c r="O615">
        <f>VLOOKUP(B615,'[2]TABULADOR ok'!$A$2:$I$424,9,FALSE)</f>
        <v>95</v>
      </c>
    </row>
    <row r="616" spans="1:15" x14ac:dyDescent="0.25">
      <c r="A616" s="7">
        <v>2014</v>
      </c>
      <c r="B616" s="8" t="s">
        <v>129</v>
      </c>
      <c r="C616" s="8" t="s">
        <v>130</v>
      </c>
      <c r="D616" s="8" t="s">
        <v>115</v>
      </c>
      <c r="E616" s="9" t="s">
        <v>131</v>
      </c>
      <c r="F616" s="10">
        <v>10130.4</v>
      </c>
      <c r="G616" s="10">
        <v>0</v>
      </c>
      <c r="H616" s="10">
        <v>771</v>
      </c>
      <c r="I616" s="10">
        <v>40</v>
      </c>
      <c r="J616" s="10">
        <v>225</v>
      </c>
      <c r="K616" s="6">
        <f t="shared" si="10"/>
        <v>11166.4</v>
      </c>
      <c r="M616" t="str">
        <f>VLOOKUP(B616,'[2]TABULADOR ok'!$A$2:$I$424,7,FALSE)</f>
        <v>T6</v>
      </c>
      <c r="N616" t="str">
        <f>VLOOKUP(B616,'[2]TABULADOR ok'!$A$2:$I$424,8,FALSE)</f>
        <v>T06823</v>
      </c>
      <c r="O616">
        <f>VLOOKUP(B616,'[2]TABULADOR ok'!$A$2:$I$424,9,FALSE)</f>
        <v>95</v>
      </c>
    </row>
    <row r="617" spans="1:15" x14ac:dyDescent="0.25">
      <c r="A617" s="7">
        <v>2014</v>
      </c>
      <c r="B617" s="8" t="s">
        <v>132</v>
      </c>
      <c r="C617" s="8" t="s">
        <v>133</v>
      </c>
      <c r="D617" s="8" t="s">
        <v>115</v>
      </c>
      <c r="E617" s="9" t="s">
        <v>134</v>
      </c>
      <c r="F617" s="10">
        <v>10130.4</v>
      </c>
      <c r="G617" s="10">
        <v>0</v>
      </c>
      <c r="H617" s="10">
        <v>771</v>
      </c>
      <c r="I617" s="10">
        <v>40</v>
      </c>
      <c r="J617" s="10">
        <v>225</v>
      </c>
      <c r="K617" s="6">
        <f t="shared" si="10"/>
        <v>11166.4</v>
      </c>
      <c r="M617" t="str">
        <f>VLOOKUP(B617,'[2]TABULADOR ok'!$A$2:$I$424,7,FALSE)</f>
        <v>T6</v>
      </c>
      <c r="N617" t="str">
        <f>VLOOKUP(B617,'[2]TABULADOR ok'!$A$2:$I$424,8,FALSE)</f>
        <v>T08813</v>
      </c>
      <c r="O617">
        <f>VLOOKUP(B617,'[2]TABULADOR ok'!$A$2:$I$424,9,FALSE)</f>
        <v>95</v>
      </c>
    </row>
    <row r="618" spans="1:15" x14ac:dyDescent="0.25">
      <c r="A618" s="7">
        <v>2014</v>
      </c>
      <c r="B618" s="8" t="s">
        <v>135</v>
      </c>
      <c r="C618" s="8" t="s">
        <v>136</v>
      </c>
      <c r="D618" s="8" t="s">
        <v>137</v>
      </c>
      <c r="E618" s="9" t="s">
        <v>138</v>
      </c>
      <c r="F618" s="10">
        <v>11122.7</v>
      </c>
      <c r="G618" s="10">
        <v>0</v>
      </c>
      <c r="H618" s="10">
        <v>771</v>
      </c>
      <c r="I618" s="10">
        <v>40</v>
      </c>
      <c r="J618" s="10">
        <v>225</v>
      </c>
      <c r="K618" s="6">
        <f t="shared" si="10"/>
        <v>12158.7</v>
      </c>
      <c r="M618" t="str">
        <f>VLOOKUP(B618,'[2]TABULADOR ok'!$A$2:$I$424,7,FALSE)</f>
        <v>T7</v>
      </c>
      <c r="N618" t="str">
        <f>VLOOKUP(B618,'[2]TABULADOR ok'!$A$2:$I$424,8,FALSE)</f>
        <v>A01037</v>
      </c>
      <c r="O618">
        <f>VLOOKUP(B618,'[2]TABULADOR ok'!$A$2:$I$424,9,FALSE)</f>
        <v>95</v>
      </c>
    </row>
    <row r="619" spans="1:15" x14ac:dyDescent="0.25">
      <c r="A619" s="7">
        <v>2014</v>
      </c>
      <c r="B619" s="8" t="s">
        <v>139</v>
      </c>
      <c r="C619" s="8" t="s">
        <v>140</v>
      </c>
      <c r="D619" s="8" t="s">
        <v>137</v>
      </c>
      <c r="E619" s="9" t="s">
        <v>141</v>
      </c>
      <c r="F619" s="10">
        <v>11122.7</v>
      </c>
      <c r="G619" s="10">
        <v>0</v>
      </c>
      <c r="H619" s="10">
        <v>771</v>
      </c>
      <c r="I619" s="10">
        <v>40</v>
      </c>
      <c r="J619" s="10">
        <v>225</v>
      </c>
      <c r="K619" s="6">
        <f t="shared" si="10"/>
        <v>12158.7</v>
      </c>
      <c r="M619" t="str">
        <f>VLOOKUP(B619,'[2]TABULADOR ok'!$A$2:$I$424,7,FALSE)</f>
        <v>T7</v>
      </c>
      <c r="N619" t="str">
        <f>VLOOKUP(B619,'[2]TABULADOR ok'!$A$2:$I$424,8,FALSE)</f>
        <v>A02815</v>
      </c>
      <c r="O619">
        <f>VLOOKUP(B619,'[2]TABULADOR ok'!$A$2:$I$424,9,FALSE)</f>
        <v>95</v>
      </c>
    </row>
    <row r="620" spans="1:15" x14ac:dyDescent="0.25">
      <c r="A620" s="7">
        <v>2014</v>
      </c>
      <c r="B620" s="8" t="s">
        <v>142</v>
      </c>
      <c r="C620" s="8" t="s">
        <v>143</v>
      </c>
      <c r="D620" s="8" t="s">
        <v>137</v>
      </c>
      <c r="E620" s="9" t="s">
        <v>144</v>
      </c>
      <c r="F620" s="10">
        <v>11122.7</v>
      </c>
      <c r="G620" s="10">
        <v>0</v>
      </c>
      <c r="H620" s="10">
        <v>771</v>
      </c>
      <c r="I620" s="10">
        <v>40</v>
      </c>
      <c r="J620" s="10">
        <v>225</v>
      </c>
      <c r="K620" s="6">
        <f t="shared" si="10"/>
        <v>12158.7</v>
      </c>
      <c r="M620" t="str">
        <f>VLOOKUP(B620,'[2]TABULADOR ok'!$A$2:$I$424,7,FALSE)</f>
        <v>T7</v>
      </c>
      <c r="N620" t="str">
        <f>VLOOKUP(B620,'[2]TABULADOR ok'!$A$2:$I$424,8,FALSE)</f>
        <v>C01817</v>
      </c>
      <c r="O620">
        <f>VLOOKUP(B620,'[2]TABULADOR ok'!$A$2:$I$424,9,FALSE)</f>
        <v>95</v>
      </c>
    </row>
    <row r="621" spans="1:15" x14ac:dyDescent="0.25">
      <c r="A621" s="7">
        <v>2014</v>
      </c>
      <c r="B621" s="8" t="s">
        <v>145</v>
      </c>
      <c r="C621" s="8" t="s">
        <v>146</v>
      </c>
      <c r="D621" s="8" t="s">
        <v>137</v>
      </c>
      <c r="E621" s="9" t="s">
        <v>147</v>
      </c>
      <c r="F621" s="10">
        <v>11122.7</v>
      </c>
      <c r="G621" s="10">
        <v>0</v>
      </c>
      <c r="H621" s="10">
        <v>771</v>
      </c>
      <c r="I621" s="10">
        <v>40</v>
      </c>
      <c r="J621" s="10">
        <v>225</v>
      </c>
      <c r="K621" s="6">
        <f t="shared" si="10"/>
        <v>12158.7</v>
      </c>
      <c r="M621" t="str">
        <f>VLOOKUP(B621,'[2]TABULADOR ok'!$A$2:$I$424,7,FALSE)</f>
        <v>T7</v>
      </c>
      <c r="N621" t="str">
        <f>VLOOKUP(B621,'[2]TABULADOR ok'!$A$2:$I$424,8,FALSE)</f>
        <v>P07026</v>
      </c>
      <c r="O621">
        <f>VLOOKUP(B621,'[2]TABULADOR ok'!$A$2:$I$424,9,FALSE)</f>
        <v>95</v>
      </c>
    </row>
    <row r="622" spans="1:15" x14ac:dyDescent="0.25">
      <c r="A622" s="7">
        <v>2014</v>
      </c>
      <c r="B622" s="8" t="s">
        <v>148</v>
      </c>
      <c r="C622" s="8" t="s">
        <v>149</v>
      </c>
      <c r="D622" s="8" t="s">
        <v>137</v>
      </c>
      <c r="E622" s="9" t="s">
        <v>150</v>
      </c>
      <c r="F622" s="10">
        <v>11122.7</v>
      </c>
      <c r="G622" s="10">
        <v>0</v>
      </c>
      <c r="H622" s="10">
        <v>771</v>
      </c>
      <c r="I622" s="10">
        <v>40</v>
      </c>
      <c r="J622" s="10">
        <v>225</v>
      </c>
      <c r="K622" s="6">
        <f t="shared" si="10"/>
        <v>12158.7</v>
      </c>
      <c r="M622" t="str">
        <f>VLOOKUP(B622,'[2]TABULADOR ok'!$A$2:$I$424,7,FALSE)</f>
        <v>T7</v>
      </c>
      <c r="N622" t="str">
        <f>VLOOKUP(B622,'[2]TABULADOR ok'!$A$2:$I$424,8,FALSE)</f>
        <v>T05822</v>
      </c>
      <c r="O622">
        <f>VLOOKUP(B622,'[2]TABULADOR ok'!$A$2:$I$424,9,FALSE)</f>
        <v>95</v>
      </c>
    </row>
    <row r="623" spans="1:15" x14ac:dyDescent="0.25">
      <c r="A623" s="7">
        <v>2014</v>
      </c>
      <c r="B623" s="8" t="s">
        <v>151</v>
      </c>
      <c r="C623" s="8" t="s">
        <v>152</v>
      </c>
      <c r="D623" s="8" t="s">
        <v>137</v>
      </c>
      <c r="E623" s="9" t="s">
        <v>153</v>
      </c>
      <c r="F623" s="10">
        <v>11122.7</v>
      </c>
      <c r="G623" s="10">
        <v>0</v>
      </c>
      <c r="H623" s="10">
        <v>771</v>
      </c>
      <c r="I623" s="10">
        <v>40</v>
      </c>
      <c r="J623" s="10">
        <v>225</v>
      </c>
      <c r="K623" s="6">
        <f t="shared" si="10"/>
        <v>12158.7</v>
      </c>
      <c r="M623" t="str">
        <f>VLOOKUP(B623,'[2]TABULADOR ok'!$A$2:$I$424,7,FALSE)</f>
        <v>T7</v>
      </c>
      <c r="N623" t="str">
        <f>VLOOKUP(B623,'[2]TABULADOR ok'!$A$2:$I$424,8,FALSE)</f>
        <v>T09001</v>
      </c>
      <c r="O623">
        <f>VLOOKUP(B623,'[2]TABULADOR ok'!$A$2:$I$424,9,FALSE)</f>
        <v>95</v>
      </c>
    </row>
    <row r="624" spans="1:15" x14ac:dyDescent="0.25">
      <c r="A624" s="7">
        <v>2014</v>
      </c>
      <c r="B624" s="8" t="s">
        <v>154</v>
      </c>
      <c r="C624" s="8" t="s">
        <v>155</v>
      </c>
      <c r="D624" s="8" t="s">
        <v>137</v>
      </c>
      <c r="E624" s="9" t="s">
        <v>156</v>
      </c>
      <c r="F624" s="10">
        <v>11122.7</v>
      </c>
      <c r="G624" s="10">
        <v>0</v>
      </c>
      <c r="H624" s="10">
        <v>771</v>
      </c>
      <c r="I624" s="10">
        <v>40</v>
      </c>
      <c r="J624" s="10">
        <v>225</v>
      </c>
      <c r="K624" s="6">
        <f t="shared" si="10"/>
        <v>12158.7</v>
      </c>
      <c r="M624" t="str">
        <f>VLOOKUP(B624,'[2]TABULADOR ok'!$A$2:$I$424,7,FALSE)</f>
        <v>T7</v>
      </c>
      <c r="N624" t="str">
        <f>VLOOKUP(B624,'[2]TABULADOR ok'!$A$2:$I$424,8,FALSE)</f>
        <v>T13817</v>
      </c>
      <c r="O624">
        <f>VLOOKUP(B624,'[2]TABULADOR ok'!$A$2:$I$424,9,FALSE)</f>
        <v>95</v>
      </c>
    </row>
    <row r="625" spans="1:15" x14ac:dyDescent="0.25">
      <c r="A625" s="7">
        <v>2014</v>
      </c>
      <c r="B625" s="8" t="s">
        <v>157</v>
      </c>
      <c r="C625" s="8" t="s">
        <v>158</v>
      </c>
      <c r="D625" s="8" t="s">
        <v>137</v>
      </c>
      <c r="E625" s="9" t="s">
        <v>159</v>
      </c>
      <c r="F625" s="10">
        <v>11122.7</v>
      </c>
      <c r="G625" s="10">
        <v>0</v>
      </c>
      <c r="H625" s="10">
        <v>771</v>
      </c>
      <c r="I625" s="10">
        <v>40</v>
      </c>
      <c r="J625" s="10">
        <v>225</v>
      </c>
      <c r="K625" s="6">
        <f t="shared" si="10"/>
        <v>12158.7</v>
      </c>
      <c r="M625" t="str">
        <f>VLOOKUP(B625,'[2]TABULADOR ok'!$A$2:$I$424,7,FALSE)</f>
        <v>T7</v>
      </c>
      <c r="N625" t="str">
        <f>VLOOKUP(B625,'[2]TABULADOR ok'!$A$2:$I$424,8,FALSE)</f>
        <v>T14019</v>
      </c>
      <c r="O625">
        <f>VLOOKUP(B625,'[2]TABULADOR ok'!$A$2:$I$424,9,FALSE)</f>
        <v>95</v>
      </c>
    </row>
    <row r="626" spans="1:15" x14ac:dyDescent="0.25">
      <c r="A626" s="7">
        <v>2014</v>
      </c>
      <c r="B626" s="8" t="s">
        <v>160</v>
      </c>
      <c r="C626" s="8" t="s">
        <v>161</v>
      </c>
      <c r="D626" s="8" t="s">
        <v>137</v>
      </c>
      <c r="E626" s="9" t="s">
        <v>162</v>
      </c>
      <c r="F626" s="10">
        <v>11122.7</v>
      </c>
      <c r="G626" s="10">
        <v>0</v>
      </c>
      <c r="H626" s="10">
        <v>771</v>
      </c>
      <c r="I626" s="10">
        <v>40</v>
      </c>
      <c r="J626" s="10">
        <v>225</v>
      </c>
      <c r="K626" s="6">
        <f t="shared" si="10"/>
        <v>12158.7</v>
      </c>
      <c r="M626" t="str">
        <f>VLOOKUP(B626,'[2]TABULADOR ok'!$A$2:$I$424,7,FALSE)</f>
        <v>T7</v>
      </c>
      <c r="N626" t="str">
        <f>VLOOKUP(B626,'[2]TABULADOR ok'!$A$2:$I$424,8,FALSE)</f>
        <v>T16817</v>
      </c>
      <c r="O626">
        <f>VLOOKUP(B626,'[2]TABULADOR ok'!$A$2:$I$424,9,FALSE)</f>
        <v>95</v>
      </c>
    </row>
    <row r="627" spans="1:15" x14ac:dyDescent="0.25">
      <c r="A627" s="7">
        <v>2014</v>
      </c>
      <c r="B627" s="8" t="s">
        <v>163</v>
      </c>
      <c r="C627" s="8" t="s">
        <v>164</v>
      </c>
      <c r="D627" s="8" t="s">
        <v>165</v>
      </c>
      <c r="E627" s="9" t="s">
        <v>166</v>
      </c>
      <c r="F627" s="10">
        <v>12289.85</v>
      </c>
      <c r="G627" s="10">
        <v>0</v>
      </c>
      <c r="H627" s="10">
        <v>771</v>
      </c>
      <c r="I627" s="10">
        <v>40</v>
      </c>
      <c r="J627" s="10">
        <v>225</v>
      </c>
      <c r="K627" s="6">
        <f t="shared" si="10"/>
        <v>13325.85</v>
      </c>
      <c r="M627" t="str">
        <f>VLOOKUP(B627,'[2]TABULADOR ok'!$A$2:$I$424,7,FALSE)</f>
        <v>T8</v>
      </c>
      <c r="N627" t="str">
        <f>VLOOKUP(B627,'[2]TABULADOR ok'!$A$2:$I$424,8,FALSE)</f>
        <v>A01036</v>
      </c>
      <c r="O627">
        <f>VLOOKUP(B627,'[2]TABULADOR ok'!$A$2:$I$424,9,FALSE)</f>
        <v>95</v>
      </c>
    </row>
    <row r="628" spans="1:15" x14ac:dyDescent="0.25">
      <c r="A628" s="7">
        <v>2014</v>
      </c>
      <c r="B628" s="8" t="s">
        <v>167</v>
      </c>
      <c r="C628" s="8" t="s">
        <v>168</v>
      </c>
      <c r="D628" s="8" t="s">
        <v>165</v>
      </c>
      <c r="E628" s="9" t="s">
        <v>169</v>
      </c>
      <c r="F628" s="10">
        <v>12289.85</v>
      </c>
      <c r="G628" s="10">
        <v>0</v>
      </c>
      <c r="H628" s="10">
        <v>771</v>
      </c>
      <c r="I628" s="10">
        <v>40</v>
      </c>
      <c r="J628" s="10">
        <v>225</v>
      </c>
      <c r="K628" s="6">
        <f t="shared" si="10"/>
        <v>13325.85</v>
      </c>
      <c r="M628" t="str">
        <f>VLOOKUP(B628,'[2]TABULADOR ok'!$A$2:$I$424,7,FALSE)</f>
        <v>T8</v>
      </c>
      <c r="N628" t="str">
        <f>VLOOKUP(B628,'[2]TABULADOR ok'!$A$2:$I$424,8,FALSE)</f>
        <v>A06009</v>
      </c>
      <c r="O628">
        <f>VLOOKUP(B628,'[2]TABULADOR ok'!$A$2:$I$424,9,FALSE)</f>
        <v>95</v>
      </c>
    </row>
    <row r="629" spans="1:15" x14ac:dyDescent="0.25">
      <c r="A629" s="7">
        <v>2014</v>
      </c>
      <c r="B629" s="8" t="s">
        <v>170</v>
      </c>
      <c r="C629" s="8" t="s">
        <v>171</v>
      </c>
      <c r="D629" s="8" t="s">
        <v>165</v>
      </c>
      <c r="E629" s="9" t="s">
        <v>172</v>
      </c>
      <c r="F629" s="10">
        <v>12289.85</v>
      </c>
      <c r="G629" s="10">
        <v>0</v>
      </c>
      <c r="H629" s="10">
        <v>771</v>
      </c>
      <c r="I629" s="10">
        <v>40</v>
      </c>
      <c r="J629" s="10">
        <v>225</v>
      </c>
      <c r="K629" s="6">
        <f t="shared" si="10"/>
        <v>13325.85</v>
      </c>
      <c r="M629" t="str">
        <f>VLOOKUP(B629,'[2]TABULADOR ok'!$A$2:$I$424,7,FALSE)</f>
        <v>T8</v>
      </c>
      <c r="N629" t="str">
        <f>VLOOKUP(B629,'[2]TABULADOR ok'!$A$2:$I$424,8,FALSE)</f>
        <v>C01818</v>
      </c>
      <c r="O629">
        <f>VLOOKUP(B629,'[2]TABULADOR ok'!$A$2:$I$424,9,FALSE)</f>
        <v>95</v>
      </c>
    </row>
    <row r="630" spans="1:15" x14ac:dyDescent="0.25">
      <c r="A630" s="7">
        <v>2014</v>
      </c>
      <c r="B630" s="8" t="s">
        <v>173</v>
      </c>
      <c r="C630" s="8" t="s">
        <v>174</v>
      </c>
      <c r="D630" s="8" t="s">
        <v>165</v>
      </c>
      <c r="E630" s="9" t="s">
        <v>175</v>
      </c>
      <c r="F630" s="10">
        <v>12289.85</v>
      </c>
      <c r="G630" s="10">
        <v>0</v>
      </c>
      <c r="H630" s="10">
        <v>771</v>
      </c>
      <c r="I630" s="10">
        <v>40</v>
      </c>
      <c r="J630" s="10">
        <v>225</v>
      </c>
      <c r="K630" s="6">
        <f t="shared" si="10"/>
        <v>13325.85</v>
      </c>
      <c r="M630" t="str">
        <f>VLOOKUP(B630,'[2]TABULADOR ok'!$A$2:$I$424,7,FALSE)</f>
        <v>T8</v>
      </c>
      <c r="N630" t="str">
        <f>VLOOKUP(B630,'[2]TABULADOR ok'!$A$2:$I$424,8,FALSE)</f>
        <v>T03854</v>
      </c>
      <c r="O630">
        <f>VLOOKUP(B630,'[2]TABULADOR ok'!$A$2:$I$424,9,FALSE)</f>
        <v>95</v>
      </c>
    </row>
    <row r="631" spans="1:15" x14ac:dyDescent="0.25">
      <c r="A631" s="7">
        <v>2014</v>
      </c>
      <c r="B631" s="8" t="s">
        <v>176</v>
      </c>
      <c r="C631" s="8" t="s">
        <v>177</v>
      </c>
      <c r="D631" s="8" t="s">
        <v>165</v>
      </c>
      <c r="E631" s="9" t="s">
        <v>178</v>
      </c>
      <c r="F631" s="10">
        <v>12289.85</v>
      </c>
      <c r="G631" s="10">
        <v>0</v>
      </c>
      <c r="H631" s="10">
        <v>771</v>
      </c>
      <c r="I631" s="10">
        <v>40</v>
      </c>
      <c r="J631" s="10">
        <v>225</v>
      </c>
      <c r="K631" s="6">
        <f t="shared" si="10"/>
        <v>13325.85</v>
      </c>
      <c r="M631" t="str">
        <f>VLOOKUP(B631,'[2]TABULADOR ok'!$A$2:$I$424,7,FALSE)</f>
        <v>T8</v>
      </c>
      <c r="N631" t="str">
        <f>VLOOKUP(B631,'[2]TABULADOR ok'!$A$2:$I$424,8,FALSE)</f>
        <v>T04875</v>
      </c>
      <c r="O631">
        <f>VLOOKUP(B631,'[2]TABULADOR ok'!$A$2:$I$424,9,FALSE)</f>
        <v>95</v>
      </c>
    </row>
    <row r="632" spans="1:15" x14ac:dyDescent="0.25">
      <c r="A632" s="7">
        <v>2014</v>
      </c>
      <c r="B632" s="8" t="s">
        <v>179</v>
      </c>
      <c r="C632" s="8" t="s">
        <v>180</v>
      </c>
      <c r="D632" s="8" t="s">
        <v>165</v>
      </c>
      <c r="E632" s="9" t="s">
        <v>181</v>
      </c>
      <c r="F632" s="10">
        <v>12289.85</v>
      </c>
      <c r="G632" s="10">
        <v>0</v>
      </c>
      <c r="H632" s="10">
        <v>771</v>
      </c>
      <c r="I632" s="10">
        <v>40</v>
      </c>
      <c r="J632" s="10">
        <v>225</v>
      </c>
      <c r="K632" s="6">
        <f t="shared" si="10"/>
        <v>13325.85</v>
      </c>
      <c r="M632" t="str">
        <f>VLOOKUP(B632,'[2]TABULADOR ok'!$A$2:$I$424,7,FALSE)</f>
        <v>T8</v>
      </c>
      <c r="N632" t="str">
        <f>VLOOKUP(B632,'[2]TABULADOR ok'!$A$2:$I$424,8,FALSE)</f>
        <v>T08812</v>
      </c>
      <c r="O632">
        <f>VLOOKUP(B632,'[2]TABULADOR ok'!$A$2:$I$424,9,FALSE)</f>
        <v>95</v>
      </c>
    </row>
    <row r="633" spans="1:15" x14ac:dyDescent="0.25">
      <c r="A633" s="7">
        <v>2014</v>
      </c>
      <c r="B633" s="8" t="s">
        <v>182</v>
      </c>
      <c r="C633" s="8" t="s">
        <v>183</v>
      </c>
      <c r="D633" s="8" t="s">
        <v>184</v>
      </c>
      <c r="E633" s="9" t="s">
        <v>185</v>
      </c>
      <c r="F633" s="10">
        <v>13742.75</v>
      </c>
      <c r="G633" s="10">
        <v>0</v>
      </c>
      <c r="H633" s="10">
        <v>771</v>
      </c>
      <c r="I633" s="10">
        <v>40</v>
      </c>
      <c r="J633" s="10">
        <v>225</v>
      </c>
      <c r="K633" s="6">
        <f t="shared" si="10"/>
        <v>14778.75</v>
      </c>
      <c r="M633" t="str">
        <f>VLOOKUP(B633,'[2]TABULADOR ok'!$A$2:$I$424,7,FALSE)</f>
        <v>T9</v>
      </c>
      <c r="N633" t="str">
        <f>VLOOKUP(B633,'[2]TABULADOR ok'!$A$2:$I$424,8,FALSE)</f>
        <v>P02809</v>
      </c>
      <c r="O633">
        <f>VLOOKUP(B633,'[2]TABULADOR ok'!$A$2:$I$424,9,FALSE)</f>
        <v>95</v>
      </c>
    </row>
    <row r="634" spans="1:15" x14ac:dyDescent="0.25">
      <c r="A634" s="7">
        <v>2014</v>
      </c>
      <c r="B634" s="8" t="s">
        <v>186</v>
      </c>
      <c r="C634" s="8" t="s">
        <v>187</v>
      </c>
      <c r="D634" s="8" t="s">
        <v>184</v>
      </c>
      <c r="E634" s="9" t="s">
        <v>188</v>
      </c>
      <c r="F634" s="10">
        <v>13742.75</v>
      </c>
      <c r="G634" s="10">
        <v>0</v>
      </c>
      <c r="H634" s="10">
        <v>771</v>
      </c>
      <c r="I634" s="10">
        <v>40</v>
      </c>
      <c r="J634" s="10">
        <v>225</v>
      </c>
      <c r="K634" s="6">
        <f t="shared" si="10"/>
        <v>14778.75</v>
      </c>
      <c r="M634" t="str">
        <f>VLOOKUP(B634,'[2]TABULADOR ok'!$A$2:$I$424,7,FALSE)</f>
        <v>T9</v>
      </c>
      <c r="N634" t="str">
        <f>VLOOKUP(B634,'[2]TABULADOR ok'!$A$2:$I$424,8,FALSE)</f>
        <v>P04806</v>
      </c>
      <c r="O634">
        <f>VLOOKUP(B634,'[2]TABULADOR ok'!$A$2:$I$424,9,FALSE)</f>
        <v>95</v>
      </c>
    </row>
    <row r="635" spans="1:15" x14ac:dyDescent="0.25">
      <c r="A635" s="7">
        <v>2014</v>
      </c>
      <c r="B635" s="8" t="s">
        <v>189</v>
      </c>
      <c r="C635" s="8" t="s">
        <v>190</v>
      </c>
      <c r="D635" s="8" t="s">
        <v>184</v>
      </c>
      <c r="E635" s="9" t="s">
        <v>191</v>
      </c>
      <c r="F635" s="10">
        <v>13742.75</v>
      </c>
      <c r="G635" s="10">
        <v>0</v>
      </c>
      <c r="H635" s="10">
        <v>771</v>
      </c>
      <c r="I635" s="10">
        <v>40</v>
      </c>
      <c r="J635" s="10">
        <v>225</v>
      </c>
      <c r="K635" s="6">
        <f t="shared" si="10"/>
        <v>14778.75</v>
      </c>
      <c r="M635" t="str">
        <f>VLOOKUP(B635,'[2]TABULADOR ok'!$A$2:$I$424,7,FALSE)</f>
        <v>T9</v>
      </c>
      <c r="N635" t="str">
        <f>VLOOKUP(B635,'[2]TABULADOR ok'!$A$2:$I$424,8,FALSE)</f>
        <v>P05808</v>
      </c>
      <c r="O635">
        <f>VLOOKUP(B635,'[2]TABULADOR ok'!$A$2:$I$424,9,FALSE)</f>
        <v>95</v>
      </c>
    </row>
    <row r="636" spans="1:15" x14ac:dyDescent="0.25">
      <c r="A636" s="7">
        <v>2014</v>
      </c>
      <c r="B636" s="8" t="s">
        <v>192</v>
      </c>
      <c r="C636" s="8" t="s">
        <v>193</v>
      </c>
      <c r="D636" s="8" t="s">
        <v>184</v>
      </c>
      <c r="E636" s="9" t="s">
        <v>194</v>
      </c>
      <c r="F636" s="10">
        <v>13742.75</v>
      </c>
      <c r="G636" s="10">
        <v>0</v>
      </c>
      <c r="H636" s="10">
        <v>771</v>
      </c>
      <c r="I636" s="10">
        <v>40</v>
      </c>
      <c r="J636" s="10">
        <v>225</v>
      </c>
      <c r="K636" s="6">
        <f t="shared" si="10"/>
        <v>14778.75</v>
      </c>
      <c r="M636" t="str">
        <f>VLOOKUP(B636,'[2]TABULADOR ok'!$A$2:$I$424,7,FALSE)</f>
        <v>T9</v>
      </c>
      <c r="N636" t="str">
        <f>VLOOKUP(B636,'[2]TABULADOR ok'!$A$2:$I$424,8,FALSE)</f>
        <v>T03850</v>
      </c>
      <c r="O636">
        <f>VLOOKUP(B636,'[2]TABULADOR ok'!$A$2:$I$424,9,FALSE)</f>
        <v>95</v>
      </c>
    </row>
    <row r="637" spans="1:15" x14ac:dyDescent="0.25">
      <c r="A637" s="7">
        <v>2014</v>
      </c>
      <c r="B637" s="8" t="s">
        <v>195</v>
      </c>
      <c r="C637" s="8" t="s">
        <v>196</v>
      </c>
      <c r="D637" s="8" t="s">
        <v>184</v>
      </c>
      <c r="E637" s="9" t="s">
        <v>197</v>
      </c>
      <c r="F637" s="10">
        <v>13742.75</v>
      </c>
      <c r="G637" s="10">
        <v>0</v>
      </c>
      <c r="H637" s="10">
        <v>771</v>
      </c>
      <c r="I637" s="10">
        <v>40</v>
      </c>
      <c r="J637" s="10">
        <v>225</v>
      </c>
      <c r="K637" s="6">
        <f t="shared" si="10"/>
        <v>14778.75</v>
      </c>
      <c r="M637" t="str">
        <f>VLOOKUP(B637,'[2]TABULADOR ok'!$A$2:$I$424,7,FALSE)</f>
        <v>T9</v>
      </c>
      <c r="N637" t="str">
        <f>VLOOKUP(B637,'[2]TABULADOR ok'!$A$2:$I$424,8,FALSE)</f>
        <v>T03851</v>
      </c>
      <c r="O637">
        <f>VLOOKUP(B637,'[2]TABULADOR ok'!$A$2:$I$424,9,FALSE)</f>
        <v>95</v>
      </c>
    </row>
    <row r="638" spans="1:15" x14ac:dyDescent="0.25">
      <c r="A638" s="7">
        <v>2014</v>
      </c>
      <c r="B638" s="8" t="s">
        <v>198</v>
      </c>
      <c r="C638" s="8" t="s">
        <v>199</v>
      </c>
      <c r="D638" s="8" t="s">
        <v>184</v>
      </c>
      <c r="E638" s="9" t="s">
        <v>200</v>
      </c>
      <c r="F638" s="10">
        <v>13742.75</v>
      </c>
      <c r="G638" s="10">
        <v>0</v>
      </c>
      <c r="H638" s="10">
        <v>771</v>
      </c>
      <c r="I638" s="10">
        <v>40</v>
      </c>
      <c r="J638" s="10">
        <v>225</v>
      </c>
      <c r="K638" s="6">
        <f t="shared" si="10"/>
        <v>14778.75</v>
      </c>
      <c r="M638" t="str">
        <f>VLOOKUP(B638,'[2]TABULADOR ok'!$A$2:$I$424,7,FALSE)</f>
        <v>T9</v>
      </c>
      <c r="N638" t="str">
        <f>VLOOKUP(B638,'[2]TABULADOR ok'!$A$2:$I$424,8,FALSE)</f>
        <v>T03855</v>
      </c>
      <c r="O638">
        <f>VLOOKUP(B638,'[2]TABULADOR ok'!$A$2:$I$424,9,FALSE)</f>
        <v>95</v>
      </c>
    </row>
    <row r="639" spans="1:15" x14ac:dyDescent="0.25">
      <c r="A639" s="7">
        <v>2014</v>
      </c>
      <c r="B639" s="8" t="s">
        <v>201</v>
      </c>
      <c r="C639" s="8" t="s">
        <v>202</v>
      </c>
      <c r="D639" s="8" t="s">
        <v>184</v>
      </c>
      <c r="E639" s="9" t="s">
        <v>203</v>
      </c>
      <c r="F639" s="10">
        <v>13742.75</v>
      </c>
      <c r="G639" s="10">
        <v>0</v>
      </c>
      <c r="H639" s="10">
        <v>771</v>
      </c>
      <c r="I639" s="10">
        <v>40</v>
      </c>
      <c r="J639" s="10">
        <v>225</v>
      </c>
      <c r="K639" s="6">
        <f t="shared" si="10"/>
        <v>14778.75</v>
      </c>
      <c r="M639" t="str">
        <f>VLOOKUP(B639,'[2]TABULADOR ok'!$A$2:$I$424,7,FALSE)</f>
        <v>T9</v>
      </c>
      <c r="N639" t="str">
        <f>VLOOKUP(B639,'[2]TABULADOR ok'!$A$2:$I$424,8,FALSE)</f>
        <v>T04873</v>
      </c>
      <c r="O639">
        <f>VLOOKUP(B639,'[2]TABULADOR ok'!$A$2:$I$424,9,FALSE)</f>
        <v>95</v>
      </c>
    </row>
    <row r="640" spans="1:15" x14ac:dyDescent="0.25">
      <c r="A640" s="7">
        <v>2014</v>
      </c>
      <c r="B640" s="8" t="s">
        <v>204</v>
      </c>
      <c r="C640" s="8" t="s">
        <v>205</v>
      </c>
      <c r="D640" s="8" t="s">
        <v>184</v>
      </c>
      <c r="E640" s="9" t="s">
        <v>206</v>
      </c>
      <c r="F640" s="10">
        <v>13742.75</v>
      </c>
      <c r="G640" s="10">
        <v>0</v>
      </c>
      <c r="H640" s="10">
        <v>771</v>
      </c>
      <c r="I640" s="10">
        <v>40</v>
      </c>
      <c r="J640" s="10">
        <v>225</v>
      </c>
      <c r="K640" s="6">
        <f t="shared" si="10"/>
        <v>14778.75</v>
      </c>
      <c r="M640" t="str">
        <f>VLOOKUP(B640,'[2]TABULADOR ok'!$A$2:$I$424,7,FALSE)</f>
        <v>T9</v>
      </c>
      <c r="N640" t="str">
        <f>VLOOKUP(B640,'[2]TABULADOR ok'!$A$2:$I$424,8,FALSE)</f>
        <v>T14007</v>
      </c>
      <c r="O640">
        <f>VLOOKUP(B640,'[2]TABULADOR ok'!$A$2:$I$424,9,FALSE)</f>
        <v>95</v>
      </c>
    </row>
    <row r="641" spans="1:15" x14ac:dyDescent="0.25">
      <c r="A641" s="7">
        <v>2014</v>
      </c>
      <c r="B641" s="8" t="s">
        <v>207</v>
      </c>
      <c r="C641" s="8" t="s">
        <v>208</v>
      </c>
      <c r="D641" s="8" t="s">
        <v>184</v>
      </c>
      <c r="E641" s="9" t="s">
        <v>209</v>
      </c>
      <c r="F641" s="10">
        <v>13742.75</v>
      </c>
      <c r="G641" s="10">
        <v>0</v>
      </c>
      <c r="H641" s="10">
        <v>771</v>
      </c>
      <c r="I641" s="10">
        <v>40</v>
      </c>
      <c r="J641" s="10">
        <v>225</v>
      </c>
      <c r="K641" s="6">
        <f t="shared" si="10"/>
        <v>14778.75</v>
      </c>
      <c r="M641" t="str">
        <f>VLOOKUP(B641,'[2]TABULADOR ok'!$A$2:$I$424,7,FALSE)</f>
        <v>T9</v>
      </c>
      <c r="N641" t="str">
        <f>VLOOKUP(B641,'[2]TABULADOR ok'!$A$2:$I$424,8,FALSE)</f>
        <v>T26806</v>
      </c>
      <c r="O641">
        <f>VLOOKUP(B641,'[2]TABULADOR ok'!$A$2:$I$424,9,FALSE)</f>
        <v>95</v>
      </c>
    </row>
    <row r="642" spans="1:15" x14ac:dyDescent="0.25">
      <c r="A642" s="4">
        <v>2013</v>
      </c>
      <c r="B642" s="11" t="s">
        <v>10</v>
      </c>
      <c r="C642" s="11" t="s">
        <v>11</v>
      </c>
      <c r="D642" s="11" t="s">
        <v>12</v>
      </c>
      <c r="E642" s="12" t="s">
        <v>13</v>
      </c>
      <c r="F642" s="5">
        <v>6572.35</v>
      </c>
      <c r="G642" s="5">
        <v>0</v>
      </c>
      <c r="H642" s="5">
        <v>771</v>
      </c>
      <c r="I642" s="5">
        <v>40</v>
      </c>
      <c r="J642" s="5">
        <v>225</v>
      </c>
      <c r="K642" s="6">
        <f>SUM(F642:J642)</f>
        <v>7608.35</v>
      </c>
      <c r="M642" t="str">
        <f>VLOOKUP(B642,'[2]TABULADOR ok'!$A$2:$I$424,7,FALSE)</f>
        <v>T1</v>
      </c>
      <c r="N642" t="str">
        <f>VLOOKUP(B642,'[2]TABULADOR ok'!$A$2:$I$424,8,FALSE)</f>
        <v>S01893</v>
      </c>
      <c r="O642">
        <f>VLOOKUP(B642,'[2]TABULADOR ok'!$A$2:$I$424,9,FALSE)</f>
        <v>95</v>
      </c>
    </row>
    <row r="643" spans="1:15" x14ac:dyDescent="0.25">
      <c r="A643" s="4">
        <v>2013</v>
      </c>
      <c r="B643" s="11" t="s">
        <v>14</v>
      </c>
      <c r="C643" s="11" t="s">
        <v>15</v>
      </c>
      <c r="D643" s="11" t="s">
        <v>16</v>
      </c>
      <c r="E643" s="12" t="s">
        <v>17</v>
      </c>
      <c r="F643" s="5">
        <v>6893</v>
      </c>
      <c r="G643" s="5">
        <v>0</v>
      </c>
      <c r="H643" s="5">
        <v>771</v>
      </c>
      <c r="I643" s="5">
        <v>40</v>
      </c>
      <c r="J643" s="5">
        <v>225</v>
      </c>
      <c r="K643" s="6">
        <f t="shared" ref="K643:K701" si="11">SUM(F643:J643)</f>
        <v>7929</v>
      </c>
      <c r="M643" t="str">
        <f>VLOOKUP(B643,'[2]TABULADOR ok'!$A$2:$I$424,7,FALSE)</f>
        <v>T2</v>
      </c>
      <c r="N643" t="str">
        <f>VLOOKUP(B643,'[2]TABULADOR ok'!$A$2:$I$424,8,FALSE)</f>
        <v>S01891</v>
      </c>
      <c r="O643">
        <f>VLOOKUP(B643,'[2]TABULADOR ok'!$A$2:$I$424,9,FALSE)</f>
        <v>95</v>
      </c>
    </row>
    <row r="644" spans="1:15" x14ac:dyDescent="0.25">
      <c r="A644" s="4">
        <v>2013</v>
      </c>
      <c r="B644" s="11" t="s">
        <v>18</v>
      </c>
      <c r="C644" s="11" t="s">
        <v>19</v>
      </c>
      <c r="D644" s="11" t="s">
        <v>16</v>
      </c>
      <c r="E644" s="12" t="s">
        <v>20</v>
      </c>
      <c r="F644" s="5">
        <v>6893</v>
      </c>
      <c r="G644" s="5">
        <v>0</v>
      </c>
      <c r="H644" s="5">
        <v>771</v>
      </c>
      <c r="I644" s="5">
        <v>40</v>
      </c>
      <c r="J644" s="5">
        <v>225</v>
      </c>
      <c r="K644" s="6">
        <f t="shared" si="11"/>
        <v>7929</v>
      </c>
      <c r="M644" t="str">
        <f>VLOOKUP(B644,'[2]TABULADOR ok'!$A$2:$I$424,7,FALSE)</f>
        <v>T2</v>
      </c>
      <c r="N644" t="str">
        <f>VLOOKUP(B644,'[2]TABULADOR ok'!$A$2:$I$424,8,FALSE)</f>
        <v>S03833</v>
      </c>
      <c r="O644">
        <f>VLOOKUP(B644,'[2]TABULADOR ok'!$A$2:$I$424,9,FALSE)</f>
        <v>95</v>
      </c>
    </row>
    <row r="645" spans="1:15" x14ac:dyDescent="0.25">
      <c r="A645" s="4">
        <v>2013</v>
      </c>
      <c r="B645" s="11" t="s">
        <v>21</v>
      </c>
      <c r="C645" s="11" t="s">
        <v>22</v>
      </c>
      <c r="D645" s="11" t="s">
        <v>16</v>
      </c>
      <c r="E645" s="12" t="s">
        <v>23</v>
      </c>
      <c r="F645" s="5">
        <v>6893</v>
      </c>
      <c r="G645" s="5">
        <v>0</v>
      </c>
      <c r="H645" s="5">
        <v>771</v>
      </c>
      <c r="I645" s="5">
        <v>40</v>
      </c>
      <c r="J645" s="5">
        <v>225</v>
      </c>
      <c r="K645" s="6">
        <f t="shared" si="11"/>
        <v>7929</v>
      </c>
      <c r="M645" t="str">
        <f>VLOOKUP(B645,'[2]TABULADOR ok'!$A$2:$I$424,7,FALSE)</f>
        <v>T2</v>
      </c>
      <c r="N645" t="str">
        <f>VLOOKUP(B645,'[2]TABULADOR ok'!$A$2:$I$424,8,FALSE)</f>
        <v>S12091</v>
      </c>
      <c r="O645">
        <f>VLOOKUP(B645,'[2]TABULADOR ok'!$A$2:$I$424,9,FALSE)</f>
        <v>95</v>
      </c>
    </row>
    <row r="646" spans="1:15" x14ac:dyDescent="0.25">
      <c r="A646" s="4">
        <v>2013</v>
      </c>
      <c r="B646" s="11" t="s">
        <v>24</v>
      </c>
      <c r="C646" s="11" t="s">
        <v>24</v>
      </c>
      <c r="D646" s="11" t="s">
        <v>25</v>
      </c>
      <c r="E646" s="12" t="s">
        <v>26</v>
      </c>
      <c r="F646" s="5">
        <v>7213.55</v>
      </c>
      <c r="G646" s="5">
        <v>0</v>
      </c>
      <c r="H646" s="5">
        <v>771</v>
      </c>
      <c r="I646" s="5">
        <v>40</v>
      </c>
      <c r="J646" s="5">
        <v>225</v>
      </c>
      <c r="K646" s="6">
        <f t="shared" si="11"/>
        <v>8249.5499999999993</v>
      </c>
      <c r="M646" t="str">
        <f>VLOOKUP(B646,'[2]TABULADOR ok'!$A$2:$I$424,7,FALSE)</f>
        <v>T3</v>
      </c>
      <c r="N646" t="str">
        <f>VLOOKUP(B646,'[2]TABULADOR ok'!$A$2:$I$424,8,FALSE)</f>
        <v>A01023</v>
      </c>
      <c r="O646">
        <f>VLOOKUP(B646,'[2]TABULADOR ok'!$A$2:$I$424,9,FALSE)</f>
        <v>95</v>
      </c>
    </row>
    <row r="647" spans="1:15" x14ac:dyDescent="0.25">
      <c r="A647" s="4">
        <v>2013</v>
      </c>
      <c r="B647" s="11" t="s">
        <v>27</v>
      </c>
      <c r="C647" s="11" t="s">
        <v>28</v>
      </c>
      <c r="D647" s="11" t="s">
        <v>25</v>
      </c>
      <c r="E647" s="12" t="s">
        <v>29</v>
      </c>
      <c r="F647" s="5">
        <v>7213.55</v>
      </c>
      <c r="G647" s="5">
        <v>0</v>
      </c>
      <c r="H647" s="5">
        <v>771</v>
      </c>
      <c r="I647" s="5">
        <v>40</v>
      </c>
      <c r="J647" s="5">
        <v>225</v>
      </c>
      <c r="K647" s="6">
        <f t="shared" si="11"/>
        <v>8249.5499999999993</v>
      </c>
      <c r="M647" t="str">
        <f>VLOOKUP(B647,'[2]TABULADOR ok'!$A$2:$I$424,7,FALSE)</f>
        <v>T3</v>
      </c>
      <c r="N647" t="str">
        <f>VLOOKUP(B647,'[2]TABULADOR ok'!$A$2:$I$424,8,FALSE)</f>
        <v>A01040</v>
      </c>
      <c r="O647">
        <f>VLOOKUP(B647,'[2]TABULADOR ok'!$A$2:$I$424,9,FALSE)</f>
        <v>95</v>
      </c>
    </row>
    <row r="648" spans="1:15" x14ac:dyDescent="0.25">
      <c r="A648" s="4">
        <v>2013</v>
      </c>
      <c r="B648" s="11" t="s">
        <v>30</v>
      </c>
      <c r="C648" s="11" t="s">
        <v>31</v>
      </c>
      <c r="D648" s="11" t="s">
        <v>25</v>
      </c>
      <c r="E648" s="12" t="s">
        <v>32</v>
      </c>
      <c r="F648" s="5">
        <v>7213.55</v>
      </c>
      <c r="G648" s="5">
        <v>0</v>
      </c>
      <c r="H648" s="5">
        <v>771</v>
      </c>
      <c r="I648" s="5">
        <v>40</v>
      </c>
      <c r="J648" s="5">
        <v>225</v>
      </c>
      <c r="K648" s="6">
        <f t="shared" si="11"/>
        <v>8249.5499999999993</v>
      </c>
      <c r="M648" t="str">
        <f>VLOOKUP(B648,'[2]TABULADOR ok'!$A$2:$I$424,7,FALSE)</f>
        <v>T3</v>
      </c>
      <c r="N648" t="str">
        <f>VLOOKUP(B648,'[2]TABULADOR ok'!$A$2:$I$424,8,FALSE)</f>
        <v>A02813</v>
      </c>
      <c r="O648">
        <f>VLOOKUP(B648,'[2]TABULADOR ok'!$A$2:$I$424,9,FALSE)</f>
        <v>95</v>
      </c>
    </row>
    <row r="649" spans="1:15" x14ac:dyDescent="0.25">
      <c r="A649" s="4">
        <v>2013</v>
      </c>
      <c r="B649" s="11" t="s">
        <v>33</v>
      </c>
      <c r="C649" s="11" t="s">
        <v>34</v>
      </c>
      <c r="D649" s="11" t="s">
        <v>25</v>
      </c>
      <c r="E649" s="12" t="s">
        <v>35</v>
      </c>
      <c r="F649" s="5">
        <v>7213.55</v>
      </c>
      <c r="G649" s="5">
        <v>0</v>
      </c>
      <c r="H649" s="5">
        <v>771</v>
      </c>
      <c r="I649" s="5">
        <v>40</v>
      </c>
      <c r="J649" s="5">
        <v>225</v>
      </c>
      <c r="K649" s="6">
        <f t="shared" si="11"/>
        <v>8249.5499999999993</v>
      </c>
      <c r="M649" t="str">
        <f>VLOOKUP(B649,'[2]TABULADOR ok'!$A$2:$I$424,7,FALSE)</f>
        <v>T3</v>
      </c>
      <c r="N649" t="str">
        <f>VLOOKUP(B649,'[2]TABULADOR ok'!$A$2:$I$424,8,FALSE)</f>
        <v>A03832</v>
      </c>
      <c r="O649">
        <f>VLOOKUP(B649,'[2]TABULADOR ok'!$A$2:$I$424,9,FALSE)</f>
        <v>95</v>
      </c>
    </row>
    <row r="650" spans="1:15" x14ac:dyDescent="0.25">
      <c r="A650" s="4">
        <v>2013</v>
      </c>
      <c r="B650" s="11" t="s">
        <v>36</v>
      </c>
      <c r="C650" s="11" t="s">
        <v>37</v>
      </c>
      <c r="D650" s="11" t="s">
        <v>25</v>
      </c>
      <c r="E650" s="12" t="s">
        <v>38</v>
      </c>
      <c r="F650" s="5">
        <v>7213.55</v>
      </c>
      <c r="G650" s="5">
        <v>0</v>
      </c>
      <c r="H650" s="5">
        <v>771</v>
      </c>
      <c r="I650" s="5">
        <v>40</v>
      </c>
      <c r="J650" s="5">
        <v>225</v>
      </c>
      <c r="K650" s="6">
        <f t="shared" si="11"/>
        <v>8249.5499999999993</v>
      </c>
      <c r="M650" t="str">
        <f>VLOOKUP(B650,'[2]TABULADOR ok'!$A$2:$I$424,7,FALSE)</f>
        <v>T3</v>
      </c>
      <c r="N650" t="str">
        <f>VLOOKUP(B650,'[2]TABULADOR ok'!$A$2:$I$424,8,FALSE)</f>
        <v>A05012</v>
      </c>
      <c r="O650">
        <f>VLOOKUP(B650,'[2]TABULADOR ok'!$A$2:$I$424,9,FALSE)</f>
        <v>95</v>
      </c>
    </row>
    <row r="651" spans="1:15" x14ac:dyDescent="0.25">
      <c r="A651" s="4">
        <v>2013</v>
      </c>
      <c r="B651" s="11" t="s">
        <v>39</v>
      </c>
      <c r="C651" s="11" t="s">
        <v>40</v>
      </c>
      <c r="D651" s="11" t="s">
        <v>25</v>
      </c>
      <c r="E651" s="12" t="s">
        <v>41</v>
      </c>
      <c r="F651" s="5">
        <v>7213.55</v>
      </c>
      <c r="G651" s="5">
        <v>0</v>
      </c>
      <c r="H651" s="5">
        <v>771</v>
      </c>
      <c r="I651" s="5">
        <v>40</v>
      </c>
      <c r="J651" s="5">
        <v>225</v>
      </c>
      <c r="K651" s="6">
        <f t="shared" si="11"/>
        <v>8249.5499999999993</v>
      </c>
      <c r="M651" t="str">
        <f>VLOOKUP(B651,'[2]TABULADOR ok'!$A$2:$I$424,7,FALSE)</f>
        <v>T3</v>
      </c>
      <c r="N651" t="str">
        <f>VLOOKUP(B651,'[2]TABULADOR ok'!$A$2:$I$424,8,FALSE)</f>
        <v>S01890</v>
      </c>
      <c r="O651">
        <f>VLOOKUP(B651,'[2]TABULADOR ok'!$A$2:$I$424,9,FALSE)</f>
        <v>95</v>
      </c>
    </row>
    <row r="652" spans="1:15" x14ac:dyDescent="0.25">
      <c r="A652" s="4">
        <v>2013</v>
      </c>
      <c r="B652" s="11" t="s">
        <v>42</v>
      </c>
      <c r="C652" s="11" t="s">
        <v>43</v>
      </c>
      <c r="D652" s="11" t="s">
        <v>25</v>
      </c>
      <c r="E652" s="12" t="s">
        <v>44</v>
      </c>
      <c r="F652" s="5">
        <v>7213.55</v>
      </c>
      <c r="G652" s="5">
        <v>0</v>
      </c>
      <c r="H652" s="5">
        <v>771</v>
      </c>
      <c r="I652" s="5">
        <v>40</v>
      </c>
      <c r="J652" s="5">
        <v>225</v>
      </c>
      <c r="K652" s="6">
        <f t="shared" si="11"/>
        <v>8249.5499999999993</v>
      </c>
      <c r="M652" t="str">
        <f>VLOOKUP(B652,'[2]TABULADOR ok'!$A$2:$I$424,7,FALSE)</f>
        <v>T3</v>
      </c>
      <c r="N652" t="str">
        <f>VLOOKUP(B652,'[2]TABULADOR ok'!$A$2:$I$424,8,FALSE)</f>
        <v>S01894</v>
      </c>
      <c r="O652">
        <f>VLOOKUP(B652,'[2]TABULADOR ok'!$A$2:$I$424,9,FALSE)</f>
        <v>95</v>
      </c>
    </row>
    <row r="653" spans="1:15" x14ac:dyDescent="0.25">
      <c r="A653" s="4">
        <v>2013</v>
      </c>
      <c r="B653" s="11" t="s">
        <v>45</v>
      </c>
      <c r="C653" s="11" t="s">
        <v>46</v>
      </c>
      <c r="D653" s="11" t="s">
        <v>47</v>
      </c>
      <c r="E653" s="12" t="s">
        <v>48</v>
      </c>
      <c r="F653" s="5">
        <v>7918.35</v>
      </c>
      <c r="G653" s="5">
        <v>0</v>
      </c>
      <c r="H653" s="5">
        <v>771</v>
      </c>
      <c r="I653" s="5">
        <v>40</v>
      </c>
      <c r="J653" s="5">
        <v>225</v>
      </c>
      <c r="K653" s="6">
        <f t="shared" si="11"/>
        <v>8954.35</v>
      </c>
      <c r="M653" t="str">
        <f>VLOOKUP(B653,'[2]TABULADOR ok'!$A$2:$I$424,7,FALSE)</f>
        <v>T4</v>
      </c>
      <c r="N653" t="str">
        <f>VLOOKUP(B653,'[2]TABULADOR ok'!$A$2:$I$424,8,FALSE)</f>
        <v>A03841</v>
      </c>
      <c r="O653">
        <f>VLOOKUP(B653,'[2]TABULADOR ok'!$A$2:$I$424,9,FALSE)</f>
        <v>95</v>
      </c>
    </row>
    <row r="654" spans="1:15" x14ac:dyDescent="0.25">
      <c r="A654" s="4">
        <v>2013</v>
      </c>
      <c r="B654" s="11" t="s">
        <v>49</v>
      </c>
      <c r="C654" s="11" t="s">
        <v>50</v>
      </c>
      <c r="D654" s="11" t="s">
        <v>47</v>
      </c>
      <c r="E654" s="12" t="s">
        <v>51</v>
      </c>
      <c r="F654" s="5">
        <v>7918.35</v>
      </c>
      <c r="G654" s="5">
        <v>0</v>
      </c>
      <c r="H654" s="5">
        <v>771</v>
      </c>
      <c r="I654" s="5">
        <v>40</v>
      </c>
      <c r="J654" s="5">
        <v>225</v>
      </c>
      <c r="K654" s="6">
        <f t="shared" si="11"/>
        <v>8954.35</v>
      </c>
      <c r="M654" t="str">
        <f>VLOOKUP(B654,'[2]TABULADOR ok'!$A$2:$I$424,7,FALSE)</f>
        <v>T4</v>
      </c>
      <c r="N654" t="str">
        <f>VLOOKUP(B654,'[2]TABULADOR ok'!$A$2:$I$424,8,FALSE)</f>
        <v>C02810</v>
      </c>
      <c r="O654">
        <f>VLOOKUP(B654,'[2]TABULADOR ok'!$A$2:$I$424,9,FALSE)</f>
        <v>95</v>
      </c>
    </row>
    <row r="655" spans="1:15" x14ac:dyDescent="0.25">
      <c r="A655" s="4">
        <v>2013</v>
      </c>
      <c r="B655" s="11" t="s">
        <v>52</v>
      </c>
      <c r="C655" s="11" t="s">
        <v>53</v>
      </c>
      <c r="D655" s="11" t="s">
        <v>47</v>
      </c>
      <c r="E655" s="12" t="s">
        <v>54</v>
      </c>
      <c r="F655" s="5">
        <v>7918.35</v>
      </c>
      <c r="G655" s="5">
        <v>0</v>
      </c>
      <c r="H655" s="5">
        <v>771</v>
      </c>
      <c r="I655" s="5">
        <v>40</v>
      </c>
      <c r="J655" s="5">
        <v>225</v>
      </c>
      <c r="K655" s="6">
        <f t="shared" si="11"/>
        <v>8954.35</v>
      </c>
      <c r="M655" t="str">
        <f>VLOOKUP(B655,'[2]TABULADOR ok'!$A$2:$I$424,7,FALSE)</f>
        <v>T4</v>
      </c>
      <c r="N655" t="str">
        <f>VLOOKUP(B655,'[2]TABULADOR ok'!$A$2:$I$424,8,FALSE)</f>
        <v>S01889</v>
      </c>
      <c r="O655">
        <f>VLOOKUP(B655,'[2]TABULADOR ok'!$A$2:$I$424,9,FALSE)</f>
        <v>95</v>
      </c>
    </row>
    <row r="656" spans="1:15" x14ac:dyDescent="0.25">
      <c r="A656" s="4">
        <v>2013</v>
      </c>
      <c r="B656" s="11" t="s">
        <v>55</v>
      </c>
      <c r="C656" s="11" t="s">
        <v>56</v>
      </c>
      <c r="D656" s="11" t="s">
        <v>47</v>
      </c>
      <c r="E656" s="12" t="s">
        <v>57</v>
      </c>
      <c r="F656" s="5">
        <v>7918.35</v>
      </c>
      <c r="G656" s="5">
        <v>0</v>
      </c>
      <c r="H656" s="5">
        <v>771</v>
      </c>
      <c r="I656" s="5">
        <v>40</v>
      </c>
      <c r="J656" s="5">
        <v>225</v>
      </c>
      <c r="K656" s="6">
        <f t="shared" si="11"/>
        <v>8954.35</v>
      </c>
      <c r="M656" t="str">
        <f>VLOOKUP(B656,'[2]TABULADOR ok'!$A$2:$I$424,7,FALSE)</f>
        <v>T4</v>
      </c>
      <c r="N656" t="str">
        <f>VLOOKUP(B656,'[2]TABULADOR ok'!$A$2:$I$424,8,FALSE)</f>
        <v>S01895</v>
      </c>
      <c r="O656">
        <f>VLOOKUP(B656,'[2]TABULADOR ok'!$A$2:$I$424,9,FALSE)</f>
        <v>95</v>
      </c>
    </row>
    <row r="657" spans="1:15" x14ac:dyDescent="0.25">
      <c r="A657" s="4">
        <v>2013</v>
      </c>
      <c r="B657" s="11" t="s">
        <v>58</v>
      </c>
      <c r="C657" s="11" t="s">
        <v>59</v>
      </c>
      <c r="D657" s="11" t="s">
        <v>47</v>
      </c>
      <c r="E657" s="12" t="s">
        <v>60</v>
      </c>
      <c r="F657" s="5">
        <v>7918.35</v>
      </c>
      <c r="G657" s="5">
        <v>0</v>
      </c>
      <c r="H657" s="5">
        <v>771</v>
      </c>
      <c r="I657" s="5">
        <v>40</v>
      </c>
      <c r="J657" s="5">
        <v>225</v>
      </c>
      <c r="K657" s="6">
        <f t="shared" si="11"/>
        <v>8954.35</v>
      </c>
      <c r="M657" t="str">
        <f>VLOOKUP(B657,'[2]TABULADOR ok'!$A$2:$I$424,7,FALSE)</f>
        <v>T4</v>
      </c>
      <c r="N657" t="str">
        <f>VLOOKUP(B657,'[2]TABULADOR ok'!$A$2:$I$424,8,FALSE)</f>
        <v>S03834</v>
      </c>
      <c r="O657">
        <f>VLOOKUP(B657,'[2]TABULADOR ok'!$A$2:$I$424,9,FALSE)</f>
        <v>95</v>
      </c>
    </row>
    <row r="658" spans="1:15" x14ac:dyDescent="0.25">
      <c r="A658" s="4">
        <v>2013</v>
      </c>
      <c r="B658" s="11" t="s">
        <v>61</v>
      </c>
      <c r="C658" s="11" t="s">
        <v>62</v>
      </c>
      <c r="D658" s="11" t="s">
        <v>47</v>
      </c>
      <c r="E658" s="12" t="s">
        <v>63</v>
      </c>
      <c r="F658" s="5">
        <v>7918.35</v>
      </c>
      <c r="G658" s="5">
        <v>0</v>
      </c>
      <c r="H658" s="5">
        <v>771</v>
      </c>
      <c r="I658" s="5">
        <v>40</v>
      </c>
      <c r="J658" s="5">
        <v>225</v>
      </c>
      <c r="K658" s="6">
        <f t="shared" si="11"/>
        <v>8954.35</v>
      </c>
      <c r="M658" t="str">
        <f>VLOOKUP(B658,'[2]TABULADOR ok'!$A$2:$I$424,7,FALSE)</f>
        <v>T4</v>
      </c>
      <c r="N658" t="str">
        <f>VLOOKUP(B658,'[2]TABULADOR ok'!$A$2:$I$424,8,FALSE)</f>
        <v>S12020</v>
      </c>
      <c r="O658">
        <f>VLOOKUP(B658,'[2]TABULADOR ok'!$A$2:$I$424,9,FALSE)</f>
        <v>95</v>
      </c>
    </row>
    <row r="659" spans="1:15" x14ac:dyDescent="0.25">
      <c r="A659" s="4">
        <v>2013</v>
      </c>
      <c r="B659" s="11" t="s">
        <v>64</v>
      </c>
      <c r="C659" s="11" t="s">
        <v>65</v>
      </c>
      <c r="D659" s="11" t="s">
        <v>47</v>
      </c>
      <c r="E659" s="12" t="s">
        <v>66</v>
      </c>
      <c r="F659" s="5">
        <v>7918.35</v>
      </c>
      <c r="G659" s="5">
        <v>0</v>
      </c>
      <c r="H659" s="5">
        <v>771</v>
      </c>
      <c r="I659" s="5">
        <v>40</v>
      </c>
      <c r="J659" s="5">
        <v>225</v>
      </c>
      <c r="K659" s="6">
        <f t="shared" si="11"/>
        <v>8954.35</v>
      </c>
      <c r="M659" t="str">
        <f>VLOOKUP(B659,'[2]TABULADOR ok'!$A$2:$I$424,7,FALSE)</f>
        <v>T4</v>
      </c>
      <c r="N659" t="str">
        <f>VLOOKUP(B659,'[2]TABULADOR ok'!$A$2:$I$424,8,FALSE)</f>
        <v>S12092</v>
      </c>
      <c r="O659">
        <f>VLOOKUP(B659,'[2]TABULADOR ok'!$A$2:$I$424,9,FALSE)</f>
        <v>95</v>
      </c>
    </row>
    <row r="660" spans="1:15" x14ac:dyDescent="0.25">
      <c r="A660" s="4">
        <v>2013</v>
      </c>
      <c r="B660" s="11" t="s">
        <v>67</v>
      </c>
      <c r="C660" s="11" t="s">
        <v>68</v>
      </c>
      <c r="D660" s="11" t="s">
        <v>47</v>
      </c>
      <c r="E660" s="12" t="s">
        <v>69</v>
      </c>
      <c r="F660" s="5">
        <v>7918.35</v>
      </c>
      <c r="G660" s="5">
        <v>0</v>
      </c>
      <c r="H660" s="5">
        <v>771</v>
      </c>
      <c r="I660" s="5">
        <v>40</v>
      </c>
      <c r="J660" s="5">
        <v>225</v>
      </c>
      <c r="K660" s="6">
        <f t="shared" si="11"/>
        <v>8954.35</v>
      </c>
      <c r="M660" t="str">
        <f>VLOOKUP(B660,'[2]TABULADOR ok'!$A$2:$I$424,7,FALSE)</f>
        <v>T4</v>
      </c>
      <c r="N660" t="str">
        <f>VLOOKUP(B660,'[2]TABULADOR ok'!$A$2:$I$424,8,FALSE)</f>
        <v>S12093</v>
      </c>
      <c r="O660">
        <f>VLOOKUP(B660,'[2]TABULADOR ok'!$A$2:$I$424,9,FALSE)</f>
        <v>95</v>
      </c>
    </row>
    <row r="661" spans="1:15" x14ac:dyDescent="0.25">
      <c r="A661" s="4">
        <v>2013</v>
      </c>
      <c r="B661" s="11" t="s">
        <v>70</v>
      </c>
      <c r="C661" s="11" t="s">
        <v>71</v>
      </c>
      <c r="D661" s="11" t="s">
        <v>47</v>
      </c>
      <c r="E661" s="12" t="s">
        <v>72</v>
      </c>
      <c r="F661" s="5">
        <v>7918.35</v>
      </c>
      <c r="G661" s="5">
        <v>0</v>
      </c>
      <c r="H661" s="5">
        <v>771</v>
      </c>
      <c r="I661" s="5">
        <v>40</v>
      </c>
      <c r="J661" s="5">
        <v>225</v>
      </c>
      <c r="K661" s="6">
        <f t="shared" si="11"/>
        <v>8954.35</v>
      </c>
      <c r="M661" t="str">
        <f>VLOOKUP(B661,'[2]TABULADOR ok'!$A$2:$I$424,7,FALSE)</f>
        <v>T4</v>
      </c>
      <c r="N661" t="str">
        <f>VLOOKUP(B661,'[2]TABULADOR ok'!$A$2:$I$424,8,FALSE)</f>
        <v>S12096</v>
      </c>
      <c r="O661">
        <f>VLOOKUP(B661,'[2]TABULADOR ok'!$A$2:$I$424,9,FALSE)</f>
        <v>95</v>
      </c>
    </row>
    <row r="662" spans="1:15" x14ac:dyDescent="0.25">
      <c r="A662" s="4">
        <v>2013</v>
      </c>
      <c r="B662" s="11" t="s">
        <v>73</v>
      </c>
      <c r="C662" s="11" t="s">
        <v>74</v>
      </c>
      <c r="D662" s="11" t="s">
        <v>47</v>
      </c>
      <c r="E662" s="12" t="s">
        <v>75</v>
      </c>
      <c r="F662" s="5">
        <v>7918.35</v>
      </c>
      <c r="G662" s="5">
        <v>0</v>
      </c>
      <c r="H662" s="5">
        <v>771</v>
      </c>
      <c r="I662" s="5">
        <v>40</v>
      </c>
      <c r="J662" s="5">
        <v>225</v>
      </c>
      <c r="K662" s="6">
        <f t="shared" si="11"/>
        <v>8954.35</v>
      </c>
      <c r="M662" t="str">
        <f>VLOOKUP(B662,'[2]TABULADOR ok'!$A$2:$I$424,7,FALSE)</f>
        <v>T4</v>
      </c>
      <c r="N662" t="str">
        <f>VLOOKUP(B662,'[2]TABULADOR ok'!$A$2:$I$424,8,FALSE)</f>
        <v>S12097</v>
      </c>
      <c r="O662">
        <f>VLOOKUP(B662,'[2]TABULADOR ok'!$A$2:$I$424,9,FALSE)</f>
        <v>95</v>
      </c>
    </row>
    <row r="663" spans="1:15" x14ac:dyDescent="0.25">
      <c r="A663" s="4">
        <v>2013</v>
      </c>
      <c r="B663" s="11" t="s">
        <v>76</v>
      </c>
      <c r="C663" s="11" t="s">
        <v>77</v>
      </c>
      <c r="D663" s="11" t="s">
        <v>47</v>
      </c>
      <c r="E663" s="12" t="s">
        <v>78</v>
      </c>
      <c r="F663" s="5">
        <v>7918.35</v>
      </c>
      <c r="G663" s="5">
        <v>0</v>
      </c>
      <c r="H663" s="5">
        <v>771</v>
      </c>
      <c r="I663" s="5">
        <v>40</v>
      </c>
      <c r="J663" s="5">
        <v>225</v>
      </c>
      <c r="K663" s="6">
        <f t="shared" si="11"/>
        <v>8954.35</v>
      </c>
      <c r="M663" t="str">
        <f>VLOOKUP(B663,'[2]TABULADOR ok'!$A$2:$I$424,7,FALSE)</f>
        <v>T4</v>
      </c>
      <c r="N663" t="str">
        <f>VLOOKUP(B663,'[2]TABULADOR ok'!$A$2:$I$424,8,FALSE)</f>
        <v>S12098</v>
      </c>
      <c r="O663">
        <f>VLOOKUP(B663,'[2]TABULADOR ok'!$A$2:$I$424,9,FALSE)</f>
        <v>95</v>
      </c>
    </row>
    <row r="664" spans="1:15" x14ac:dyDescent="0.25">
      <c r="A664" s="4">
        <v>2013</v>
      </c>
      <c r="B664" s="11" t="s">
        <v>79</v>
      </c>
      <c r="C664" s="11" t="s">
        <v>80</v>
      </c>
      <c r="D664" s="11" t="s">
        <v>47</v>
      </c>
      <c r="E664" s="12" t="s">
        <v>81</v>
      </c>
      <c r="F664" s="5">
        <v>7918.35</v>
      </c>
      <c r="G664" s="5">
        <v>0</v>
      </c>
      <c r="H664" s="5">
        <v>771</v>
      </c>
      <c r="I664" s="5">
        <v>40</v>
      </c>
      <c r="J664" s="5">
        <v>225</v>
      </c>
      <c r="K664" s="6">
        <f t="shared" si="11"/>
        <v>8954.35</v>
      </c>
      <c r="M664" t="str">
        <f>VLOOKUP(B664,'[2]TABULADOR ok'!$A$2:$I$424,7,FALSE)</f>
        <v>T4</v>
      </c>
      <c r="N664" t="str">
        <f>VLOOKUP(B664,'[2]TABULADOR ok'!$A$2:$I$424,8,FALSE)</f>
        <v>T06824</v>
      </c>
      <c r="O664">
        <f>VLOOKUP(B664,'[2]TABULADOR ok'!$A$2:$I$424,9,FALSE)</f>
        <v>95</v>
      </c>
    </row>
    <row r="665" spans="1:15" x14ac:dyDescent="0.25">
      <c r="A665" s="4">
        <v>2013</v>
      </c>
      <c r="B665" s="11" t="s">
        <v>82</v>
      </c>
      <c r="C665" s="11" t="s">
        <v>83</v>
      </c>
      <c r="D665" s="11" t="s">
        <v>84</v>
      </c>
      <c r="E665" s="12" t="s">
        <v>85</v>
      </c>
      <c r="F665" s="5">
        <v>8713.9500000000007</v>
      </c>
      <c r="G665" s="5">
        <v>0</v>
      </c>
      <c r="H665" s="5">
        <v>771</v>
      </c>
      <c r="I665" s="5">
        <v>40</v>
      </c>
      <c r="J665" s="5">
        <v>225</v>
      </c>
      <c r="K665" s="6">
        <f t="shared" si="11"/>
        <v>9749.9500000000007</v>
      </c>
      <c r="M665" t="str">
        <f>VLOOKUP(B665,'[2]TABULADOR ok'!$A$2:$I$424,7,FALSE)</f>
        <v>T5</v>
      </c>
      <c r="N665" t="str">
        <f>VLOOKUP(B665,'[2]TABULADOR ok'!$A$2:$I$424,8,FALSE)</f>
        <v>A01038</v>
      </c>
      <c r="O665">
        <f>VLOOKUP(B665,'[2]TABULADOR ok'!$A$2:$I$424,9,FALSE)</f>
        <v>95</v>
      </c>
    </row>
    <row r="666" spans="1:15" x14ac:dyDescent="0.25">
      <c r="A666" s="4">
        <v>2013</v>
      </c>
      <c r="B666" s="11" t="s">
        <v>86</v>
      </c>
      <c r="C666" s="11" t="s">
        <v>87</v>
      </c>
      <c r="D666" s="11" t="s">
        <v>84</v>
      </c>
      <c r="E666" s="12" t="s">
        <v>88</v>
      </c>
      <c r="F666" s="5">
        <v>8713.9500000000007</v>
      </c>
      <c r="G666" s="5">
        <v>0</v>
      </c>
      <c r="H666" s="5">
        <v>771</v>
      </c>
      <c r="I666" s="5">
        <v>40</v>
      </c>
      <c r="J666" s="5">
        <v>225</v>
      </c>
      <c r="K666" s="6">
        <f t="shared" si="11"/>
        <v>9749.9500000000007</v>
      </c>
      <c r="M666" t="str">
        <f>VLOOKUP(B666,'[2]TABULADOR ok'!$A$2:$I$424,7,FALSE)</f>
        <v>T5</v>
      </c>
      <c r="N666" t="str">
        <f>VLOOKUP(B666,'[2]TABULADOR ok'!$A$2:$I$424,8,FALSE)</f>
        <v>A03840</v>
      </c>
      <c r="O666">
        <f>VLOOKUP(B666,'[2]TABULADOR ok'!$A$2:$I$424,9,FALSE)</f>
        <v>95</v>
      </c>
    </row>
    <row r="667" spans="1:15" x14ac:dyDescent="0.25">
      <c r="A667" s="4">
        <v>2013</v>
      </c>
      <c r="B667" s="11" t="s">
        <v>89</v>
      </c>
      <c r="C667" s="11" t="s">
        <v>90</v>
      </c>
      <c r="D667" s="11" t="s">
        <v>84</v>
      </c>
      <c r="E667" s="12" t="s">
        <v>91</v>
      </c>
      <c r="F667" s="5">
        <v>8713.9500000000007</v>
      </c>
      <c r="G667" s="5">
        <v>0</v>
      </c>
      <c r="H667" s="5">
        <v>771</v>
      </c>
      <c r="I667" s="5">
        <v>40</v>
      </c>
      <c r="J667" s="5">
        <v>225</v>
      </c>
      <c r="K667" s="6">
        <f t="shared" si="11"/>
        <v>9749.9500000000007</v>
      </c>
      <c r="M667" t="str">
        <f>VLOOKUP(B667,'[2]TABULADOR ok'!$A$2:$I$424,7,FALSE)</f>
        <v>T5</v>
      </c>
      <c r="N667" t="str">
        <f>VLOOKUP(B667,'[2]TABULADOR ok'!$A$2:$I$424,8,FALSE)</f>
        <v>A05011</v>
      </c>
      <c r="O667">
        <f>VLOOKUP(B667,'[2]TABULADOR ok'!$A$2:$I$424,9,FALSE)</f>
        <v>95</v>
      </c>
    </row>
    <row r="668" spans="1:15" x14ac:dyDescent="0.25">
      <c r="A668" s="4">
        <v>2013</v>
      </c>
      <c r="B668" s="11" t="s">
        <v>92</v>
      </c>
      <c r="C668" s="11" t="s">
        <v>93</v>
      </c>
      <c r="D668" s="11" t="s">
        <v>84</v>
      </c>
      <c r="E668" s="12" t="s">
        <v>94</v>
      </c>
      <c r="F668" s="5">
        <v>8713.9500000000007</v>
      </c>
      <c r="G668" s="5">
        <v>0</v>
      </c>
      <c r="H668" s="5">
        <v>771</v>
      </c>
      <c r="I668" s="5">
        <v>40</v>
      </c>
      <c r="J668" s="5">
        <v>225</v>
      </c>
      <c r="K668" s="6">
        <f t="shared" si="11"/>
        <v>9749.9500000000007</v>
      </c>
      <c r="M668" t="str">
        <f>VLOOKUP(B668,'[2]TABULADOR ok'!$A$2:$I$424,7,FALSE)</f>
        <v>T5</v>
      </c>
      <c r="N668" t="str">
        <f>VLOOKUP(B668,'[2]TABULADOR ok'!$A$2:$I$424,8,FALSE)</f>
        <v>S01892</v>
      </c>
      <c r="O668">
        <f>VLOOKUP(B668,'[2]TABULADOR ok'!$A$2:$I$424,9,FALSE)</f>
        <v>95</v>
      </c>
    </row>
    <row r="669" spans="1:15" x14ac:dyDescent="0.25">
      <c r="A669" s="4">
        <v>2013</v>
      </c>
      <c r="B669" s="11" t="s">
        <v>95</v>
      </c>
      <c r="C669" s="11" t="s">
        <v>96</v>
      </c>
      <c r="D669" s="11" t="s">
        <v>84</v>
      </c>
      <c r="E669" s="12" t="s">
        <v>97</v>
      </c>
      <c r="F669" s="5">
        <v>8713.9500000000007</v>
      </c>
      <c r="G669" s="5">
        <v>0</v>
      </c>
      <c r="H669" s="5">
        <v>771</v>
      </c>
      <c r="I669" s="5">
        <v>40</v>
      </c>
      <c r="J669" s="5">
        <v>225</v>
      </c>
      <c r="K669" s="6">
        <f t="shared" si="11"/>
        <v>9749.9500000000007</v>
      </c>
      <c r="M669" t="str">
        <f>VLOOKUP(B669,'[2]TABULADOR ok'!$A$2:$I$424,7,FALSE)</f>
        <v>T5</v>
      </c>
      <c r="N669" t="str">
        <f>VLOOKUP(B669,'[2]TABULADOR ok'!$A$2:$I$424,8,FALSE)</f>
        <v>S01896</v>
      </c>
      <c r="O669">
        <f>VLOOKUP(B669,'[2]TABULADOR ok'!$A$2:$I$424,9,FALSE)</f>
        <v>95</v>
      </c>
    </row>
    <row r="670" spans="1:15" x14ac:dyDescent="0.25">
      <c r="A670" s="4">
        <v>2013</v>
      </c>
      <c r="B670" s="11" t="s">
        <v>98</v>
      </c>
      <c r="C670" s="11" t="s">
        <v>99</v>
      </c>
      <c r="D670" s="11" t="s">
        <v>84</v>
      </c>
      <c r="E670" s="12" t="s">
        <v>100</v>
      </c>
      <c r="F670" s="5">
        <v>8713.9500000000007</v>
      </c>
      <c r="G670" s="5">
        <v>0</v>
      </c>
      <c r="H670" s="5">
        <v>771</v>
      </c>
      <c r="I670" s="5">
        <v>40</v>
      </c>
      <c r="J670" s="5">
        <v>225</v>
      </c>
      <c r="K670" s="6">
        <f t="shared" si="11"/>
        <v>9749.9500000000007</v>
      </c>
      <c r="M670" t="str">
        <f>VLOOKUP(B670,'[2]TABULADOR ok'!$A$2:$I$424,7,FALSE)</f>
        <v>T5</v>
      </c>
      <c r="N670" t="str">
        <f>VLOOKUP(B670,'[2]TABULADOR ok'!$A$2:$I$424,8,FALSE)</f>
        <v>S12011</v>
      </c>
      <c r="O670">
        <f>VLOOKUP(B670,'[2]TABULADOR ok'!$A$2:$I$424,9,FALSE)</f>
        <v>95</v>
      </c>
    </row>
    <row r="671" spans="1:15" x14ac:dyDescent="0.25">
      <c r="A671" s="4">
        <v>2013</v>
      </c>
      <c r="B671" s="11" t="s">
        <v>101</v>
      </c>
      <c r="C671" s="11" t="s">
        <v>102</v>
      </c>
      <c r="D671" s="11" t="s">
        <v>84</v>
      </c>
      <c r="E671" s="12" t="s">
        <v>103</v>
      </c>
      <c r="F671" s="5">
        <v>8713.9500000000007</v>
      </c>
      <c r="G671" s="5">
        <v>0</v>
      </c>
      <c r="H671" s="5">
        <v>771</v>
      </c>
      <c r="I671" s="5">
        <v>40</v>
      </c>
      <c r="J671" s="5">
        <v>225</v>
      </c>
      <c r="K671" s="6">
        <f t="shared" si="11"/>
        <v>9749.9500000000007</v>
      </c>
      <c r="M671" t="str">
        <f>VLOOKUP(B671,'[2]TABULADOR ok'!$A$2:$I$424,7,FALSE)</f>
        <v>T5</v>
      </c>
      <c r="N671" t="str">
        <f>VLOOKUP(B671,'[2]TABULADOR ok'!$A$2:$I$424,8,FALSE)</f>
        <v>S12094</v>
      </c>
      <c r="O671">
        <f>VLOOKUP(B671,'[2]TABULADOR ok'!$A$2:$I$424,9,FALSE)</f>
        <v>95</v>
      </c>
    </row>
    <row r="672" spans="1:15" x14ac:dyDescent="0.25">
      <c r="A672" s="4">
        <v>2013</v>
      </c>
      <c r="B672" s="11" t="s">
        <v>104</v>
      </c>
      <c r="C672" s="11" t="s">
        <v>105</v>
      </c>
      <c r="D672" s="11" t="s">
        <v>84</v>
      </c>
      <c r="E672" s="12" t="s">
        <v>106</v>
      </c>
      <c r="F672" s="5">
        <v>8713.9500000000007</v>
      </c>
      <c r="G672" s="5">
        <v>0</v>
      </c>
      <c r="H672" s="5">
        <v>771</v>
      </c>
      <c r="I672" s="5">
        <v>40</v>
      </c>
      <c r="J672" s="5">
        <v>225</v>
      </c>
      <c r="K672" s="6">
        <f t="shared" si="11"/>
        <v>9749.9500000000007</v>
      </c>
      <c r="M672" t="str">
        <f>VLOOKUP(B672,'[2]TABULADOR ok'!$A$2:$I$424,7,FALSE)</f>
        <v>T5</v>
      </c>
      <c r="N672" t="str">
        <f>VLOOKUP(B672,'[2]TABULADOR ok'!$A$2:$I$424,8,FALSE)</f>
        <v>T03853</v>
      </c>
      <c r="O672">
        <f>VLOOKUP(B672,'[2]TABULADOR ok'!$A$2:$I$424,9,FALSE)</f>
        <v>95</v>
      </c>
    </row>
    <row r="673" spans="1:15" x14ac:dyDescent="0.25">
      <c r="A673" s="4">
        <v>2013</v>
      </c>
      <c r="B673" s="11" t="s">
        <v>107</v>
      </c>
      <c r="C673" s="11" t="s">
        <v>108</v>
      </c>
      <c r="D673" s="11" t="s">
        <v>84</v>
      </c>
      <c r="E673" s="12" t="s">
        <v>109</v>
      </c>
      <c r="F673" s="5">
        <v>8713.9500000000007</v>
      </c>
      <c r="G673" s="5">
        <v>0</v>
      </c>
      <c r="H673" s="5">
        <v>771</v>
      </c>
      <c r="I673" s="5">
        <v>40</v>
      </c>
      <c r="J673" s="5">
        <v>225</v>
      </c>
      <c r="K673" s="6">
        <f t="shared" si="11"/>
        <v>9749.9500000000007</v>
      </c>
      <c r="M673" t="str">
        <f>VLOOKUP(B673,'[2]TABULADOR ok'!$A$2:$I$424,7,FALSE)</f>
        <v>T5</v>
      </c>
      <c r="N673" t="str">
        <f>VLOOKUP(B673,'[2]TABULADOR ok'!$A$2:$I$424,8,FALSE)</f>
        <v>T13818</v>
      </c>
      <c r="O673">
        <f>VLOOKUP(B673,'[2]TABULADOR ok'!$A$2:$I$424,9,FALSE)</f>
        <v>95</v>
      </c>
    </row>
    <row r="674" spans="1:15" x14ac:dyDescent="0.25">
      <c r="A674" s="4">
        <v>2013</v>
      </c>
      <c r="B674" s="11" t="s">
        <v>110</v>
      </c>
      <c r="C674" s="11" t="s">
        <v>111</v>
      </c>
      <c r="D674" s="11" t="s">
        <v>84</v>
      </c>
      <c r="E674" s="12" t="s">
        <v>112</v>
      </c>
      <c r="F674" s="5">
        <v>8713.9500000000007</v>
      </c>
      <c r="G674" s="5">
        <v>0</v>
      </c>
      <c r="H674" s="5">
        <v>771</v>
      </c>
      <c r="I674" s="5">
        <v>40</v>
      </c>
      <c r="J674" s="5">
        <v>225</v>
      </c>
      <c r="K674" s="6">
        <f t="shared" si="11"/>
        <v>9749.9500000000007</v>
      </c>
      <c r="M674" t="str">
        <f>VLOOKUP(B674,'[2]TABULADOR ok'!$A$2:$I$424,7,FALSE)</f>
        <v>T5</v>
      </c>
      <c r="N674" t="str">
        <f>VLOOKUP(B674,'[2]TABULADOR ok'!$A$2:$I$424,8,FALSE)</f>
        <v>T14034</v>
      </c>
      <c r="O674">
        <f>VLOOKUP(B674,'[2]TABULADOR ok'!$A$2:$I$424,9,FALSE)</f>
        <v>95</v>
      </c>
    </row>
    <row r="675" spans="1:15" x14ac:dyDescent="0.25">
      <c r="A675" s="4">
        <v>2013</v>
      </c>
      <c r="B675" s="11" t="s">
        <v>113</v>
      </c>
      <c r="C675" s="11" t="s">
        <v>114</v>
      </c>
      <c r="D675" s="11" t="s">
        <v>115</v>
      </c>
      <c r="E675" s="12" t="s">
        <v>116</v>
      </c>
      <c r="F675" s="5">
        <v>9694.5499999999993</v>
      </c>
      <c r="G675" s="5">
        <v>0</v>
      </c>
      <c r="H675" s="5">
        <v>771</v>
      </c>
      <c r="I675" s="5">
        <v>40</v>
      </c>
      <c r="J675" s="5">
        <v>225</v>
      </c>
      <c r="K675" s="6">
        <f t="shared" si="11"/>
        <v>10730.55</v>
      </c>
      <c r="M675" t="str">
        <f>VLOOKUP(B675,'[2]TABULADOR ok'!$A$2:$I$424,7,FALSE)</f>
        <v>T6</v>
      </c>
      <c r="N675" t="str">
        <f>VLOOKUP(B675,'[2]TABULADOR ok'!$A$2:$I$424,8,FALSE)</f>
        <v>A03839</v>
      </c>
      <c r="O675">
        <f>VLOOKUP(B675,'[2]TABULADOR ok'!$A$2:$I$424,9,FALSE)</f>
        <v>95</v>
      </c>
    </row>
    <row r="676" spans="1:15" x14ac:dyDescent="0.25">
      <c r="A676" s="4">
        <v>2013</v>
      </c>
      <c r="B676" s="11" t="s">
        <v>117</v>
      </c>
      <c r="C676" s="11" t="s">
        <v>118</v>
      </c>
      <c r="D676" s="11" t="s">
        <v>115</v>
      </c>
      <c r="E676" s="12" t="s">
        <v>119</v>
      </c>
      <c r="F676" s="5">
        <v>9694.5499999999993</v>
      </c>
      <c r="G676" s="5">
        <v>0</v>
      </c>
      <c r="H676" s="5">
        <v>771</v>
      </c>
      <c r="I676" s="5">
        <v>40</v>
      </c>
      <c r="J676" s="5">
        <v>225</v>
      </c>
      <c r="K676" s="6">
        <f t="shared" si="11"/>
        <v>10730.55</v>
      </c>
      <c r="M676" t="str">
        <f>VLOOKUP(B676,'[2]TABULADOR ok'!$A$2:$I$424,7,FALSE)</f>
        <v>T6</v>
      </c>
      <c r="N676" t="str">
        <f>VLOOKUP(B676,'[2]TABULADOR ok'!$A$2:$I$424,8,FALSE)</f>
        <v>P07027</v>
      </c>
      <c r="O676">
        <f>VLOOKUP(B676,'[2]TABULADOR ok'!$A$2:$I$424,9,FALSE)</f>
        <v>95</v>
      </c>
    </row>
    <row r="677" spans="1:15" x14ac:dyDescent="0.25">
      <c r="A677" s="4">
        <v>2013</v>
      </c>
      <c r="B677" s="11" t="s">
        <v>120</v>
      </c>
      <c r="C677" s="11" t="s">
        <v>121</v>
      </c>
      <c r="D677" s="11" t="s">
        <v>115</v>
      </c>
      <c r="E677" s="12" t="s">
        <v>122</v>
      </c>
      <c r="F677" s="5">
        <v>9694.5499999999993</v>
      </c>
      <c r="G677" s="5">
        <v>0</v>
      </c>
      <c r="H677" s="5">
        <v>771</v>
      </c>
      <c r="I677" s="5">
        <v>40</v>
      </c>
      <c r="J677" s="5">
        <v>225</v>
      </c>
      <c r="K677" s="6">
        <f t="shared" si="11"/>
        <v>10730.55</v>
      </c>
      <c r="M677" t="str">
        <f>VLOOKUP(B677,'[2]TABULADOR ok'!$A$2:$I$424,7,FALSE)</f>
        <v>T6</v>
      </c>
      <c r="N677" t="str">
        <f>VLOOKUP(B677,'[2]TABULADOR ok'!$A$2:$I$424,8,FALSE)</f>
        <v>S03830</v>
      </c>
      <c r="O677">
        <f>VLOOKUP(B677,'[2]TABULADOR ok'!$A$2:$I$424,9,FALSE)</f>
        <v>95</v>
      </c>
    </row>
    <row r="678" spans="1:15" x14ac:dyDescent="0.25">
      <c r="A678" s="4">
        <v>2013</v>
      </c>
      <c r="B678" s="11" t="s">
        <v>123</v>
      </c>
      <c r="C678" s="11" t="s">
        <v>124</v>
      </c>
      <c r="D678" s="11" t="s">
        <v>115</v>
      </c>
      <c r="E678" s="12" t="s">
        <v>125</v>
      </c>
      <c r="F678" s="5">
        <v>9694.5499999999993</v>
      </c>
      <c r="G678" s="5">
        <v>0</v>
      </c>
      <c r="H678" s="5">
        <v>771</v>
      </c>
      <c r="I678" s="5">
        <v>40</v>
      </c>
      <c r="J678" s="5">
        <v>225</v>
      </c>
      <c r="K678" s="6">
        <f t="shared" si="11"/>
        <v>10730.55</v>
      </c>
      <c r="M678" t="str">
        <f>VLOOKUP(B678,'[2]TABULADOR ok'!$A$2:$I$424,7,FALSE)</f>
        <v>T6</v>
      </c>
      <c r="N678" t="str">
        <f>VLOOKUP(B678,'[2]TABULADOR ok'!$A$2:$I$424,8,FALSE)</f>
        <v>S03831</v>
      </c>
      <c r="O678">
        <f>VLOOKUP(B678,'[2]TABULADOR ok'!$A$2:$I$424,9,FALSE)</f>
        <v>95</v>
      </c>
    </row>
    <row r="679" spans="1:15" x14ac:dyDescent="0.25">
      <c r="A679" s="4">
        <v>2013</v>
      </c>
      <c r="B679" s="11" t="s">
        <v>126</v>
      </c>
      <c r="C679" s="11" t="s">
        <v>127</v>
      </c>
      <c r="D679" s="11" t="s">
        <v>115</v>
      </c>
      <c r="E679" s="12" t="s">
        <v>128</v>
      </c>
      <c r="F679" s="5">
        <v>9694.5499999999993</v>
      </c>
      <c r="G679" s="5">
        <v>0</v>
      </c>
      <c r="H679" s="5">
        <v>771</v>
      </c>
      <c r="I679" s="5">
        <v>40</v>
      </c>
      <c r="J679" s="5">
        <v>225</v>
      </c>
      <c r="K679" s="6">
        <f t="shared" si="11"/>
        <v>10730.55</v>
      </c>
      <c r="M679" t="str">
        <f>VLOOKUP(B679,'[2]TABULADOR ok'!$A$2:$I$424,7,FALSE)</f>
        <v>T6</v>
      </c>
      <c r="N679" t="str">
        <f>VLOOKUP(B679,'[2]TABULADOR ok'!$A$2:$I$424,8,FALSE)</f>
        <v>S09807</v>
      </c>
      <c r="O679">
        <f>VLOOKUP(B679,'[2]TABULADOR ok'!$A$2:$I$424,9,FALSE)</f>
        <v>95</v>
      </c>
    </row>
    <row r="680" spans="1:15" x14ac:dyDescent="0.25">
      <c r="A680" s="4">
        <v>2013</v>
      </c>
      <c r="B680" s="11" t="s">
        <v>129</v>
      </c>
      <c r="C680" s="11" t="s">
        <v>130</v>
      </c>
      <c r="D680" s="11" t="s">
        <v>115</v>
      </c>
      <c r="E680" s="12" t="s">
        <v>131</v>
      </c>
      <c r="F680" s="5">
        <v>9694.5499999999993</v>
      </c>
      <c r="G680" s="5">
        <v>0</v>
      </c>
      <c r="H680" s="5">
        <v>771</v>
      </c>
      <c r="I680" s="5">
        <v>40</v>
      </c>
      <c r="J680" s="5">
        <v>225</v>
      </c>
      <c r="K680" s="6">
        <f t="shared" si="11"/>
        <v>10730.55</v>
      </c>
      <c r="M680" t="str">
        <f>VLOOKUP(B680,'[2]TABULADOR ok'!$A$2:$I$424,7,FALSE)</f>
        <v>T6</v>
      </c>
      <c r="N680" t="str">
        <f>VLOOKUP(B680,'[2]TABULADOR ok'!$A$2:$I$424,8,FALSE)</f>
        <v>T06823</v>
      </c>
      <c r="O680">
        <f>VLOOKUP(B680,'[2]TABULADOR ok'!$A$2:$I$424,9,FALSE)</f>
        <v>95</v>
      </c>
    </row>
    <row r="681" spans="1:15" x14ac:dyDescent="0.25">
      <c r="A681" s="4">
        <v>2013</v>
      </c>
      <c r="B681" s="11" t="s">
        <v>132</v>
      </c>
      <c r="C681" s="11" t="s">
        <v>133</v>
      </c>
      <c r="D681" s="11" t="s">
        <v>115</v>
      </c>
      <c r="E681" s="12" t="s">
        <v>134</v>
      </c>
      <c r="F681" s="5">
        <v>9694.5499999999993</v>
      </c>
      <c r="G681" s="5">
        <v>0</v>
      </c>
      <c r="H681" s="5">
        <v>771</v>
      </c>
      <c r="I681" s="5">
        <v>40</v>
      </c>
      <c r="J681" s="5">
        <v>225</v>
      </c>
      <c r="K681" s="6">
        <f t="shared" si="11"/>
        <v>10730.55</v>
      </c>
      <c r="M681" t="str">
        <f>VLOOKUP(B681,'[2]TABULADOR ok'!$A$2:$I$424,7,FALSE)</f>
        <v>T6</v>
      </c>
      <c r="N681" t="str">
        <f>VLOOKUP(B681,'[2]TABULADOR ok'!$A$2:$I$424,8,FALSE)</f>
        <v>T08813</v>
      </c>
      <c r="O681">
        <f>VLOOKUP(B681,'[2]TABULADOR ok'!$A$2:$I$424,9,FALSE)</f>
        <v>95</v>
      </c>
    </row>
    <row r="682" spans="1:15" x14ac:dyDescent="0.25">
      <c r="A682" s="4">
        <v>2013</v>
      </c>
      <c r="B682" s="11" t="s">
        <v>135</v>
      </c>
      <c r="C682" s="11" t="s">
        <v>136</v>
      </c>
      <c r="D682" s="11" t="s">
        <v>137</v>
      </c>
      <c r="E682" s="12" t="s">
        <v>138</v>
      </c>
      <c r="F682" s="5">
        <v>10644.1</v>
      </c>
      <c r="G682" s="5">
        <v>0</v>
      </c>
      <c r="H682" s="5">
        <v>771</v>
      </c>
      <c r="I682" s="5">
        <v>40</v>
      </c>
      <c r="J682" s="5">
        <v>225</v>
      </c>
      <c r="K682" s="6">
        <f t="shared" si="11"/>
        <v>11680.1</v>
      </c>
      <c r="M682" t="str">
        <f>VLOOKUP(B682,'[2]TABULADOR ok'!$A$2:$I$424,7,FALSE)</f>
        <v>T7</v>
      </c>
      <c r="N682" t="str">
        <f>VLOOKUP(B682,'[2]TABULADOR ok'!$A$2:$I$424,8,FALSE)</f>
        <v>A01037</v>
      </c>
      <c r="O682">
        <f>VLOOKUP(B682,'[2]TABULADOR ok'!$A$2:$I$424,9,FALSE)</f>
        <v>95</v>
      </c>
    </row>
    <row r="683" spans="1:15" x14ac:dyDescent="0.25">
      <c r="A683" s="4">
        <v>2013</v>
      </c>
      <c r="B683" s="11" t="s">
        <v>139</v>
      </c>
      <c r="C683" s="11" t="s">
        <v>140</v>
      </c>
      <c r="D683" s="11" t="s">
        <v>137</v>
      </c>
      <c r="E683" s="12" t="s">
        <v>141</v>
      </c>
      <c r="F683" s="5">
        <v>10644.1</v>
      </c>
      <c r="G683" s="5">
        <v>0</v>
      </c>
      <c r="H683" s="5">
        <v>771</v>
      </c>
      <c r="I683" s="5">
        <v>40</v>
      </c>
      <c r="J683" s="5">
        <v>225</v>
      </c>
      <c r="K683" s="6">
        <f t="shared" si="11"/>
        <v>11680.1</v>
      </c>
      <c r="M683" t="str">
        <f>VLOOKUP(B683,'[2]TABULADOR ok'!$A$2:$I$424,7,FALSE)</f>
        <v>T7</v>
      </c>
      <c r="N683" t="str">
        <f>VLOOKUP(B683,'[2]TABULADOR ok'!$A$2:$I$424,8,FALSE)</f>
        <v>A02815</v>
      </c>
      <c r="O683">
        <f>VLOOKUP(B683,'[2]TABULADOR ok'!$A$2:$I$424,9,FALSE)</f>
        <v>95</v>
      </c>
    </row>
    <row r="684" spans="1:15" x14ac:dyDescent="0.25">
      <c r="A684" s="4">
        <v>2013</v>
      </c>
      <c r="B684" s="11" t="s">
        <v>142</v>
      </c>
      <c r="C684" s="11" t="s">
        <v>143</v>
      </c>
      <c r="D684" s="11" t="s">
        <v>137</v>
      </c>
      <c r="E684" s="12" t="s">
        <v>144</v>
      </c>
      <c r="F684" s="5">
        <v>10644.1</v>
      </c>
      <c r="G684" s="5">
        <v>0</v>
      </c>
      <c r="H684" s="5">
        <v>771</v>
      </c>
      <c r="I684" s="5">
        <v>40</v>
      </c>
      <c r="J684" s="5">
        <v>225</v>
      </c>
      <c r="K684" s="6">
        <f t="shared" si="11"/>
        <v>11680.1</v>
      </c>
      <c r="M684" t="str">
        <f>VLOOKUP(B684,'[2]TABULADOR ok'!$A$2:$I$424,7,FALSE)</f>
        <v>T7</v>
      </c>
      <c r="N684" t="str">
        <f>VLOOKUP(B684,'[2]TABULADOR ok'!$A$2:$I$424,8,FALSE)</f>
        <v>C01817</v>
      </c>
      <c r="O684">
        <f>VLOOKUP(B684,'[2]TABULADOR ok'!$A$2:$I$424,9,FALSE)</f>
        <v>95</v>
      </c>
    </row>
    <row r="685" spans="1:15" x14ac:dyDescent="0.25">
      <c r="A685" s="4">
        <v>2013</v>
      </c>
      <c r="B685" s="11" t="s">
        <v>145</v>
      </c>
      <c r="C685" s="11" t="s">
        <v>146</v>
      </c>
      <c r="D685" s="11" t="s">
        <v>137</v>
      </c>
      <c r="E685" s="12" t="s">
        <v>147</v>
      </c>
      <c r="F685" s="5">
        <v>10644.1</v>
      </c>
      <c r="G685" s="5">
        <v>0</v>
      </c>
      <c r="H685" s="5">
        <v>771</v>
      </c>
      <c r="I685" s="5">
        <v>40</v>
      </c>
      <c r="J685" s="5">
        <v>225</v>
      </c>
      <c r="K685" s="6">
        <f t="shared" si="11"/>
        <v>11680.1</v>
      </c>
      <c r="M685" t="str">
        <f>VLOOKUP(B685,'[2]TABULADOR ok'!$A$2:$I$424,7,FALSE)</f>
        <v>T7</v>
      </c>
      <c r="N685" t="str">
        <f>VLOOKUP(B685,'[2]TABULADOR ok'!$A$2:$I$424,8,FALSE)</f>
        <v>P07026</v>
      </c>
      <c r="O685">
        <f>VLOOKUP(B685,'[2]TABULADOR ok'!$A$2:$I$424,9,FALSE)</f>
        <v>95</v>
      </c>
    </row>
    <row r="686" spans="1:15" x14ac:dyDescent="0.25">
      <c r="A686" s="4">
        <v>2013</v>
      </c>
      <c r="B686" s="11" t="s">
        <v>148</v>
      </c>
      <c r="C686" s="11" t="s">
        <v>149</v>
      </c>
      <c r="D686" s="11" t="s">
        <v>137</v>
      </c>
      <c r="E686" s="12" t="s">
        <v>150</v>
      </c>
      <c r="F686" s="5">
        <v>10644.1</v>
      </c>
      <c r="G686" s="5">
        <v>0</v>
      </c>
      <c r="H686" s="5">
        <v>771</v>
      </c>
      <c r="I686" s="5">
        <v>40</v>
      </c>
      <c r="J686" s="5">
        <v>225</v>
      </c>
      <c r="K686" s="6">
        <f t="shared" si="11"/>
        <v>11680.1</v>
      </c>
      <c r="M686" t="str">
        <f>VLOOKUP(B686,'[2]TABULADOR ok'!$A$2:$I$424,7,FALSE)</f>
        <v>T7</v>
      </c>
      <c r="N686" t="str">
        <f>VLOOKUP(B686,'[2]TABULADOR ok'!$A$2:$I$424,8,FALSE)</f>
        <v>T05822</v>
      </c>
      <c r="O686">
        <f>VLOOKUP(B686,'[2]TABULADOR ok'!$A$2:$I$424,9,FALSE)</f>
        <v>95</v>
      </c>
    </row>
    <row r="687" spans="1:15" x14ac:dyDescent="0.25">
      <c r="A687" s="4">
        <v>2013</v>
      </c>
      <c r="B687" s="11" t="s">
        <v>151</v>
      </c>
      <c r="C687" s="11" t="s">
        <v>152</v>
      </c>
      <c r="D687" s="11" t="s">
        <v>137</v>
      </c>
      <c r="E687" s="12" t="s">
        <v>153</v>
      </c>
      <c r="F687" s="5">
        <v>10644.1</v>
      </c>
      <c r="G687" s="5">
        <v>0</v>
      </c>
      <c r="H687" s="5">
        <v>771</v>
      </c>
      <c r="I687" s="5">
        <v>40</v>
      </c>
      <c r="J687" s="5">
        <v>225</v>
      </c>
      <c r="K687" s="6">
        <f t="shared" si="11"/>
        <v>11680.1</v>
      </c>
      <c r="M687" t="str">
        <f>VLOOKUP(B687,'[2]TABULADOR ok'!$A$2:$I$424,7,FALSE)</f>
        <v>T7</v>
      </c>
      <c r="N687" t="str">
        <f>VLOOKUP(B687,'[2]TABULADOR ok'!$A$2:$I$424,8,FALSE)</f>
        <v>T09001</v>
      </c>
      <c r="O687">
        <f>VLOOKUP(B687,'[2]TABULADOR ok'!$A$2:$I$424,9,FALSE)</f>
        <v>95</v>
      </c>
    </row>
    <row r="688" spans="1:15" x14ac:dyDescent="0.25">
      <c r="A688" s="4">
        <v>2013</v>
      </c>
      <c r="B688" s="11" t="s">
        <v>154</v>
      </c>
      <c r="C688" s="11" t="s">
        <v>155</v>
      </c>
      <c r="D688" s="11" t="s">
        <v>137</v>
      </c>
      <c r="E688" s="12" t="s">
        <v>156</v>
      </c>
      <c r="F688" s="5">
        <v>10644.1</v>
      </c>
      <c r="G688" s="5">
        <v>0</v>
      </c>
      <c r="H688" s="5">
        <v>771</v>
      </c>
      <c r="I688" s="5">
        <v>40</v>
      </c>
      <c r="J688" s="5">
        <v>225</v>
      </c>
      <c r="K688" s="6">
        <f t="shared" si="11"/>
        <v>11680.1</v>
      </c>
      <c r="M688" t="str">
        <f>VLOOKUP(B688,'[2]TABULADOR ok'!$A$2:$I$424,7,FALSE)</f>
        <v>T7</v>
      </c>
      <c r="N688" t="str">
        <f>VLOOKUP(B688,'[2]TABULADOR ok'!$A$2:$I$424,8,FALSE)</f>
        <v>T13817</v>
      </c>
      <c r="O688">
        <f>VLOOKUP(B688,'[2]TABULADOR ok'!$A$2:$I$424,9,FALSE)</f>
        <v>95</v>
      </c>
    </row>
    <row r="689" spans="1:15" x14ac:dyDescent="0.25">
      <c r="A689" s="4">
        <v>2013</v>
      </c>
      <c r="B689" s="11" t="s">
        <v>157</v>
      </c>
      <c r="C689" s="11" t="s">
        <v>158</v>
      </c>
      <c r="D689" s="11" t="s">
        <v>137</v>
      </c>
      <c r="E689" s="12" t="s">
        <v>159</v>
      </c>
      <c r="F689" s="5">
        <v>10644.1</v>
      </c>
      <c r="G689" s="5">
        <v>0</v>
      </c>
      <c r="H689" s="5">
        <v>771</v>
      </c>
      <c r="I689" s="5">
        <v>40</v>
      </c>
      <c r="J689" s="5">
        <v>225</v>
      </c>
      <c r="K689" s="6">
        <f t="shared" si="11"/>
        <v>11680.1</v>
      </c>
      <c r="M689" t="str">
        <f>VLOOKUP(B689,'[2]TABULADOR ok'!$A$2:$I$424,7,FALSE)</f>
        <v>T7</v>
      </c>
      <c r="N689" t="str">
        <f>VLOOKUP(B689,'[2]TABULADOR ok'!$A$2:$I$424,8,FALSE)</f>
        <v>T14019</v>
      </c>
      <c r="O689">
        <f>VLOOKUP(B689,'[2]TABULADOR ok'!$A$2:$I$424,9,FALSE)</f>
        <v>95</v>
      </c>
    </row>
    <row r="690" spans="1:15" x14ac:dyDescent="0.25">
      <c r="A690" s="4">
        <v>2013</v>
      </c>
      <c r="B690" s="11" t="s">
        <v>160</v>
      </c>
      <c r="C690" s="11" t="s">
        <v>161</v>
      </c>
      <c r="D690" s="11" t="s">
        <v>137</v>
      </c>
      <c r="E690" s="12" t="s">
        <v>162</v>
      </c>
      <c r="F690" s="5">
        <v>10644.1</v>
      </c>
      <c r="G690" s="5">
        <v>0</v>
      </c>
      <c r="H690" s="5">
        <v>771</v>
      </c>
      <c r="I690" s="5">
        <v>40</v>
      </c>
      <c r="J690" s="5">
        <v>225</v>
      </c>
      <c r="K690" s="6">
        <f t="shared" si="11"/>
        <v>11680.1</v>
      </c>
      <c r="M690" t="str">
        <f>VLOOKUP(B690,'[2]TABULADOR ok'!$A$2:$I$424,7,FALSE)</f>
        <v>T7</v>
      </c>
      <c r="N690" t="str">
        <f>VLOOKUP(B690,'[2]TABULADOR ok'!$A$2:$I$424,8,FALSE)</f>
        <v>T16817</v>
      </c>
      <c r="O690">
        <f>VLOOKUP(B690,'[2]TABULADOR ok'!$A$2:$I$424,9,FALSE)</f>
        <v>95</v>
      </c>
    </row>
    <row r="691" spans="1:15" x14ac:dyDescent="0.25">
      <c r="A691" s="4">
        <v>2013</v>
      </c>
      <c r="B691" s="11" t="s">
        <v>163</v>
      </c>
      <c r="C691" s="11" t="s">
        <v>164</v>
      </c>
      <c r="D691" s="11" t="s">
        <v>165</v>
      </c>
      <c r="E691" s="12" t="s">
        <v>166</v>
      </c>
      <c r="F691" s="5">
        <v>11761.05</v>
      </c>
      <c r="G691" s="5">
        <v>0</v>
      </c>
      <c r="H691" s="5">
        <v>771</v>
      </c>
      <c r="I691" s="5">
        <v>40</v>
      </c>
      <c r="J691" s="5">
        <v>225</v>
      </c>
      <c r="K691" s="6">
        <f t="shared" si="11"/>
        <v>12797.05</v>
      </c>
      <c r="M691" t="str">
        <f>VLOOKUP(B691,'[2]TABULADOR ok'!$A$2:$I$424,7,FALSE)</f>
        <v>T8</v>
      </c>
      <c r="N691" t="str">
        <f>VLOOKUP(B691,'[2]TABULADOR ok'!$A$2:$I$424,8,FALSE)</f>
        <v>A01036</v>
      </c>
      <c r="O691">
        <f>VLOOKUP(B691,'[2]TABULADOR ok'!$A$2:$I$424,9,FALSE)</f>
        <v>95</v>
      </c>
    </row>
    <row r="692" spans="1:15" x14ac:dyDescent="0.25">
      <c r="A692" s="4">
        <v>2013</v>
      </c>
      <c r="B692" s="11" t="s">
        <v>167</v>
      </c>
      <c r="C692" s="11" t="s">
        <v>168</v>
      </c>
      <c r="D692" s="11" t="s">
        <v>165</v>
      </c>
      <c r="E692" s="12" t="s">
        <v>169</v>
      </c>
      <c r="F692" s="5">
        <v>11761.05</v>
      </c>
      <c r="G692" s="5">
        <v>0</v>
      </c>
      <c r="H692" s="5">
        <v>771</v>
      </c>
      <c r="I692" s="5">
        <v>40</v>
      </c>
      <c r="J692" s="5">
        <v>225</v>
      </c>
      <c r="K692" s="6">
        <f t="shared" si="11"/>
        <v>12797.05</v>
      </c>
      <c r="M692" t="str">
        <f>VLOOKUP(B692,'[2]TABULADOR ok'!$A$2:$I$424,7,FALSE)</f>
        <v>T8</v>
      </c>
      <c r="N692" t="str">
        <f>VLOOKUP(B692,'[2]TABULADOR ok'!$A$2:$I$424,8,FALSE)</f>
        <v>A06009</v>
      </c>
      <c r="O692">
        <f>VLOOKUP(B692,'[2]TABULADOR ok'!$A$2:$I$424,9,FALSE)</f>
        <v>95</v>
      </c>
    </row>
    <row r="693" spans="1:15" x14ac:dyDescent="0.25">
      <c r="A693" s="4">
        <v>2013</v>
      </c>
      <c r="B693" s="11" t="s">
        <v>170</v>
      </c>
      <c r="C693" s="11" t="s">
        <v>171</v>
      </c>
      <c r="D693" s="11" t="s">
        <v>165</v>
      </c>
      <c r="E693" s="12" t="s">
        <v>172</v>
      </c>
      <c r="F693" s="5">
        <v>11761.05</v>
      </c>
      <c r="G693" s="5">
        <v>0</v>
      </c>
      <c r="H693" s="5">
        <v>771</v>
      </c>
      <c r="I693" s="5">
        <v>40</v>
      </c>
      <c r="J693" s="5">
        <v>225</v>
      </c>
      <c r="K693" s="6">
        <f t="shared" si="11"/>
        <v>12797.05</v>
      </c>
      <c r="M693" t="str">
        <f>VLOOKUP(B693,'[2]TABULADOR ok'!$A$2:$I$424,7,FALSE)</f>
        <v>T8</v>
      </c>
      <c r="N693" t="str">
        <f>VLOOKUP(B693,'[2]TABULADOR ok'!$A$2:$I$424,8,FALSE)</f>
        <v>C01818</v>
      </c>
      <c r="O693">
        <f>VLOOKUP(B693,'[2]TABULADOR ok'!$A$2:$I$424,9,FALSE)</f>
        <v>95</v>
      </c>
    </row>
    <row r="694" spans="1:15" x14ac:dyDescent="0.25">
      <c r="A694" s="4">
        <v>2013</v>
      </c>
      <c r="B694" s="11" t="s">
        <v>173</v>
      </c>
      <c r="C694" s="11" t="s">
        <v>174</v>
      </c>
      <c r="D694" s="11" t="s">
        <v>165</v>
      </c>
      <c r="E694" s="12" t="s">
        <v>175</v>
      </c>
      <c r="F694" s="5">
        <v>11761.05</v>
      </c>
      <c r="G694" s="5">
        <v>0</v>
      </c>
      <c r="H694" s="5">
        <v>771</v>
      </c>
      <c r="I694" s="5">
        <v>40</v>
      </c>
      <c r="J694" s="5">
        <v>225</v>
      </c>
      <c r="K694" s="6">
        <f t="shared" si="11"/>
        <v>12797.05</v>
      </c>
      <c r="M694" t="str">
        <f>VLOOKUP(B694,'[2]TABULADOR ok'!$A$2:$I$424,7,FALSE)</f>
        <v>T8</v>
      </c>
      <c r="N694" t="str">
        <f>VLOOKUP(B694,'[2]TABULADOR ok'!$A$2:$I$424,8,FALSE)</f>
        <v>T03854</v>
      </c>
      <c r="O694">
        <f>VLOOKUP(B694,'[2]TABULADOR ok'!$A$2:$I$424,9,FALSE)</f>
        <v>95</v>
      </c>
    </row>
    <row r="695" spans="1:15" x14ac:dyDescent="0.25">
      <c r="A695" s="4">
        <v>2013</v>
      </c>
      <c r="B695" s="11" t="s">
        <v>176</v>
      </c>
      <c r="C695" s="11" t="s">
        <v>177</v>
      </c>
      <c r="D695" s="11" t="s">
        <v>165</v>
      </c>
      <c r="E695" s="12" t="s">
        <v>178</v>
      </c>
      <c r="F695" s="5">
        <v>11761.05</v>
      </c>
      <c r="G695" s="5">
        <v>0</v>
      </c>
      <c r="H695" s="5">
        <v>771</v>
      </c>
      <c r="I695" s="5">
        <v>40</v>
      </c>
      <c r="J695" s="5">
        <v>225</v>
      </c>
      <c r="K695" s="6">
        <f t="shared" si="11"/>
        <v>12797.05</v>
      </c>
      <c r="M695" t="str">
        <f>VLOOKUP(B695,'[2]TABULADOR ok'!$A$2:$I$424,7,FALSE)</f>
        <v>T8</v>
      </c>
      <c r="N695" t="str">
        <f>VLOOKUP(B695,'[2]TABULADOR ok'!$A$2:$I$424,8,FALSE)</f>
        <v>T04875</v>
      </c>
      <c r="O695">
        <f>VLOOKUP(B695,'[2]TABULADOR ok'!$A$2:$I$424,9,FALSE)</f>
        <v>95</v>
      </c>
    </row>
    <row r="696" spans="1:15" x14ac:dyDescent="0.25">
      <c r="A696" s="4">
        <v>2013</v>
      </c>
      <c r="B696" s="11" t="s">
        <v>179</v>
      </c>
      <c r="C696" s="11" t="s">
        <v>180</v>
      </c>
      <c r="D696" s="11" t="s">
        <v>165</v>
      </c>
      <c r="E696" s="12" t="s">
        <v>181</v>
      </c>
      <c r="F696" s="5">
        <v>11761.05</v>
      </c>
      <c r="G696" s="5">
        <v>0</v>
      </c>
      <c r="H696" s="5">
        <v>771</v>
      </c>
      <c r="I696" s="5">
        <v>40</v>
      </c>
      <c r="J696" s="5">
        <v>225</v>
      </c>
      <c r="K696" s="6">
        <f t="shared" si="11"/>
        <v>12797.05</v>
      </c>
      <c r="M696" t="str">
        <f>VLOOKUP(B696,'[2]TABULADOR ok'!$A$2:$I$424,7,FALSE)</f>
        <v>T8</v>
      </c>
      <c r="N696" t="str">
        <f>VLOOKUP(B696,'[2]TABULADOR ok'!$A$2:$I$424,8,FALSE)</f>
        <v>T08812</v>
      </c>
      <c r="O696">
        <f>VLOOKUP(B696,'[2]TABULADOR ok'!$A$2:$I$424,9,FALSE)</f>
        <v>95</v>
      </c>
    </row>
    <row r="697" spans="1:15" x14ac:dyDescent="0.25">
      <c r="A697" s="4">
        <v>2013</v>
      </c>
      <c r="B697" s="11" t="s">
        <v>182</v>
      </c>
      <c r="C697" s="11" t="s">
        <v>183</v>
      </c>
      <c r="D697" s="11" t="s">
        <v>184</v>
      </c>
      <c r="E697" s="12" t="s">
        <v>185</v>
      </c>
      <c r="F697" s="5">
        <v>13151.4</v>
      </c>
      <c r="G697" s="5">
        <v>0</v>
      </c>
      <c r="H697" s="5">
        <v>771</v>
      </c>
      <c r="I697" s="5">
        <v>40</v>
      </c>
      <c r="J697" s="5">
        <v>225</v>
      </c>
      <c r="K697" s="6">
        <f t="shared" si="11"/>
        <v>14187.4</v>
      </c>
      <c r="M697" t="str">
        <f>VLOOKUP(B697,'[2]TABULADOR ok'!$A$2:$I$424,7,FALSE)</f>
        <v>T9</v>
      </c>
      <c r="N697" t="str">
        <f>VLOOKUP(B697,'[2]TABULADOR ok'!$A$2:$I$424,8,FALSE)</f>
        <v>P02809</v>
      </c>
      <c r="O697">
        <f>VLOOKUP(B697,'[2]TABULADOR ok'!$A$2:$I$424,9,FALSE)</f>
        <v>95</v>
      </c>
    </row>
    <row r="698" spans="1:15" x14ac:dyDescent="0.25">
      <c r="A698" s="4">
        <v>2013</v>
      </c>
      <c r="B698" s="11" t="s">
        <v>186</v>
      </c>
      <c r="C698" s="11" t="s">
        <v>187</v>
      </c>
      <c r="D698" s="11" t="s">
        <v>184</v>
      </c>
      <c r="E698" s="12" t="s">
        <v>188</v>
      </c>
      <c r="F698" s="5">
        <v>13151.4</v>
      </c>
      <c r="G698" s="5">
        <v>0</v>
      </c>
      <c r="H698" s="5">
        <v>771</v>
      </c>
      <c r="I698" s="5">
        <v>40</v>
      </c>
      <c r="J698" s="5">
        <v>225</v>
      </c>
      <c r="K698" s="6">
        <f t="shared" si="11"/>
        <v>14187.4</v>
      </c>
      <c r="M698" t="str">
        <f>VLOOKUP(B698,'[2]TABULADOR ok'!$A$2:$I$424,7,FALSE)</f>
        <v>T9</v>
      </c>
      <c r="N698" t="str">
        <f>VLOOKUP(B698,'[2]TABULADOR ok'!$A$2:$I$424,8,FALSE)</f>
        <v>P04806</v>
      </c>
      <c r="O698">
        <f>VLOOKUP(B698,'[2]TABULADOR ok'!$A$2:$I$424,9,FALSE)</f>
        <v>95</v>
      </c>
    </row>
    <row r="699" spans="1:15" x14ac:dyDescent="0.25">
      <c r="A699" s="4">
        <v>2013</v>
      </c>
      <c r="B699" s="11" t="s">
        <v>189</v>
      </c>
      <c r="C699" s="11" t="s">
        <v>190</v>
      </c>
      <c r="D699" s="11" t="s">
        <v>184</v>
      </c>
      <c r="E699" s="12" t="s">
        <v>191</v>
      </c>
      <c r="F699" s="5">
        <v>13151.4</v>
      </c>
      <c r="G699" s="5">
        <v>0</v>
      </c>
      <c r="H699" s="5">
        <v>771</v>
      </c>
      <c r="I699" s="5">
        <v>40</v>
      </c>
      <c r="J699" s="5">
        <v>225</v>
      </c>
      <c r="K699" s="6">
        <f t="shared" si="11"/>
        <v>14187.4</v>
      </c>
      <c r="M699" t="str">
        <f>VLOOKUP(B699,'[2]TABULADOR ok'!$A$2:$I$424,7,FALSE)</f>
        <v>T9</v>
      </c>
      <c r="N699" t="str">
        <f>VLOOKUP(B699,'[2]TABULADOR ok'!$A$2:$I$424,8,FALSE)</f>
        <v>P05808</v>
      </c>
      <c r="O699">
        <f>VLOOKUP(B699,'[2]TABULADOR ok'!$A$2:$I$424,9,FALSE)</f>
        <v>95</v>
      </c>
    </row>
    <row r="700" spans="1:15" x14ac:dyDescent="0.25">
      <c r="A700" s="4">
        <v>2013</v>
      </c>
      <c r="B700" s="11" t="s">
        <v>192</v>
      </c>
      <c r="C700" s="11" t="s">
        <v>193</v>
      </c>
      <c r="D700" s="11" t="s">
        <v>184</v>
      </c>
      <c r="E700" s="12" t="s">
        <v>194</v>
      </c>
      <c r="F700" s="5">
        <v>13151.4</v>
      </c>
      <c r="G700" s="5">
        <v>0</v>
      </c>
      <c r="H700" s="5">
        <v>771</v>
      </c>
      <c r="I700" s="5">
        <v>40</v>
      </c>
      <c r="J700" s="5">
        <v>225</v>
      </c>
      <c r="K700" s="6">
        <f t="shared" si="11"/>
        <v>14187.4</v>
      </c>
      <c r="M700" t="str">
        <f>VLOOKUP(B700,'[2]TABULADOR ok'!$A$2:$I$424,7,FALSE)</f>
        <v>T9</v>
      </c>
      <c r="N700" t="str">
        <f>VLOOKUP(B700,'[2]TABULADOR ok'!$A$2:$I$424,8,FALSE)</f>
        <v>T03850</v>
      </c>
      <c r="O700">
        <f>VLOOKUP(B700,'[2]TABULADOR ok'!$A$2:$I$424,9,FALSE)</f>
        <v>95</v>
      </c>
    </row>
    <row r="701" spans="1:15" x14ac:dyDescent="0.25">
      <c r="A701" s="4">
        <v>2013</v>
      </c>
      <c r="B701" s="11" t="s">
        <v>195</v>
      </c>
      <c r="C701" s="11" t="s">
        <v>196</v>
      </c>
      <c r="D701" s="11" t="s">
        <v>184</v>
      </c>
      <c r="E701" s="12" t="s">
        <v>197</v>
      </c>
      <c r="F701" s="5">
        <v>13151.4</v>
      </c>
      <c r="G701" s="5">
        <v>0</v>
      </c>
      <c r="H701" s="5">
        <v>771</v>
      </c>
      <c r="I701" s="5">
        <v>40</v>
      </c>
      <c r="J701" s="5">
        <v>225</v>
      </c>
      <c r="K701" s="6">
        <f t="shared" si="11"/>
        <v>14187.4</v>
      </c>
      <c r="M701" t="str">
        <f>VLOOKUP(B701,'[2]TABULADOR ok'!$A$2:$I$424,7,FALSE)</f>
        <v>T9</v>
      </c>
      <c r="N701" t="str">
        <f>VLOOKUP(B701,'[2]TABULADOR ok'!$A$2:$I$424,8,FALSE)</f>
        <v>T03851</v>
      </c>
      <c r="O701">
        <f>VLOOKUP(B701,'[2]TABULADOR ok'!$A$2:$I$424,9,FALSE)</f>
        <v>95</v>
      </c>
    </row>
    <row r="702" spans="1:15" x14ac:dyDescent="0.25">
      <c r="A702" s="4">
        <v>2013</v>
      </c>
      <c r="B702" s="11" t="s">
        <v>198</v>
      </c>
      <c r="C702" s="11" t="s">
        <v>199</v>
      </c>
      <c r="D702" s="11" t="s">
        <v>184</v>
      </c>
      <c r="E702" s="12" t="s">
        <v>200</v>
      </c>
      <c r="F702" s="5">
        <v>13151.4</v>
      </c>
      <c r="G702" s="5">
        <v>0</v>
      </c>
      <c r="H702" s="5">
        <v>771</v>
      </c>
      <c r="I702" s="5">
        <v>40</v>
      </c>
      <c r="J702" s="5">
        <v>225</v>
      </c>
      <c r="K702" s="6">
        <f>SUM(F702:J702)</f>
        <v>14187.4</v>
      </c>
      <c r="M702" t="str">
        <f>VLOOKUP(B702,'[2]TABULADOR ok'!$A$2:$I$424,7,FALSE)</f>
        <v>T9</v>
      </c>
      <c r="N702" t="str">
        <f>VLOOKUP(B702,'[2]TABULADOR ok'!$A$2:$I$424,8,FALSE)</f>
        <v>T03855</v>
      </c>
      <c r="O702">
        <f>VLOOKUP(B702,'[2]TABULADOR ok'!$A$2:$I$424,9,FALSE)</f>
        <v>95</v>
      </c>
    </row>
    <row r="703" spans="1:15" x14ac:dyDescent="0.25">
      <c r="A703" s="4">
        <v>2013</v>
      </c>
      <c r="B703" s="11" t="s">
        <v>201</v>
      </c>
      <c r="C703" s="11" t="s">
        <v>202</v>
      </c>
      <c r="D703" s="11" t="s">
        <v>184</v>
      </c>
      <c r="E703" s="12" t="s">
        <v>203</v>
      </c>
      <c r="F703" s="5">
        <v>13151.4</v>
      </c>
      <c r="G703" s="5">
        <v>0</v>
      </c>
      <c r="H703" s="5">
        <v>771</v>
      </c>
      <c r="I703" s="5">
        <v>40</v>
      </c>
      <c r="J703" s="5">
        <v>225</v>
      </c>
      <c r="K703" s="6">
        <f t="shared" ref="K703:K705" si="12">SUM(F703:J703)</f>
        <v>14187.4</v>
      </c>
      <c r="M703" t="str">
        <f>VLOOKUP(B703,'[2]TABULADOR ok'!$A$2:$I$424,7,FALSE)</f>
        <v>T9</v>
      </c>
      <c r="N703" t="str">
        <f>VLOOKUP(B703,'[2]TABULADOR ok'!$A$2:$I$424,8,FALSE)</f>
        <v>T04873</v>
      </c>
      <c r="O703">
        <f>VLOOKUP(B703,'[2]TABULADOR ok'!$A$2:$I$424,9,FALSE)</f>
        <v>95</v>
      </c>
    </row>
    <row r="704" spans="1:15" x14ac:dyDescent="0.25">
      <c r="A704" s="4">
        <v>2013</v>
      </c>
      <c r="B704" s="11" t="s">
        <v>204</v>
      </c>
      <c r="C704" s="11" t="s">
        <v>205</v>
      </c>
      <c r="D704" s="11" t="s">
        <v>184</v>
      </c>
      <c r="E704" s="12" t="s">
        <v>206</v>
      </c>
      <c r="F704" s="5">
        <v>13151.4</v>
      </c>
      <c r="G704" s="5">
        <v>0</v>
      </c>
      <c r="H704" s="5">
        <v>771</v>
      </c>
      <c r="I704" s="5">
        <v>40</v>
      </c>
      <c r="J704" s="5">
        <v>225</v>
      </c>
      <c r="K704" s="6">
        <f t="shared" si="12"/>
        <v>14187.4</v>
      </c>
      <c r="M704" t="str">
        <f>VLOOKUP(B704,'[2]TABULADOR ok'!$A$2:$I$424,7,FALSE)</f>
        <v>T9</v>
      </c>
      <c r="N704" t="str">
        <f>VLOOKUP(B704,'[2]TABULADOR ok'!$A$2:$I$424,8,FALSE)</f>
        <v>T14007</v>
      </c>
      <c r="O704">
        <f>VLOOKUP(B704,'[2]TABULADOR ok'!$A$2:$I$424,9,FALSE)</f>
        <v>95</v>
      </c>
    </row>
    <row r="705" spans="1:15" x14ac:dyDescent="0.25">
      <c r="A705" s="4">
        <v>2013</v>
      </c>
      <c r="B705" s="11" t="s">
        <v>207</v>
      </c>
      <c r="C705" s="11" t="s">
        <v>208</v>
      </c>
      <c r="D705" s="11" t="s">
        <v>184</v>
      </c>
      <c r="E705" s="12" t="s">
        <v>209</v>
      </c>
      <c r="F705" s="5">
        <v>13151.4</v>
      </c>
      <c r="G705" s="5">
        <v>0</v>
      </c>
      <c r="H705" s="5">
        <v>771</v>
      </c>
      <c r="I705" s="5">
        <v>40</v>
      </c>
      <c r="J705" s="5">
        <v>225</v>
      </c>
      <c r="K705" s="6">
        <f t="shared" si="12"/>
        <v>14187.4</v>
      </c>
      <c r="M705" t="str">
        <f>VLOOKUP(B705,'[2]TABULADOR ok'!$A$2:$I$424,7,FALSE)</f>
        <v>T9</v>
      </c>
      <c r="N705" t="str">
        <f>VLOOKUP(B705,'[2]TABULADOR ok'!$A$2:$I$424,8,FALSE)</f>
        <v>T26806</v>
      </c>
      <c r="O705">
        <f>VLOOKUP(B705,'[2]TABULADOR ok'!$A$2:$I$424,9,FALSE)</f>
        <v>95</v>
      </c>
    </row>
    <row r="706" spans="1:15" x14ac:dyDescent="0.25">
      <c r="A706" s="7">
        <v>2012</v>
      </c>
      <c r="B706" s="8" t="s">
        <v>10</v>
      </c>
      <c r="C706" s="8" t="s">
        <v>11</v>
      </c>
      <c r="D706" s="8" t="s">
        <v>12</v>
      </c>
      <c r="E706" s="9" t="s">
        <v>13</v>
      </c>
      <c r="F706" s="10">
        <v>6325.6</v>
      </c>
      <c r="G706" s="10">
        <v>0</v>
      </c>
      <c r="H706" s="10">
        <v>621</v>
      </c>
      <c r="I706" s="10">
        <v>40</v>
      </c>
      <c r="J706" s="10">
        <v>161</v>
      </c>
      <c r="K706" s="6">
        <f>SUM(F706:J706)</f>
        <v>7147.6</v>
      </c>
      <c r="M706" t="str">
        <f>VLOOKUP(B706,'[2]TABULADOR ok'!$A$2:$I$424,7,FALSE)</f>
        <v>T1</v>
      </c>
      <c r="N706" t="str">
        <f>VLOOKUP(B706,'[2]TABULADOR ok'!$A$2:$I$424,8,FALSE)</f>
        <v>S01893</v>
      </c>
      <c r="O706">
        <f>VLOOKUP(B706,'[2]TABULADOR ok'!$A$2:$I$424,9,FALSE)</f>
        <v>95</v>
      </c>
    </row>
    <row r="707" spans="1:15" x14ac:dyDescent="0.25">
      <c r="A707" s="7">
        <v>2012</v>
      </c>
      <c r="B707" s="8" t="s">
        <v>14</v>
      </c>
      <c r="C707" s="8" t="s">
        <v>15</v>
      </c>
      <c r="D707" s="8" t="s">
        <v>16</v>
      </c>
      <c r="E707" s="9" t="s">
        <v>17</v>
      </c>
      <c r="F707" s="10">
        <v>6634.25</v>
      </c>
      <c r="G707" s="10">
        <v>0</v>
      </c>
      <c r="H707" s="10">
        <v>621</v>
      </c>
      <c r="I707" s="10">
        <v>40</v>
      </c>
      <c r="J707" s="10">
        <v>161</v>
      </c>
      <c r="K707" s="6">
        <f t="shared" ref="K707:K769" si="13">SUM(F707:J707)</f>
        <v>7456.25</v>
      </c>
      <c r="M707" t="str">
        <f>VLOOKUP(B707,'[2]TABULADOR ok'!$A$2:$I$424,7,FALSE)</f>
        <v>T2</v>
      </c>
      <c r="N707" t="str">
        <f>VLOOKUP(B707,'[2]TABULADOR ok'!$A$2:$I$424,8,FALSE)</f>
        <v>S01891</v>
      </c>
      <c r="O707">
        <f>VLOOKUP(B707,'[2]TABULADOR ok'!$A$2:$I$424,9,FALSE)</f>
        <v>95</v>
      </c>
    </row>
    <row r="708" spans="1:15" x14ac:dyDescent="0.25">
      <c r="A708" s="7">
        <v>2012</v>
      </c>
      <c r="B708" s="8" t="s">
        <v>18</v>
      </c>
      <c r="C708" s="8" t="s">
        <v>19</v>
      </c>
      <c r="D708" s="8" t="s">
        <v>16</v>
      </c>
      <c r="E708" s="9" t="s">
        <v>20</v>
      </c>
      <c r="F708" s="10">
        <v>6634.25</v>
      </c>
      <c r="G708" s="10">
        <v>0</v>
      </c>
      <c r="H708" s="10">
        <v>621</v>
      </c>
      <c r="I708" s="10">
        <v>40</v>
      </c>
      <c r="J708" s="10">
        <v>161</v>
      </c>
      <c r="K708" s="6">
        <f t="shared" si="13"/>
        <v>7456.25</v>
      </c>
      <c r="M708" t="str">
        <f>VLOOKUP(B708,'[2]TABULADOR ok'!$A$2:$I$424,7,FALSE)</f>
        <v>T2</v>
      </c>
      <c r="N708" t="str">
        <f>VLOOKUP(B708,'[2]TABULADOR ok'!$A$2:$I$424,8,FALSE)</f>
        <v>S03833</v>
      </c>
      <c r="O708">
        <f>VLOOKUP(B708,'[2]TABULADOR ok'!$A$2:$I$424,9,FALSE)</f>
        <v>95</v>
      </c>
    </row>
    <row r="709" spans="1:15" x14ac:dyDescent="0.25">
      <c r="A709" s="7">
        <v>2012</v>
      </c>
      <c r="B709" s="8" t="s">
        <v>21</v>
      </c>
      <c r="C709" s="8" t="s">
        <v>22</v>
      </c>
      <c r="D709" s="8" t="s">
        <v>16</v>
      </c>
      <c r="E709" s="9" t="s">
        <v>23</v>
      </c>
      <c r="F709" s="10">
        <v>6634.25</v>
      </c>
      <c r="G709" s="10">
        <v>0</v>
      </c>
      <c r="H709" s="10">
        <v>621</v>
      </c>
      <c r="I709" s="10">
        <v>40</v>
      </c>
      <c r="J709" s="10">
        <v>161</v>
      </c>
      <c r="K709" s="6">
        <f t="shared" si="13"/>
        <v>7456.25</v>
      </c>
      <c r="M709" t="str">
        <f>VLOOKUP(B709,'[2]TABULADOR ok'!$A$2:$I$424,7,FALSE)</f>
        <v>T2</v>
      </c>
      <c r="N709" t="str">
        <f>VLOOKUP(B709,'[2]TABULADOR ok'!$A$2:$I$424,8,FALSE)</f>
        <v>S12091</v>
      </c>
      <c r="O709">
        <f>VLOOKUP(B709,'[2]TABULADOR ok'!$A$2:$I$424,9,FALSE)</f>
        <v>95</v>
      </c>
    </row>
    <row r="710" spans="1:15" x14ac:dyDescent="0.25">
      <c r="A710" s="7">
        <v>2012</v>
      </c>
      <c r="B710" s="8" t="s">
        <v>24</v>
      </c>
      <c r="C710" s="8" t="s">
        <v>24</v>
      </c>
      <c r="D710" s="8" t="s">
        <v>25</v>
      </c>
      <c r="E710" s="9" t="s">
        <v>26</v>
      </c>
      <c r="F710" s="10">
        <v>6942.8</v>
      </c>
      <c r="G710" s="10">
        <v>0</v>
      </c>
      <c r="H710" s="10">
        <v>621</v>
      </c>
      <c r="I710" s="10">
        <v>40</v>
      </c>
      <c r="J710" s="10">
        <v>161</v>
      </c>
      <c r="K710" s="6">
        <f t="shared" si="13"/>
        <v>7764.8</v>
      </c>
      <c r="M710" t="str">
        <f>VLOOKUP(B710,'[2]TABULADOR ok'!$A$2:$I$424,7,FALSE)</f>
        <v>T3</v>
      </c>
      <c r="N710" t="str">
        <f>VLOOKUP(B710,'[2]TABULADOR ok'!$A$2:$I$424,8,FALSE)</f>
        <v>A01023</v>
      </c>
      <c r="O710">
        <f>VLOOKUP(B710,'[2]TABULADOR ok'!$A$2:$I$424,9,FALSE)</f>
        <v>95</v>
      </c>
    </row>
    <row r="711" spans="1:15" x14ac:dyDescent="0.25">
      <c r="A711" s="7">
        <v>2012</v>
      </c>
      <c r="B711" s="8" t="s">
        <v>27</v>
      </c>
      <c r="C711" s="8" t="s">
        <v>28</v>
      </c>
      <c r="D711" s="8" t="s">
        <v>25</v>
      </c>
      <c r="E711" s="9" t="s">
        <v>29</v>
      </c>
      <c r="F711" s="10">
        <v>6942.8</v>
      </c>
      <c r="G711" s="10">
        <v>0</v>
      </c>
      <c r="H711" s="10">
        <v>621</v>
      </c>
      <c r="I711" s="10">
        <v>40</v>
      </c>
      <c r="J711" s="10">
        <v>161</v>
      </c>
      <c r="K711" s="6">
        <f t="shared" si="13"/>
        <v>7764.8</v>
      </c>
      <c r="M711" t="str">
        <f>VLOOKUP(B711,'[2]TABULADOR ok'!$A$2:$I$424,7,FALSE)</f>
        <v>T3</v>
      </c>
      <c r="N711" t="str">
        <f>VLOOKUP(B711,'[2]TABULADOR ok'!$A$2:$I$424,8,FALSE)</f>
        <v>A01040</v>
      </c>
      <c r="O711">
        <f>VLOOKUP(B711,'[2]TABULADOR ok'!$A$2:$I$424,9,FALSE)</f>
        <v>95</v>
      </c>
    </row>
    <row r="712" spans="1:15" x14ac:dyDescent="0.25">
      <c r="A712" s="7">
        <v>2012</v>
      </c>
      <c r="B712" s="8" t="s">
        <v>30</v>
      </c>
      <c r="C712" s="8" t="s">
        <v>31</v>
      </c>
      <c r="D712" s="8" t="s">
        <v>25</v>
      </c>
      <c r="E712" s="9" t="s">
        <v>32</v>
      </c>
      <c r="F712" s="10">
        <v>6942.8</v>
      </c>
      <c r="G712" s="10">
        <v>0</v>
      </c>
      <c r="H712" s="10">
        <v>621</v>
      </c>
      <c r="I712" s="10">
        <v>40</v>
      </c>
      <c r="J712" s="10">
        <v>161</v>
      </c>
      <c r="K712" s="6">
        <f t="shared" si="13"/>
        <v>7764.8</v>
      </c>
      <c r="M712" t="str">
        <f>VLOOKUP(B712,'[2]TABULADOR ok'!$A$2:$I$424,7,FALSE)</f>
        <v>T3</v>
      </c>
      <c r="N712" t="str">
        <f>VLOOKUP(B712,'[2]TABULADOR ok'!$A$2:$I$424,8,FALSE)</f>
        <v>A02813</v>
      </c>
      <c r="O712">
        <f>VLOOKUP(B712,'[2]TABULADOR ok'!$A$2:$I$424,9,FALSE)</f>
        <v>95</v>
      </c>
    </row>
    <row r="713" spans="1:15" x14ac:dyDescent="0.25">
      <c r="A713" s="7">
        <v>2012</v>
      </c>
      <c r="B713" s="8" t="s">
        <v>33</v>
      </c>
      <c r="C713" s="8" t="s">
        <v>34</v>
      </c>
      <c r="D713" s="8" t="s">
        <v>25</v>
      </c>
      <c r="E713" s="9" t="s">
        <v>35</v>
      </c>
      <c r="F713" s="10">
        <v>6942.8</v>
      </c>
      <c r="G713" s="10">
        <v>0</v>
      </c>
      <c r="H713" s="10">
        <v>621</v>
      </c>
      <c r="I713" s="10">
        <v>40</v>
      </c>
      <c r="J713" s="10">
        <v>161</v>
      </c>
      <c r="K713" s="6">
        <f t="shared" si="13"/>
        <v>7764.8</v>
      </c>
      <c r="M713" t="str">
        <f>VLOOKUP(B713,'[2]TABULADOR ok'!$A$2:$I$424,7,FALSE)</f>
        <v>T3</v>
      </c>
      <c r="N713" t="str">
        <f>VLOOKUP(B713,'[2]TABULADOR ok'!$A$2:$I$424,8,FALSE)</f>
        <v>A03832</v>
      </c>
      <c r="O713">
        <f>VLOOKUP(B713,'[2]TABULADOR ok'!$A$2:$I$424,9,FALSE)</f>
        <v>95</v>
      </c>
    </row>
    <row r="714" spans="1:15" x14ac:dyDescent="0.25">
      <c r="A714" s="7">
        <v>2012</v>
      </c>
      <c r="B714" s="8" t="s">
        <v>36</v>
      </c>
      <c r="C714" s="8" t="s">
        <v>37</v>
      </c>
      <c r="D714" s="8" t="s">
        <v>25</v>
      </c>
      <c r="E714" s="9" t="s">
        <v>38</v>
      </c>
      <c r="F714" s="10">
        <v>6942.8</v>
      </c>
      <c r="G714" s="10">
        <v>0</v>
      </c>
      <c r="H714" s="10">
        <v>621</v>
      </c>
      <c r="I714" s="10">
        <v>40</v>
      </c>
      <c r="J714" s="10">
        <v>161</v>
      </c>
      <c r="K714" s="6">
        <f t="shared" si="13"/>
        <v>7764.8</v>
      </c>
      <c r="M714" t="str">
        <f>VLOOKUP(B714,'[2]TABULADOR ok'!$A$2:$I$424,7,FALSE)</f>
        <v>T3</v>
      </c>
      <c r="N714" t="str">
        <f>VLOOKUP(B714,'[2]TABULADOR ok'!$A$2:$I$424,8,FALSE)</f>
        <v>A05012</v>
      </c>
      <c r="O714">
        <f>VLOOKUP(B714,'[2]TABULADOR ok'!$A$2:$I$424,9,FALSE)</f>
        <v>95</v>
      </c>
    </row>
    <row r="715" spans="1:15" x14ac:dyDescent="0.25">
      <c r="A715" s="7">
        <v>2012</v>
      </c>
      <c r="B715" s="8" t="s">
        <v>39</v>
      </c>
      <c r="C715" s="8" t="s">
        <v>40</v>
      </c>
      <c r="D715" s="8" t="s">
        <v>25</v>
      </c>
      <c r="E715" s="9" t="s">
        <v>41</v>
      </c>
      <c r="F715" s="10">
        <v>6942.8</v>
      </c>
      <c r="G715" s="10">
        <v>0</v>
      </c>
      <c r="H715" s="10">
        <v>621</v>
      </c>
      <c r="I715" s="10">
        <v>40</v>
      </c>
      <c r="J715" s="10">
        <v>161</v>
      </c>
      <c r="K715" s="6">
        <f t="shared" si="13"/>
        <v>7764.8</v>
      </c>
      <c r="M715" t="str">
        <f>VLOOKUP(B715,'[2]TABULADOR ok'!$A$2:$I$424,7,FALSE)</f>
        <v>T3</v>
      </c>
      <c r="N715" t="str">
        <f>VLOOKUP(B715,'[2]TABULADOR ok'!$A$2:$I$424,8,FALSE)</f>
        <v>S01890</v>
      </c>
      <c r="O715">
        <f>VLOOKUP(B715,'[2]TABULADOR ok'!$A$2:$I$424,9,FALSE)</f>
        <v>95</v>
      </c>
    </row>
    <row r="716" spans="1:15" x14ac:dyDescent="0.25">
      <c r="A716" s="7">
        <v>2012</v>
      </c>
      <c r="B716" s="8" t="s">
        <v>42</v>
      </c>
      <c r="C716" s="8" t="s">
        <v>43</v>
      </c>
      <c r="D716" s="8" t="s">
        <v>25</v>
      </c>
      <c r="E716" s="9" t="s">
        <v>44</v>
      </c>
      <c r="F716" s="10">
        <v>6942.8</v>
      </c>
      <c r="G716" s="10">
        <v>0</v>
      </c>
      <c r="H716" s="10">
        <v>621</v>
      </c>
      <c r="I716" s="10">
        <v>40</v>
      </c>
      <c r="J716" s="10">
        <v>161</v>
      </c>
      <c r="K716" s="6">
        <f t="shared" si="13"/>
        <v>7764.8</v>
      </c>
      <c r="M716" t="str">
        <f>VLOOKUP(B716,'[2]TABULADOR ok'!$A$2:$I$424,7,FALSE)</f>
        <v>T3</v>
      </c>
      <c r="N716" t="str">
        <f>VLOOKUP(B716,'[2]TABULADOR ok'!$A$2:$I$424,8,FALSE)</f>
        <v>S01894</v>
      </c>
      <c r="O716">
        <f>VLOOKUP(B716,'[2]TABULADOR ok'!$A$2:$I$424,9,FALSE)</f>
        <v>95</v>
      </c>
    </row>
    <row r="717" spans="1:15" x14ac:dyDescent="0.25">
      <c r="A717" s="7">
        <v>2012</v>
      </c>
      <c r="B717" s="8" t="s">
        <v>45</v>
      </c>
      <c r="C717" s="8" t="s">
        <v>46</v>
      </c>
      <c r="D717" s="8" t="s">
        <v>47</v>
      </c>
      <c r="E717" s="9" t="s">
        <v>48</v>
      </c>
      <c r="F717" s="10">
        <v>7621.15</v>
      </c>
      <c r="G717" s="10">
        <v>0</v>
      </c>
      <c r="H717" s="10">
        <v>621</v>
      </c>
      <c r="I717" s="10">
        <v>40</v>
      </c>
      <c r="J717" s="10">
        <v>161</v>
      </c>
      <c r="K717" s="6">
        <f t="shared" si="13"/>
        <v>8443.15</v>
      </c>
      <c r="M717" t="str">
        <f>VLOOKUP(B717,'[2]TABULADOR ok'!$A$2:$I$424,7,FALSE)</f>
        <v>T4</v>
      </c>
      <c r="N717" t="str">
        <f>VLOOKUP(B717,'[2]TABULADOR ok'!$A$2:$I$424,8,FALSE)</f>
        <v>A03841</v>
      </c>
      <c r="O717">
        <f>VLOOKUP(B717,'[2]TABULADOR ok'!$A$2:$I$424,9,FALSE)</f>
        <v>95</v>
      </c>
    </row>
    <row r="718" spans="1:15" x14ac:dyDescent="0.25">
      <c r="A718" s="7">
        <v>2012</v>
      </c>
      <c r="B718" s="8" t="s">
        <v>49</v>
      </c>
      <c r="C718" s="8" t="s">
        <v>50</v>
      </c>
      <c r="D718" s="8" t="s">
        <v>47</v>
      </c>
      <c r="E718" s="9" t="s">
        <v>51</v>
      </c>
      <c r="F718" s="10">
        <v>7621.15</v>
      </c>
      <c r="G718" s="10">
        <v>0</v>
      </c>
      <c r="H718" s="10">
        <v>621</v>
      </c>
      <c r="I718" s="10">
        <v>40</v>
      </c>
      <c r="J718" s="10">
        <v>161</v>
      </c>
      <c r="K718" s="6">
        <f t="shared" si="13"/>
        <v>8443.15</v>
      </c>
      <c r="M718" t="str">
        <f>VLOOKUP(B718,'[2]TABULADOR ok'!$A$2:$I$424,7,FALSE)</f>
        <v>T4</v>
      </c>
      <c r="N718" t="str">
        <f>VLOOKUP(B718,'[2]TABULADOR ok'!$A$2:$I$424,8,FALSE)</f>
        <v>C02810</v>
      </c>
      <c r="O718">
        <f>VLOOKUP(B718,'[2]TABULADOR ok'!$A$2:$I$424,9,FALSE)</f>
        <v>95</v>
      </c>
    </row>
    <row r="719" spans="1:15" x14ac:dyDescent="0.25">
      <c r="A719" s="7">
        <v>2012</v>
      </c>
      <c r="B719" s="8" t="s">
        <v>52</v>
      </c>
      <c r="C719" s="8" t="s">
        <v>53</v>
      </c>
      <c r="D719" s="8" t="s">
        <v>47</v>
      </c>
      <c r="E719" s="9" t="s">
        <v>54</v>
      </c>
      <c r="F719" s="10">
        <v>7621.15</v>
      </c>
      <c r="G719" s="10">
        <v>0</v>
      </c>
      <c r="H719" s="10">
        <v>621</v>
      </c>
      <c r="I719" s="10">
        <v>40</v>
      </c>
      <c r="J719" s="10">
        <v>161</v>
      </c>
      <c r="K719" s="6">
        <f t="shared" si="13"/>
        <v>8443.15</v>
      </c>
      <c r="M719" t="str">
        <f>VLOOKUP(B719,'[2]TABULADOR ok'!$A$2:$I$424,7,FALSE)</f>
        <v>T4</v>
      </c>
      <c r="N719" t="str">
        <f>VLOOKUP(B719,'[2]TABULADOR ok'!$A$2:$I$424,8,FALSE)</f>
        <v>S01889</v>
      </c>
      <c r="O719">
        <f>VLOOKUP(B719,'[2]TABULADOR ok'!$A$2:$I$424,9,FALSE)</f>
        <v>95</v>
      </c>
    </row>
    <row r="720" spans="1:15" x14ac:dyDescent="0.25">
      <c r="A720" s="7">
        <v>2012</v>
      </c>
      <c r="B720" s="8" t="s">
        <v>55</v>
      </c>
      <c r="C720" s="8" t="s">
        <v>56</v>
      </c>
      <c r="D720" s="8" t="s">
        <v>47</v>
      </c>
      <c r="E720" s="9" t="s">
        <v>57</v>
      </c>
      <c r="F720" s="10">
        <v>7621.15</v>
      </c>
      <c r="G720" s="10">
        <v>0</v>
      </c>
      <c r="H720" s="10">
        <v>621</v>
      </c>
      <c r="I720" s="10">
        <v>40</v>
      </c>
      <c r="J720" s="10">
        <v>161</v>
      </c>
      <c r="K720" s="6">
        <f t="shared" si="13"/>
        <v>8443.15</v>
      </c>
      <c r="M720" t="str">
        <f>VLOOKUP(B720,'[2]TABULADOR ok'!$A$2:$I$424,7,FALSE)</f>
        <v>T4</v>
      </c>
      <c r="N720" t="str">
        <f>VLOOKUP(B720,'[2]TABULADOR ok'!$A$2:$I$424,8,FALSE)</f>
        <v>S01895</v>
      </c>
      <c r="O720">
        <f>VLOOKUP(B720,'[2]TABULADOR ok'!$A$2:$I$424,9,FALSE)</f>
        <v>95</v>
      </c>
    </row>
    <row r="721" spans="1:15" x14ac:dyDescent="0.25">
      <c r="A721" s="7">
        <v>2012</v>
      </c>
      <c r="B721" s="8" t="s">
        <v>58</v>
      </c>
      <c r="C721" s="8" t="s">
        <v>59</v>
      </c>
      <c r="D721" s="8" t="s">
        <v>47</v>
      </c>
      <c r="E721" s="9" t="s">
        <v>60</v>
      </c>
      <c r="F721" s="10">
        <v>7621.15</v>
      </c>
      <c r="G721" s="10">
        <v>0</v>
      </c>
      <c r="H721" s="10">
        <v>621</v>
      </c>
      <c r="I721" s="10">
        <v>40</v>
      </c>
      <c r="J721" s="10">
        <v>161</v>
      </c>
      <c r="K721" s="6">
        <f t="shared" si="13"/>
        <v>8443.15</v>
      </c>
      <c r="M721" t="str">
        <f>VLOOKUP(B721,'[2]TABULADOR ok'!$A$2:$I$424,7,FALSE)</f>
        <v>T4</v>
      </c>
      <c r="N721" t="str">
        <f>VLOOKUP(B721,'[2]TABULADOR ok'!$A$2:$I$424,8,FALSE)</f>
        <v>S03834</v>
      </c>
      <c r="O721">
        <f>VLOOKUP(B721,'[2]TABULADOR ok'!$A$2:$I$424,9,FALSE)</f>
        <v>95</v>
      </c>
    </row>
    <row r="722" spans="1:15" x14ac:dyDescent="0.25">
      <c r="A722" s="7">
        <v>2012</v>
      </c>
      <c r="B722" s="8" t="s">
        <v>61</v>
      </c>
      <c r="C722" s="8" t="s">
        <v>62</v>
      </c>
      <c r="D722" s="8" t="s">
        <v>47</v>
      </c>
      <c r="E722" s="9" t="s">
        <v>63</v>
      </c>
      <c r="F722" s="10">
        <v>7621.15</v>
      </c>
      <c r="G722" s="10">
        <v>0</v>
      </c>
      <c r="H722" s="10">
        <v>621</v>
      </c>
      <c r="I722" s="10">
        <v>40</v>
      </c>
      <c r="J722" s="10">
        <v>161</v>
      </c>
      <c r="K722" s="6">
        <f t="shared" si="13"/>
        <v>8443.15</v>
      </c>
      <c r="M722" t="str">
        <f>VLOOKUP(B722,'[2]TABULADOR ok'!$A$2:$I$424,7,FALSE)</f>
        <v>T4</v>
      </c>
      <c r="N722" t="str">
        <f>VLOOKUP(B722,'[2]TABULADOR ok'!$A$2:$I$424,8,FALSE)</f>
        <v>S12020</v>
      </c>
      <c r="O722">
        <f>VLOOKUP(B722,'[2]TABULADOR ok'!$A$2:$I$424,9,FALSE)</f>
        <v>95</v>
      </c>
    </row>
    <row r="723" spans="1:15" x14ac:dyDescent="0.25">
      <c r="A723" s="7">
        <v>2012</v>
      </c>
      <c r="B723" s="8" t="s">
        <v>64</v>
      </c>
      <c r="C723" s="8" t="s">
        <v>65</v>
      </c>
      <c r="D723" s="8" t="s">
        <v>47</v>
      </c>
      <c r="E723" s="9" t="s">
        <v>66</v>
      </c>
      <c r="F723" s="10">
        <v>7621.15</v>
      </c>
      <c r="G723" s="10">
        <v>0</v>
      </c>
      <c r="H723" s="10">
        <v>621</v>
      </c>
      <c r="I723" s="10">
        <v>40</v>
      </c>
      <c r="J723" s="10">
        <v>161</v>
      </c>
      <c r="K723" s="6">
        <f t="shared" si="13"/>
        <v>8443.15</v>
      </c>
      <c r="M723" t="str">
        <f>VLOOKUP(B723,'[2]TABULADOR ok'!$A$2:$I$424,7,FALSE)</f>
        <v>T4</v>
      </c>
      <c r="N723" t="str">
        <f>VLOOKUP(B723,'[2]TABULADOR ok'!$A$2:$I$424,8,FALSE)</f>
        <v>S12092</v>
      </c>
      <c r="O723">
        <f>VLOOKUP(B723,'[2]TABULADOR ok'!$A$2:$I$424,9,FALSE)</f>
        <v>95</v>
      </c>
    </row>
    <row r="724" spans="1:15" x14ac:dyDescent="0.25">
      <c r="A724" s="7">
        <v>2012</v>
      </c>
      <c r="B724" s="8" t="s">
        <v>67</v>
      </c>
      <c r="C724" s="8" t="s">
        <v>68</v>
      </c>
      <c r="D724" s="8" t="s">
        <v>47</v>
      </c>
      <c r="E724" s="9" t="s">
        <v>69</v>
      </c>
      <c r="F724" s="10">
        <v>7621.15</v>
      </c>
      <c r="G724" s="10">
        <v>0</v>
      </c>
      <c r="H724" s="10">
        <v>621</v>
      </c>
      <c r="I724" s="10">
        <v>40</v>
      </c>
      <c r="J724" s="10">
        <v>161</v>
      </c>
      <c r="K724" s="6">
        <f t="shared" si="13"/>
        <v>8443.15</v>
      </c>
      <c r="M724" t="str">
        <f>VLOOKUP(B724,'[2]TABULADOR ok'!$A$2:$I$424,7,FALSE)</f>
        <v>T4</v>
      </c>
      <c r="N724" t="str">
        <f>VLOOKUP(B724,'[2]TABULADOR ok'!$A$2:$I$424,8,FALSE)</f>
        <v>S12093</v>
      </c>
      <c r="O724">
        <f>VLOOKUP(B724,'[2]TABULADOR ok'!$A$2:$I$424,9,FALSE)</f>
        <v>95</v>
      </c>
    </row>
    <row r="725" spans="1:15" x14ac:dyDescent="0.25">
      <c r="A725" s="7">
        <v>2012</v>
      </c>
      <c r="B725" s="8" t="s">
        <v>70</v>
      </c>
      <c r="C725" s="8" t="s">
        <v>71</v>
      </c>
      <c r="D725" s="8" t="s">
        <v>47</v>
      </c>
      <c r="E725" s="9" t="s">
        <v>72</v>
      </c>
      <c r="F725" s="10">
        <v>7621.15</v>
      </c>
      <c r="G725" s="10">
        <v>0</v>
      </c>
      <c r="H725" s="10">
        <v>621</v>
      </c>
      <c r="I725" s="10">
        <v>40</v>
      </c>
      <c r="J725" s="10">
        <v>161</v>
      </c>
      <c r="K725" s="6">
        <f t="shared" si="13"/>
        <v>8443.15</v>
      </c>
      <c r="M725" t="str">
        <f>VLOOKUP(B725,'[2]TABULADOR ok'!$A$2:$I$424,7,FALSE)</f>
        <v>T4</v>
      </c>
      <c r="N725" t="str">
        <f>VLOOKUP(B725,'[2]TABULADOR ok'!$A$2:$I$424,8,FALSE)</f>
        <v>S12096</v>
      </c>
      <c r="O725">
        <f>VLOOKUP(B725,'[2]TABULADOR ok'!$A$2:$I$424,9,FALSE)</f>
        <v>95</v>
      </c>
    </row>
    <row r="726" spans="1:15" x14ac:dyDescent="0.25">
      <c r="A726" s="7">
        <v>2012</v>
      </c>
      <c r="B726" s="8" t="s">
        <v>73</v>
      </c>
      <c r="C726" s="8" t="s">
        <v>74</v>
      </c>
      <c r="D726" s="8" t="s">
        <v>47</v>
      </c>
      <c r="E726" s="9" t="s">
        <v>75</v>
      </c>
      <c r="F726" s="10">
        <v>7621.15</v>
      </c>
      <c r="G726" s="10">
        <v>0</v>
      </c>
      <c r="H726" s="10">
        <v>621</v>
      </c>
      <c r="I726" s="10">
        <v>40</v>
      </c>
      <c r="J726" s="10">
        <v>161</v>
      </c>
      <c r="K726" s="6">
        <f t="shared" si="13"/>
        <v>8443.15</v>
      </c>
      <c r="M726" t="str">
        <f>VLOOKUP(B726,'[2]TABULADOR ok'!$A$2:$I$424,7,FALSE)</f>
        <v>T4</v>
      </c>
      <c r="N726" t="str">
        <f>VLOOKUP(B726,'[2]TABULADOR ok'!$A$2:$I$424,8,FALSE)</f>
        <v>S12097</v>
      </c>
      <c r="O726">
        <f>VLOOKUP(B726,'[2]TABULADOR ok'!$A$2:$I$424,9,FALSE)</f>
        <v>95</v>
      </c>
    </row>
    <row r="727" spans="1:15" x14ac:dyDescent="0.25">
      <c r="A727" s="7">
        <v>2012</v>
      </c>
      <c r="B727" s="8" t="s">
        <v>76</v>
      </c>
      <c r="C727" s="8" t="s">
        <v>77</v>
      </c>
      <c r="D727" s="8" t="s">
        <v>47</v>
      </c>
      <c r="E727" s="9" t="s">
        <v>78</v>
      </c>
      <c r="F727" s="10">
        <v>7621.15</v>
      </c>
      <c r="G727" s="10">
        <v>0</v>
      </c>
      <c r="H727" s="10">
        <v>621</v>
      </c>
      <c r="I727" s="10">
        <v>40</v>
      </c>
      <c r="J727" s="10">
        <v>161</v>
      </c>
      <c r="K727" s="6">
        <f t="shared" si="13"/>
        <v>8443.15</v>
      </c>
      <c r="M727" t="str">
        <f>VLOOKUP(B727,'[2]TABULADOR ok'!$A$2:$I$424,7,FALSE)</f>
        <v>T4</v>
      </c>
      <c r="N727" t="str">
        <f>VLOOKUP(B727,'[2]TABULADOR ok'!$A$2:$I$424,8,FALSE)</f>
        <v>S12098</v>
      </c>
      <c r="O727">
        <f>VLOOKUP(B727,'[2]TABULADOR ok'!$A$2:$I$424,9,FALSE)</f>
        <v>95</v>
      </c>
    </row>
    <row r="728" spans="1:15" x14ac:dyDescent="0.25">
      <c r="A728" s="7">
        <v>2012</v>
      </c>
      <c r="B728" s="8" t="s">
        <v>79</v>
      </c>
      <c r="C728" s="8" t="s">
        <v>80</v>
      </c>
      <c r="D728" s="8" t="s">
        <v>47</v>
      </c>
      <c r="E728" s="9" t="s">
        <v>81</v>
      </c>
      <c r="F728" s="10">
        <v>7621.15</v>
      </c>
      <c r="G728" s="10">
        <v>0</v>
      </c>
      <c r="H728" s="10">
        <v>621</v>
      </c>
      <c r="I728" s="10">
        <v>40</v>
      </c>
      <c r="J728" s="10">
        <v>161</v>
      </c>
      <c r="K728" s="6">
        <f t="shared" si="13"/>
        <v>8443.15</v>
      </c>
      <c r="M728" t="str">
        <f>VLOOKUP(B728,'[2]TABULADOR ok'!$A$2:$I$424,7,FALSE)</f>
        <v>T4</v>
      </c>
      <c r="N728" t="str">
        <f>VLOOKUP(B728,'[2]TABULADOR ok'!$A$2:$I$424,8,FALSE)</f>
        <v>T06824</v>
      </c>
      <c r="O728">
        <f>VLOOKUP(B728,'[2]TABULADOR ok'!$A$2:$I$424,9,FALSE)</f>
        <v>95</v>
      </c>
    </row>
    <row r="729" spans="1:15" x14ac:dyDescent="0.25">
      <c r="A729" s="7">
        <v>2012</v>
      </c>
      <c r="B729" s="8" t="s">
        <v>82</v>
      </c>
      <c r="C729" s="8" t="s">
        <v>83</v>
      </c>
      <c r="D729" s="8" t="s">
        <v>84</v>
      </c>
      <c r="E729" s="9" t="s">
        <v>85</v>
      </c>
      <c r="F729" s="10">
        <v>8386.85</v>
      </c>
      <c r="G729" s="10">
        <v>0</v>
      </c>
      <c r="H729" s="10">
        <v>621</v>
      </c>
      <c r="I729" s="10">
        <v>40</v>
      </c>
      <c r="J729" s="10">
        <v>161</v>
      </c>
      <c r="K729" s="6">
        <f t="shared" si="13"/>
        <v>9208.85</v>
      </c>
      <c r="M729" t="str">
        <f>VLOOKUP(B729,'[2]TABULADOR ok'!$A$2:$I$424,7,FALSE)</f>
        <v>T5</v>
      </c>
      <c r="N729" t="str">
        <f>VLOOKUP(B729,'[2]TABULADOR ok'!$A$2:$I$424,8,FALSE)</f>
        <v>A01038</v>
      </c>
      <c r="O729">
        <f>VLOOKUP(B729,'[2]TABULADOR ok'!$A$2:$I$424,9,FALSE)</f>
        <v>95</v>
      </c>
    </row>
    <row r="730" spans="1:15" x14ac:dyDescent="0.25">
      <c r="A730" s="7">
        <v>2012</v>
      </c>
      <c r="B730" s="8" t="s">
        <v>86</v>
      </c>
      <c r="C730" s="8" t="s">
        <v>87</v>
      </c>
      <c r="D730" s="8" t="s">
        <v>84</v>
      </c>
      <c r="E730" s="9" t="s">
        <v>88</v>
      </c>
      <c r="F730" s="10">
        <v>8386.85</v>
      </c>
      <c r="G730" s="10">
        <v>0</v>
      </c>
      <c r="H730" s="10">
        <v>621</v>
      </c>
      <c r="I730" s="10">
        <v>40</v>
      </c>
      <c r="J730" s="10">
        <v>161</v>
      </c>
      <c r="K730" s="6">
        <f t="shared" si="13"/>
        <v>9208.85</v>
      </c>
      <c r="M730" t="str">
        <f>VLOOKUP(B730,'[2]TABULADOR ok'!$A$2:$I$424,7,FALSE)</f>
        <v>T5</v>
      </c>
      <c r="N730" t="str">
        <f>VLOOKUP(B730,'[2]TABULADOR ok'!$A$2:$I$424,8,FALSE)</f>
        <v>A03840</v>
      </c>
      <c r="O730">
        <f>VLOOKUP(B730,'[2]TABULADOR ok'!$A$2:$I$424,9,FALSE)</f>
        <v>95</v>
      </c>
    </row>
    <row r="731" spans="1:15" x14ac:dyDescent="0.25">
      <c r="A731" s="7">
        <v>2012</v>
      </c>
      <c r="B731" s="8" t="s">
        <v>89</v>
      </c>
      <c r="C731" s="8" t="s">
        <v>90</v>
      </c>
      <c r="D731" s="8" t="s">
        <v>84</v>
      </c>
      <c r="E731" s="9" t="s">
        <v>91</v>
      </c>
      <c r="F731" s="10">
        <v>8386.85</v>
      </c>
      <c r="G731" s="10">
        <v>0</v>
      </c>
      <c r="H731" s="10">
        <v>621</v>
      </c>
      <c r="I731" s="10">
        <v>40</v>
      </c>
      <c r="J731" s="10">
        <v>161</v>
      </c>
      <c r="K731" s="6">
        <f t="shared" si="13"/>
        <v>9208.85</v>
      </c>
      <c r="M731" t="str">
        <f>VLOOKUP(B731,'[2]TABULADOR ok'!$A$2:$I$424,7,FALSE)</f>
        <v>T5</v>
      </c>
      <c r="N731" t="str">
        <f>VLOOKUP(B731,'[2]TABULADOR ok'!$A$2:$I$424,8,FALSE)</f>
        <v>A05011</v>
      </c>
      <c r="O731">
        <f>VLOOKUP(B731,'[2]TABULADOR ok'!$A$2:$I$424,9,FALSE)</f>
        <v>95</v>
      </c>
    </row>
    <row r="732" spans="1:15" x14ac:dyDescent="0.25">
      <c r="A732" s="7">
        <v>2012</v>
      </c>
      <c r="B732" s="8" t="s">
        <v>92</v>
      </c>
      <c r="C732" s="8" t="s">
        <v>93</v>
      </c>
      <c r="D732" s="8" t="s">
        <v>84</v>
      </c>
      <c r="E732" s="9" t="s">
        <v>94</v>
      </c>
      <c r="F732" s="10">
        <v>8386.85</v>
      </c>
      <c r="G732" s="10">
        <v>0</v>
      </c>
      <c r="H732" s="10">
        <v>621</v>
      </c>
      <c r="I732" s="10">
        <v>40</v>
      </c>
      <c r="J732" s="10">
        <v>161</v>
      </c>
      <c r="K732" s="6">
        <f t="shared" si="13"/>
        <v>9208.85</v>
      </c>
      <c r="M732" t="str">
        <f>VLOOKUP(B732,'[2]TABULADOR ok'!$A$2:$I$424,7,FALSE)</f>
        <v>T5</v>
      </c>
      <c r="N732" t="str">
        <f>VLOOKUP(B732,'[2]TABULADOR ok'!$A$2:$I$424,8,FALSE)</f>
        <v>S01892</v>
      </c>
      <c r="O732">
        <f>VLOOKUP(B732,'[2]TABULADOR ok'!$A$2:$I$424,9,FALSE)</f>
        <v>95</v>
      </c>
    </row>
    <row r="733" spans="1:15" x14ac:dyDescent="0.25">
      <c r="A733" s="7">
        <v>2012</v>
      </c>
      <c r="B733" s="8" t="s">
        <v>95</v>
      </c>
      <c r="C733" s="8" t="s">
        <v>96</v>
      </c>
      <c r="D733" s="8" t="s">
        <v>84</v>
      </c>
      <c r="E733" s="9" t="s">
        <v>97</v>
      </c>
      <c r="F733" s="10">
        <v>8386.85</v>
      </c>
      <c r="G733" s="10">
        <v>0</v>
      </c>
      <c r="H733" s="10">
        <v>621</v>
      </c>
      <c r="I733" s="10">
        <v>40</v>
      </c>
      <c r="J733" s="10">
        <v>161</v>
      </c>
      <c r="K733" s="6">
        <f t="shared" si="13"/>
        <v>9208.85</v>
      </c>
      <c r="M733" t="str">
        <f>VLOOKUP(B733,'[2]TABULADOR ok'!$A$2:$I$424,7,FALSE)</f>
        <v>T5</v>
      </c>
      <c r="N733" t="str">
        <f>VLOOKUP(B733,'[2]TABULADOR ok'!$A$2:$I$424,8,FALSE)</f>
        <v>S01896</v>
      </c>
      <c r="O733">
        <f>VLOOKUP(B733,'[2]TABULADOR ok'!$A$2:$I$424,9,FALSE)</f>
        <v>95</v>
      </c>
    </row>
    <row r="734" spans="1:15" x14ac:dyDescent="0.25">
      <c r="A734" s="7">
        <v>2012</v>
      </c>
      <c r="B734" s="8" t="s">
        <v>98</v>
      </c>
      <c r="C734" s="8" t="s">
        <v>99</v>
      </c>
      <c r="D734" s="8" t="s">
        <v>84</v>
      </c>
      <c r="E734" s="9" t="s">
        <v>100</v>
      </c>
      <c r="F734" s="10">
        <v>8386.85</v>
      </c>
      <c r="G734" s="10">
        <v>0</v>
      </c>
      <c r="H734" s="10">
        <v>621</v>
      </c>
      <c r="I734" s="10">
        <v>40</v>
      </c>
      <c r="J734" s="10">
        <v>161</v>
      </c>
      <c r="K734" s="6">
        <f t="shared" si="13"/>
        <v>9208.85</v>
      </c>
      <c r="M734" t="str">
        <f>VLOOKUP(B734,'[2]TABULADOR ok'!$A$2:$I$424,7,FALSE)</f>
        <v>T5</v>
      </c>
      <c r="N734" t="str">
        <f>VLOOKUP(B734,'[2]TABULADOR ok'!$A$2:$I$424,8,FALSE)</f>
        <v>S12011</v>
      </c>
      <c r="O734">
        <f>VLOOKUP(B734,'[2]TABULADOR ok'!$A$2:$I$424,9,FALSE)</f>
        <v>95</v>
      </c>
    </row>
    <row r="735" spans="1:15" x14ac:dyDescent="0.25">
      <c r="A735" s="7">
        <v>2012</v>
      </c>
      <c r="B735" s="8" t="s">
        <v>101</v>
      </c>
      <c r="C735" s="8" t="s">
        <v>102</v>
      </c>
      <c r="D735" s="8" t="s">
        <v>84</v>
      </c>
      <c r="E735" s="9" t="s">
        <v>103</v>
      </c>
      <c r="F735" s="10">
        <v>8386.85</v>
      </c>
      <c r="G735" s="10">
        <v>0</v>
      </c>
      <c r="H735" s="10">
        <v>621</v>
      </c>
      <c r="I735" s="10">
        <v>40</v>
      </c>
      <c r="J735" s="10">
        <v>161</v>
      </c>
      <c r="K735" s="6">
        <f t="shared" si="13"/>
        <v>9208.85</v>
      </c>
      <c r="M735" t="str">
        <f>VLOOKUP(B735,'[2]TABULADOR ok'!$A$2:$I$424,7,FALSE)</f>
        <v>T5</v>
      </c>
      <c r="N735" t="str">
        <f>VLOOKUP(B735,'[2]TABULADOR ok'!$A$2:$I$424,8,FALSE)</f>
        <v>S12094</v>
      </c>
      <c r="O735">
        <f>VLOOKUP(B735,'[2]TABULADOR ok'!$A$2:$I$424,9,FALSE)</f>
        <v>95</v>
      </c>
    </row>
    <row r="736" spans="1:15" x14ac:dyDescent="0.25">
      <c r="A736" s="7">
        <v>2012</v>
      </c>
      <c r="B736" s="8" t="s">
        <v>104</v>
      </c>
      <c r="C736" s="8" t="s">
        <v>105</v>
      </c>
      <c r="D736" s="8" t="s">
        <v>84</v>
      </c>
      <c r="E736" s="9" t="s">
        <v>106</v>
      </c>
      <c r="F736" s="10">
        <v>8386.85</v>
      </c>
      <c r="G736" s="10">
        <v>0</v>
      </c>
      <c r="H736" s="10">
        <v>621</v>
      </c>
      <c r="I736" s="10">
        <v>40</v>
      </c>
      <c r="J736" s="10">
        <v>161</v>
      </c>
      <c r="K736" s="6">
        <f t="shared" si="13"/>
        <v>9208.85</v>
      </c>
      <c r="M736" t="str">
        <f>VLOOKUP(B736,'[2]TABULADOR ok'!$A$2:$I$424,7,FALSE)</f>
        <v>T5</v>
      </c>
      <c r="N736" t="str">
        <f>VLOOKUP(B736,'[2]TABULADOR ok'!$A$2:$I$424,8,FALSE)</f>
        <v>T03853</v>
      </c>
      <c r="O736">
        <f>VLOOKUP(B736,'[2]TABULADOR ok'!$A$2:$I$424,9,FALSE)</f>
        <v>95</v>
      </c>
    </row>
    <row r="737" spans="1:15" x14ac:dyDescent="0.25">
      <c r="A737" s="7">
        <v>2012</v>
      </c>
      <c r="B737" s="8" t="s">
        <v>107</v>
      </c>
      <c r="C737" s="8" t="s">
        <v>108</v>
      </c>
      <c r="D737" s="8" t="s">
        <v>84</v>
      </c>
      <c r="E737" s="9" t="s">
        <v>109</v>
      </c>
      <c r="F737" s="10">
        <v>8386.85</v>
      </c>
      <c r="G737" s="10">
        <v>0</v>
      </c>
      <c r="H737" s="10">
        <v>621</v>
      </c>
      <c r="I737" s="10">
        <v>40</v>
      </c>
      <c r="J737" s="10">
        <v>161</v>
      </c>
      <c r="K737" s="6">
        <f t="shared" si="13"/>
        <v>9208.85</v>
      </c>
      <c r="M737" t="str">
        <f>VLOOKUP(B737,'[2]TABULADOR ok'!$A$2:$I$424,7,FALSE)</f>
        <v>T5</v>
      </c>
      <c r="N737" t="str">
        <f>VLOOKUP(B737,'[2]TABULADOR ok'!$A$2:$I$424,8,FALSE)</f>
        <v>T13818</v>
      </c>
      <c r="O737">
        <f>VLOOKUP(B737,'[2]TABULADOR ok'!$A$2:$I$424,9,FALSE)</f>
        <v>95</v>
      </c>
    </row>
    <row r="738" spans="1:15" x14ac:dyDescent="0.25">
      <c r="A738" s="7">
        <v>2012</v>
      </c>
      <c r="B738" s="8" t="s">
        <v>110</v>
      </c>
      <c r="C738" s="8" t="s">
        <v>111</v>
      </c>
      <c r="D738" s="8" t="s">
        <v>84</v>
      </c>
      <c r="E738" s="9" t="s">
        <v>112</v>
      </c>
      <c r="F738" s="10">
        <v>9330.65</v>
      </c>
      <c r="G738" s="10">
        <v>0</v>
      </c>
      <c r="H738" s="10">
        <v>621</v>
      </c>
      <c r="I738" s="10">
        <v>40</v>
      </c>
      <c r="J738" s="10">
        <v>161</v>
      </c>
      <c r="K738" s="6">
        <f t="shared" si="13"/>
        <v>10152.65</v>
      </c>
      <c r="M738" t="str">
        <f>VLOOKUP(B738,'[2]TABULADOR ok'!$A$2:$I$424,7,FALSE)</f>
        <v>T5</v>
      </c>
      <c r="N738" t="str">
        <f>VLOOKUP(B738,'[2]TABULADOR ok'!$A$2:$I$424,8,FALSE)</f>
        <v>T14034</v>
      </c>
      <c r="O738">
        <f>VLOOKUP(B738,'[2]TABULADOR ok'!$A$2:$I$424,9,FALSE)</f>
        <v>95</v>
      </c>
    </row>
    <row r="739" spans="1:15" x14ac:dyDescent="0.25">
      <c r="A739" s="7">
        <v>2012</v>
      </c>
      <c r="B739" s="8" t="s">
        <v>113</v>
      </c>
      <c r="C739" s="8" t="s">
        <v>114</v>
      </c>
      <c r="D739" s="8" t="s">
        <v>115</v>
      </c>
      <c r="E739" s="9" t="s">
        <v>116</v>
      </c>
      <c r="F739" s="10">
        <v>9330.65</v>
      </c>
      <c r="G739" s="10">
        <v>0</v>
      </c>
      <c r="H739" s="10">
        <v>621</v>
      </c>
      <c r="I739" s="10">
        <v>40</v>
      </c>
      <c r="J739" s="10">
        <v>161</v>
      </c>
      <c r="K739" s="6">
        <f t="shared" si="13"/>
        <v>10152.65</v>
      </c>
      <c r="M739" t="str">
        <f>VLOOKUP(B739,'[2]TABULADOR ok'!$A$2:$I$424,7,FALSE)</f>
        <v>T6</v>
      </c>
      <c r="N739" t="str">
        <f>VLOOKUP(B739,'[2]TABULADOR ok'!$A$2:$I$424,8,FALSE)</f>
        <v>A03839</v>
      </c>
      <c r="O739">
        <f>VLOOKUP(B739,'[2]TABULADOR ok'!$A$2:$I$424,9,FALSE)</f>
        <v>95</v>
      </c>
    </row>
    <row r="740" spans="1:15" x14ac:dyDescent="0.25">
      <c r="A740" s="7">
        <v>2012</v>
      </c>
      <c r="B740" s="8" t="s">
        <v>117</v>
      </c>
      <c r="C740" s="8" t="s">
        <v>118</v>
      </c>
      <c r="D740" s="8" t="s">
        <v>115</v>
      </c>
      <c r="E740" s="9" t="s">
        <v>119</v>
      </c>
      <c r="F740" s="10">
        <v>9330.65</v>
      </c>
      <c r="G740" s="10">
        <v>0</v>
      </c>
      <c r="H740" s="10">
        <v>621</v>
      </c>
      <c r="I740" s="10">
        <v>40</v>
      </c>
      <c r="J740" s="10">
        <v>161</v>
      </c>
      <c r="K740" s="6">
        <f t="shared" si="13"/>
        <v>10152.65</v>
      </c>
      <c r="M740" t="str">
        <f>VLOOKUP(B740,'[2]TABULADOR ok'!$A$2:$I$424,7,FALSE)</f>
        <v>T6</v>
      </c>
      <c r="N740" t="str">
        <f>VLOOKUP(B740,'[2]TABULADOR ok'!$A$2:$I$424,8,FALSE)</f>
        <v>P07027</v>
      </c>
      <c r="O740">
        <f>VLOOKUP(B740,'[2]TABULADOR ok'!$A$2:$I$424,9,FALSE)</f>
        <v>95</v>
      </c>
    </row>
    <row r="741" spans="1:15" x14ac:dyDescent="0.25">
      <c r="A741" s="7">
        <v>2012</v>
      </c>
      <c r="B741" s="8" t="s">
        <v>120</v>
      </c>
      <c r="C741" s="8" t="s">
        <v>121</v>
      </c>
      <c r="D741" s="8" t="s">
        <v>115</v>
      </c>
      <c r="E741" s="9" t="s">
        <v>122</v>
      </c>
      <c r="F741" s="10">
        <v>9330.65</v>
      </c>
      <c r="G741" s="10">
        <v>0</v>
      </c>
      <c r="H741" s="10">
        <v>621</v>
      </c>
      <c r="I741" s="10">
        <v>40</v>
      </c>
      <c r="J741" s="10">
        <v>161</v>
      </c>
      <c r="K741" s="6">
        <f t="shared" si="13"/>
        <v>10152.65</v>
      </c>
      <c r="M741" t="str">
        <f>VLOOKUP(B741,'[2]TABULADOR ok'!$A$2:$I$424,7,FALSE)</f>
        <v>T6</v>
      </c>
      <c r="N741" t="str">
        <f>VLOOKUP(B741,'[2]TABULADOR ok'!$A$2:$I$424,8,FALSE)</f>
        <v>S03830</v>
      </c>
      <c r="O741">
        <f>VLOOKUP(B741,'[2]TABULADOR ok'!$A$2:$I$424,9,FALSE)</f>
        <v>95</v>
      </c>
    </row>
    <row r="742" spans="1:15" x14ac:dyDescent="0.25">
      <c r="A742" s="7">
        <v>2012</v>
      </c>
      <c r="B742" s="8" t="s">
        <v>123</v>
      </c>
      <c r="C742" s="8" t="s">
        <v>124</v>
      </c>
      <c r="D742" s="8" t="s">
        <v>115</v>
      </c>
      <c r="E742" s="9" t="s">
        <v>125</v>
      </c>
      <c r="F742" s="10">
        <v>9330.65</v>
      </c>
      <c r="G742" s="10">
        <v>0</v>
      </c>
      <c r="H742" s="10">
        <v>621</v>
      </c>
      <c r="I742" s="10">
        <v>40</v>
      </c>
      <c r="J742" s="10">
        <v>161</v>
      </c>
      <c r="K742" s="6">
        <f t="shared" si="13"/>
        <v>10152.65</v>
      </c>
      <c r="M742" t="str">
        <f>VLOOKUP(B742,'[2]TABULADOR ok'!$A$2:$I$424,7,FALSE)</f>
        <v>T6</v>
      </c>
      <c r="N742" t="str">
        <f>VLOOKUP(B742,'[2]TABULADOR ok'!$A$2:$I$424,8,FALSE)</f>
        <v>S03831</v>
      </c>
      <c r="O742">
        <f>VLOOKUP(B742,'[2]TABULADOR ok'!$A$2:$I$424,9,FALSE)</f>
        <v>95</v>
      </c>
    </row>
    <row r="743" spans="1:15" x14ac:dyDescent="0.25">
      <c r="A743" s="7">
        <v>2012</v>
      </c>
      <c r="B743" s="8" t="s">
        <v>126</v>
      </c>
      <c r="C743" s="8" t="s">
        <v>127</v>
      </c>
      <c r="D743" s="8" t="s">
        <v>115</v>
      </c>
      <c r="E743" s="9" t="s">
        <v>128</v>
      </c>
      <c r="F743" s="10">
        <v>9330.65</v>
      </c>
      <c r="G743" s="10">
        <v>0</v>
      </c>
      <c r="H743" s="10">
        <v>621</v>
      </c>
      <c r="I743" s="10">
        <v>40</v>
      </c>
      <c r="J743" s="10">
        <v>161</v>
      </c>
      <c r="K743" s="6">
        <f t="shared" si="13"/>
        <v>10152.65</v>
      </c>
      <c r="M743" t="str">
        <f>VLOOKUP(B743,'[2]TABULADOR ok'!$A$2:$I$424,7,FALSE)</f>
        <v>T6</v>
      </c>
      <c r="N743" t="str">
        <f>VLOOKUP(B743,'[2]TABULADOR ok'!$A$2:$I$424,8,FALSE)</f>
        <v>S09807</v>
      </c>
      <c r="O743">
        <f>VLOOKUP(B743,'[2]TABULADOR ok'!$A$2:$I$424,9,FALSE)</f>
        <v>95</v>
      </c>
    </row>
    <row r="744" spans="1:15" x14ac:dyDescent="0.25">
      <c r="A744" s="7">
        <v>2012</v>
      </c>
      <c r="B744" s="8" t="s">
        <v>129</v>
      </c>
      <c r="C744" s="8" t="s">
        <v>130</v>
      </c>
      <c r="D744" s="8" t="s">
        <v>115</v>
      </c>
      <c r="E744" s="9" t="s">
        <v>131</v>
      </c>
      <c r="F744" s="10">
        <v>9330.65</v>
      </c>
      <c r="G744" s="10">
        <v>0</v>
      </c>
      <c r="H744" s="10">
        <v>621</v>
      </c>
      <c r="I744" s="10">
        <v>40</v>
      </c>
      <c r="J744" s="10">
        <v>161</v>
      </c>
      <c r="K744" s="6">
        <f t="shared" si="13"/>
        <v>10152.65</v>
      </c>
      <c r="M744" t="str">
        <f>VLOOKUP(B744,'[2]TABULADOR ok'!$A$2:$I$424,7,FALSE)</f>
        <v>T6</v>
      </c>
      <c r="N744" t="str">
        <f>VLOOKUP(B744,'[2]TABULADOR ok'!$A$2:$I$424,8,FALSE)</f>
        <v>T06823</v>
      </c>
      <c r="O744">
        <f>VLOOKUP(B744,'[2]TABULADOR ok'!$A$2:$I$424,9,FALSE)</f>
        <v>95</v>
      </c>
    </row>
    <row r="745" spans="1:15" x14ac:dyDescent="0.25">
      <c r="A745" s="7">
        <v>2012</v>
      </c>
      <c r="B745" s="8" t="s">
        <v>132</v>
      </c>
      <c r="C745" s="8" t="s">
        <v>133</v>
      </c>
      <c r="D745" s="8" t="s">
        <v>115</v>
      </c>
      <c r="E745" s="9" t="s">
        <v>134</v>
      </c>
      <c r="F745" s="10">
        <v>9330.65</v>
      </c>
      <c r="G745" s="10">
        <v>0</v>
      </c>
      <c r="H745" s="10">
        <v>621</v>
      </c>
      <c r="I745" s="10">
        <v>40</v>
      </c>
      <c r="J745" s="10">
        <v>161</v>
      </c>
      <c r="K745" s="6">
        <f t="shared" si="13"/>
        <v>10152.65</v>
      </c>
      <c r="M745" t="str">
        <f>VLOOKUP(B745,'[2]TABULADOR ok'!$A$2:$I$424,7,FALSE)</f>
        <v>T6</v>
      </c>
      <c r="N745" t="str">
        <f>VLOOKUP(B745,'[2]TABULADOR ok'!$A$2:$I$424,8,FALSE)</f>
        <v>T08813</v>
      </c>
      <c r="O745">
        <f>VLOOKUP(B745,'[2]TABULADOR ok'!$A$2:$I$424,9,FALSE)</f>
        <v>95</v>
      </c>
    </row>
    <row r="746" spans="1:15" x14ac:dyDescent="0.25">
      <c r="A746" s="7">
        <v>2012</v>
      </c>
      <c r="B746" s="8" t="s">
        <v>135</v>
      </c>
      <c r="C746" s="8" t="s">
        <v>136</v>
      </c>
      <c r="D746" s="8" t="s">
        <v>137</v>
      </c>
      <c r="E746" s="9" t="s">
        <v>138</v>
      </c>
      <c r="F746" s="10">
        <v>10244.549999999999</v>
      </c>
      <c r="G746" s="10">
        <v>0</v>
      </c>
      <c r="H746" s="10">
        <v>621</v>
      </c>
      <c r="I746" s="10">
        <v>40</v>
      </c>
      <c r="J746" s="10">
        <v>161</v>
      </c>
      <c r="K746" s="6">
        <f t="shared" si="13"/>
        <v>11066.55</v>
      </c>
      <c r="M746" t="str">
        <f>VLOOKUP(B746,'[2]TABULADOR ok'!$A$2:$I$424,7,FALSE)</f>
        <v>T7</v>
      </c>
      <c r="N746" t="str">
        <f>VLOOKUP(B746,'[2]TABULADOR ok'!$A$2:$I$424,8,FALSE)</f>
        <v>A01037</v>
      </c>
      <c r="O746">
        <f>VLOOKUP(B746,'[2]TABULADOR ok'!$A$2:$I$424,9,FALSE)</f>
        <v>95</v>
      </c>
    </row>
    <row r="747" spans="1:15" x14ac:dyDescent="0.25">
      <c r="A747" s="7">
        <v>2012</v>
      </c>
      <c r="B747" s="8" t="s">
        <v>139</v>
      </c>
      <c r="C747" s="8" t="s">
        <v>140</v>
      </c>
      <c r="D747" s="8" t="s">
        <v>137</v>
      </c>
      <c r="E747" s="9" t="s">
        <v>141</v>
      </c>
      <c r="F747" s="10">
        <v>10244.549999999999</v>
      </c>
      <c r="G747" s="10">
        <v>0</v>
      </c>
      <c r="H747" s="10">
        <v>621</v>
      </c>
      <c r="I747" s="10">
        <v>40</v>
      </c>
      <c r="J747" s="10">
        <v>161</v>
      </c>
      <c r="K747" s="6">
        <f t="shared" si="13"/>
        <v>11066.55</v>
      </c>
      <c r="M747" t="str">
        <f>VLOOKUP(B747,'[2]TABULADOR ok'!$A$2:$I$424,7,FALSE)</f>
        <v>T7</v>
      </c>
      <c r="N747" t="str">
        <f>VLOOKUP(B747,'[2]TABULADOR ok'!$A$2:$I$424,8,FALSE)</f>
        <v>A02815</v>
      </c>
      <c r="O747">
        <f>VLOOKUP(B747,'[2]TABULADOR ok'!$A$2:$I$424,9,FALSE)</f>
        <v>95</v>
      </c>
    </row>
    <row r="748" spans="1:15" x14ac:dyDescent="0.25">
      <c r="A748" s="7">
        <v>2012</v>
      </c>
      <c r="B748" s="8" t="s">
        <v>142</v>
      </c>
      <c r="C748" s="8" t="s">
        <v>143</v>
      </c>
      <c r="D748" s="8" t="s">
        <v>137</v>
      </c>
      <c r="E748" s="9" t="s">
        <v>144</v>
      </c>
      <c r="F748" s="10">
        <v>10244.549999999999</v>
      </c>
      <c r="G748" s="10">
        <v>0</v>
      </c>
      <c r="H748" s="10">
        <v>621</v>
      </c>
      <c r="I748" s="10">
        <v>40</v>
      </c>
      <c r="J748" s="10">
        <v>161</v>
      </c>
      <c r="K748" s="6">
        <f t="shared" si="13"/>
        <v>11066.55</v>
      </c>
      <c r="M748" t="str">
        <f>VLOOKUP(B748,'[2]TABULADOR ok'!$A$2:$I$424,7,FALSE)</f>
        <v>T7</v>
      </c>
      <c r="N748" t="str">
        <f>VLOOKUP(B748,'[2]TABULADOR ok'!$A$2:$I$424,8,FALSE)</f>
        <v>C01817</v>
      </c>
      <c r="O748">
        <f>VLOOKUP(B748,'[2]TABULADOR ok'!$A$2:$I$424,9,FALSE)</f>
        <v>95</v>
      </c>
    </row>
    <row r="749" spans="1:15" x14ac:dyDescent="0.25">
      <c r="A749" s="7">
        <v>2012</v>
      </c>
      <c r="B749" s="8" t="s">
        <v>145</v>
      </c>
      <c r="C749" s="8" t="s">
        <v>146</v>
      </c>
      <c r="D749" s="8" t="s">
        <v>137</v>
      </c>
      <c r="E749" s="9" t="s">
        <v>147</v>
      </c>
      <c r="F749" s="10">
        <v>10244.549999999999</v>
      </c>
      <c r="G749" s="10">
        <v>0</v>
      </c>
      <c r="H749" s="10">
        <v>621</v>
      </c>
      <c r="I749" s="10">
        <v>40</v>
      </c>
      <c r="J749" s="10">
        <v>161</v>
      </c>
      <c r="K749" s="6">
        <f t="shared" si="13"/>
        <v>11066.55</v>
      </c>
      <c r="M749" t="str">
        <f>VLOOKUP(B749,'[2]TABULADOR ok'!$A$2:$I$424,7,FALSE)</f>
        <v>T7</v>
      </c>
      <c r="N749" t="str">
        <f>VLOOKUP(B749,'[2]TABULADOR ok'!$A$2:$I$424,8,FALSE)</f>
        <v>P07026</v>
      </c>
      <c r="O749">
        <f>VLOOKUP(B749,'[2]TABULADOR ok'!$A$2:$I$424,9,FALSE)</f>
        <v>95</v>
      </c>
    </row>
    <row r="750" spans="1:15" x14ac:dyDescent="0.25">
      <c r="A750" s="7">
        <v>2012</v>
      </c>
      <c r="B750" s="8" t="s">
        <v>148</v>
      </c>
      <c r="C750" s="8" t="s">
        <v>149</v>
      </c>
      <c r="D750" s="8" t="s">
        <v>137</v>
      </c>
      <c r="E750" s="9" t="s">
        <v>150</v>
      </c>
      <c r="F750" s="10">
        <v>10244.549999999999</v>
      </c>
      <c r="G750" s="10">
        <v>0</v>
      </c>
      <c r="H750" s="10">
        <v>621</v>
      </c>
      <c r="I750" s="10">
        <v>40</v>
      </c>
      <c r="J750" s="10">
        <v>161</v>
      </c>
      <c r="K750" s="6">
        <f t="shared" si="13"/>
        <v>11066.55</v>
      </c>
      <c r="M750" t="str">
        <f>VLOOKUP(B750,'[2]TABULADOR ok'!$A$2:$I$424,7,FALSE)</f>
        <v>T7</v>
      </c>
      <c r="N750" t="str">
        <f>VLOOKUP(B750,'[2]TABULADOR ok'!$A$2:$I$424,8,FALSE)</f>
        <v>T05822</v>
      </c>
      <c r="O750">
        <f>VLOOKUP(B750,'[2]TABULADOR ok'!$A$2:$I$424,9,FALSE)</f>
        <v>95</v>
      </c>
    </row>
    <row r="751" spans="1:15" x14ac:dyDescent="0.25">
      <c r="A751" s="7">
        <v>2012</v>
      </c>
      <c r="B751" s="8" t="s">
        <v>151</v>
      </c>
      <c r="C751" s="8" t="s">
        <v>152</v>
      </c>
      <c r="D751" s="8" t="s">
        <v>137</v>
      </c>
      <c r="E751" s="9" t="s">
        <v>153</v>
      </c>
      <c r="F751" s="10">
        <v>10244.549999999999</v>
      </c>
      <c r="G751" s="10">
        <v>0</v>
      </c>
      <c r="H751" s="10">
        <v>621</v>
      </c>
      <c r="I751" s="10">
        <v>40</v>
      </c>
      <c r="J751" s="10">
        <v>161</v>
      </c>
      <c r="K751" s="6">
        <f t="shared" si="13"/>
        <v>11066.55</v>
      </c>
      <c r="M751" t="str">
        <f>VLOOKUP(B751,'[2]TABULADOR ok'!$A$2:$I$424,7,FALSE)</f>
        <v>T7</v>
      </c>
      <c r="N751" t="str">
        <f>VLOOKUP(B751,'[2]TABULADOR ok'!$A$2:$I$424,8,FALSE)</f>
        <v>T09001</v>
      </c>
      <c r="O751">
        <f>VLOOKUP(B751,'[2]TABULADOR ok'!$A$2:$I$424,9,FALSE)</f>
        <v>95</v>
      </c>
    </row>
    <row r="752" spans="1:15" x14ac:dyDescent="0.25">
      <c r="A752" s="7">
        <v>2012</v>
      </c>
      <c r="B752" s="8" t="s">
        <v>154</v>
      </c>
      <c r="C752" s="8" t="s">
        <v>155</v>
      </c>
      <c r="D752" s="8" t="s">
        <v>137</v>
      </c>
      <c r="E752" s="9" t="s">
        <v>156</v>
      </c>
      <c r="F752" s="10">
        <v>10244.549999999999</v>
      </c>
      <c r="G752" s="10">
        <v>0</v>
      </c>
      <c r="H752" s="10">
        <v>621</v>
      </c>
      <c r="I752" s="10">
        <v>40</v>
      </c>
      <c r="J752" s="10">
        <v>161</v>
      </c>
      <c r="K752" s="6">
        <f t="shared" si="13"/>
        <v>11066.55</v>
      </c>
      <c r="M752" t="str">
        <f>VLOOKUP(B752,'[2]TABULADOR ok'!$A$2:$I$424,7,FALSE)</f>
        <v>T7</v>
      </c>
      <c r="N752" t="str">
        <f>VLOOKUP(B752,'[2]TABULADOR ok'!$A$2:$I$424,8,FALSE)</f>
        <v>T13817</v>
      </c>
      <c r="O752">
        <f>VLOOKUP(B752,'[2]TABULADOR ok'!$A$2:$I$424,9,FALSE)</f>
        <v>95</v>
      </c>
    </row>
    <row r="753" spans="1:15" x14ac:dyDescent="0.25">
      <c r="A753" s="7">
        <v>2012</v>
      </c>
      <c r="B753" s="8" t="s">
        <v>157</v>
      </c>
      <c r="C753" s="8" t="s">
        <v>158</v>
      </c>
      <c r="D753" s="8" t="s">
        <v>137</v>
      </c>
      <c r="E753" s="9" t="s">
        <v>159</v>
      </c>
      <c r="F753" s="10">
        <v>10244.549999999999</v>
      </c>
      <c r="G753" s="10">
        <v>0</v>
      </c>
      <c r="H753" s="10">
        <v>621</v>
      </c>
      <c r="I753" s="10">
        <v>40</v>
      </c>
      <c r="J753" s="10">
        <v>161</v>
      </c>
      <c r="K753" s="6">
        <f t="shared" si="13"/>
        <v>11066.55</v>
      </c>
      <c r="M753" t="str">
        <f>VLOOKUP(B753,'[2]TABULADOR ok'!$A$2:$I$424,7,FALSE)</f>
        <v>T7</v>
      </c>
      <c r="N753" t="str">
        <f>VLOOKUP(B753,'[2]TABULADOR ok'!$A$2:$I$424,8,FALSE)</f>
        <v>T14019</v>
      </c>
      <c r="O753">
        <f>VLOOKUP(B753,'[2]TABULADOR ok'!$A$2:$I$424,9,FALSE)</f>
        <v>95</v>
      </c>
    </row>
    <row r="754" spans="1:15" x14ac:dyDescent="0.25">
      <c r="A754" s="7">
        <v>2012</v>
      </c>
      <c r="B754" s="8" t="s">
        <v>160</v>
      </c>
      <c r="C754" s="8" t="s">
        <v>161</v>
      </c>
      <c r="D754" s="8" t="s">
        <v>137</v>
      </c>
      <c r="E754" s="9" t="s">
        <v>162</v>
      </c>
      <c r="F754" s="10">
        <v>10244.549999999999</v>
      </c>
      <c r="G754" s="10">
        <v>0</v>
      </c>
      <c r="H754" s="10">
        <v>621</v>
      </c>
      <c r="I754" s="10">
        <v>40</v>
      </c>
      <c r="J754" s="10">
        <v>161</v>
      </c>
      <c r="K754" s="6">
        <f t="shared" si="13"/>
        <v>11066.55</v>
      </c>
      <c r="M754" t="str">
        <f>VLOOKUP(B754,'[2]TABULADOR ok'!$A$2:$I$424,7,FALSE)</f>
        <v>T7</v>
      </c>
      <c r="N754" t="str">
        <f>VLOOKUP(B754,'[2]TABULADOR ok'!$A$2:$I$424,8,FALSE)</f>
        <v>T16817</v>
      </c>
      <c r="O754">
        <f>VLOOKUP(B754,'[2]TABULADOR ok'!$A$2:$I$424,9,FALSE)</f>
        <v>95</v>
      </c>
    </row>
    <row r="755" spans="1:15" x14ac:dyDescent="0.25">
      <c r="A755" s="7">
        <v>2012</v>
      </c>
      <c r="B755" s="8" t="s">
        <v>163</v>
      </c>
      <c r="C755" s="8" t="s">
        <v>164</v>
      </c>
      <c r="D755" s="8" t="s">
        <v>165</v>
      </c>
      <c r="E755" s="9" t="s">
        <v>166</v>
      </c>
      <c r="F755" s="10">
        <v>11319.6</v>
      </c>
      <c r="G755" s="10">
        <v>0</v>
      </c>
      <c r="H755" s="10">
        <v>621</v>
      </c>
      <c r="I755" s="10">
        <v>40</v>
      </c>
      <c r="J755" s="10">
        <v>161</v>
      </c>
      <c r="K755" s="6">
        <f t="shared" si="13"/>
        <v>12141.6</v>
      </c>
      <c r="M755" t="str">
        <f>VLOOKUP(B755,'[2]TABULADOR ok'!$A$2:$I$424,7,FALSE)</f>
        <v>T8</v>
      </c>
      <c r="N755" t="str">
        <f>VLOOKUP(B755,'[2]TABULADOR ok'!$A$2:$I$424,8,FALSE)</f>
        <v>A01036</v>
      </c>
      <c r="O755">
        <f>VLOOKUP(B755,'[2]TABULADOR ok'!$A$2:$I$424,9,FALSE)</f>
        <v>95</v>
      </c>
    </row>
    <row r="756" spans="1:15" x14ac:dyDescent="0.25">
      <c r="A756" s="7">
        <v>2012</v>
      </c>
      <c r="B756" s="8" t="s">
        <v>167</v>
      </c>
      <c r="C756" s="8" t="s">
        <v>168</v>
      </c>
      <c r="D756" s="8" t="s">
        <v>165</v>
      </c>
      <c r="E756" s="9" t="s">
        <v>169</v>
      </c>
      <c r="F756" s="10">
        <v>11319.6</v>
      </c>
      <c r="G756" s="10">
        <v>0</v>
      </c>
      <c r="H756" s="10">
        <v>621</v>
      </c>
      <c r="I756" s="10">
        <v>40</v>
      </c>
      <c r="J756" s="10">
        <v>161</v>
      </c>
      <c r="K756" s="6">
        <f t="shared" si="13"/>
        <v>12141.6</v>
      </c>
      <c r="M756" t="str">
        <f>VLOOKUP(B756,'[2]TABULADOR ok'!$A$2:$I$424,7,FALSE)</f>
        <v>T8</v>
      </c>
      <c r="N756" t="str">
        <f>VLOOKUP(B756,'[2]TABULADOR ok'!$A$2:$I$424,8,FALSE)</f>
        <v>A06009</v>
      </c>
      <c r="O756">
        <f>VLOOKUP(B756,'[2]TABULADOR ok'!$A$2:$I$424,9,FALSE)</f>
        <v>95</v>
      </c>
    </row>
    <row r="757" spans="1:15" x14ac:dyDescent="0.25">
      <c r="A757" s="7">
        <v>2012</v>
      </c>
      <c r="B757" s="8" t="s">
        <v>170</v>
      </c>
      <c r="C757" s="8" t="s">
        <v>171</v>
      </c>
      <c r="D757" s="8" t="s">
        <v>165</v>
      </c>
      <c r="E757" s="9" t="s">
        <v>172</v>
      </c>
      <c r="F757" s="10">
        <v>11319.6</v>
      </c>
      <c r="G757" s="10">
        <v>0</v>
      </c>
      <c r="H757" s="10">
        <v>621</v>
      </c>
      <c r="I757" s="10">
        <v>40</v>
      </c>
      <c r="J757" s="10">
        <v>161</v>
      </c>
      <c r="K757" s="6">
        <f t="shared" si="13"/>
        <v>12141.6</v>
      </c>
      <c r="M757" t="str">
        <f>VLOOKUP(B757,'[2]TABULADOR ok'!$A$2:$I$424,7,FALSE)</f>
        <v>T8</v>
      </c>
      <c r="N757" t="str">
        <f>VLOOKUP(B757,'[2]TABULADOR ok'!$A$2:$I$424,8,FALSE)</f>
        <v>C01818</v>
      </c>
      <c r="O757">
        <f>VLOOKUP(B757,'[2]TABULADOR ok'!$A$2:$I$424,9,FALSE)</f>
        <v>95</v>
      </c>
    </row>
    <row r="758" spans="1:15" x14ac:dyDescent="0.25">
      <c r="A758" s="7">
        <v>2012</v>
      </c>
      <c r="B758" s="8" t="s">
        <v>173</v>
      </c>
      <c r="C758" s="8" t="s">
        <v>174</v>
      </c>
      <c r="D758" s="8" t="s">
        <v>165</v>
      </c>
      <c r="E758" s="9" t="s">
        <v>175</v>
      </c>
      <c r="F758" s="10">
        <v>11319.6</v>
      </c>
      <c r="G758" s="10">
        <v>0</v>
      </c>
      <c r="H758" s="10">
        <v>621</v>
      </c>
      <c r="I758" s="10">
        <v>40</v>
      </c>
      <c r="J758" s="10">
        <v>161</v>
      </c>
      <c r="K758" s="6">
        <f t="shared" si="13"/>
        <v>12141.6</v>
      </c>
      <c r="M758" t="str">
        <f>VLOOKUP(B758,'[2]TABULADOR ok'!$A$2:$I$424,7,FALSE)</f>
        <v>T8</v>
      </c>
      <c r="N758" t="str">
        <f>VLOOKUP(B758,'[2]TABULADOR ok'!$A$2:$I$424,8,FALSE)</f>
        <v>T03854</v>
      </c>
      <c r="O758">
        <f>VLOOKUP(B758,'[2]TABULADOR ok'!$A$2:$I$424,9,FALSE)</f>
        <v>95</v>
      </c>
    </row>
    <row r="759" spans="1:15" x14ac:dyDescent="0.25">
      <c r="A759" s="7">
        <v>2012</v>
      </c>
      <c r="B759" s="8" t="s">
        <v>176</v>
      </c>
      <c r="C759" s="8" t="s">
        <v>177</v>
      </c>
      <c r="D759" s="8" t="s">
        <v>165</v>
      </c>
      <c r="E759" s="9" t="s">
        <v>178</v>
      </c>
      <c r="F759" s="10">
        <v>11319.6</v>
      </c>
      <c r="G759" s="10">
        <v>0</v>
      </c>
      <c r="H759" s="10">
        <v>621</v>
      </c>
      <c r="I759" s="10">
        <v>40</v>
      </c>
      <c r="J759" s="10">
        <v>161</v>
      </c>
      <c r="K759" s="6">
        <f t="shared" si="13"/>
        <v>12141.6</v>
      </c>
      <c r="M759" t="str">
        <f>VLOOKUP(B759,'[2]TABULADOR ok'!$A$2:$I$424,7,FALSE)</f>
        <v>T8</v>
      </c>
      <c r="N759" t="str">
        <f>VLOOKUP(B759,'[2]TABULADOR ok'!$A$2:$I$424,8,FALSE)</f>
        <v>T04875</v>
      </c>
      <c r="O759">
        <f>VLOOKUP(B759,'[2]TABULADOR ok'!$A$2:$I$424,9,FALSE)</f>
        <v>95</v>
      </c>
    </row>
    <row r="760" spans="1:15" x14ac:dyDescent="0.25">
      <c r="A760" s="7">
        <v>2012</v>
      </c>
      <c r="B760" s="8" t="s">
        <v>179</v>
      </c>
      <c r="C760" s="8" t="s">
        <v>180</v>
      </c>
      <c r="D760" s="8" t="s">
        <v>165</v>
      </c>
      <c r="E760" s="9" t="s">
        <v>181</v>
      </c>
      <c r="F760" s="10">
        <v>11319.6</v>
      </c>
      <c r="G760" s="10">
        <v>0</v>
      </c>
      <c r="H760" s="10">
        <v>621</v>
      </c>
      <c r="I760" s="10">
        <v>40</v>
      </c>
      <c r="J760" s="10">
        <v>161</v>
      </c>
      <c r="K760" s="6">
        <f t="shared" si="13"/>
        <v>12141.6</v>
      </c>
      <c r="M760" t="str">
        <f>VLOOKUP(B760,'[2]TABULADOR ok'!$A$2:$I$424,7,FALSE)</f>
        <v>T8</v>
      </c>
      <c r="N760" t="str">
        <f>VLOOKUP(B760,'[2]TABULADOR ok'!$A$2:$I$424,8,FALSE)</f>
        <v>T08812</v>
      </c>
      <c r="O760">
        <f>VLOOKUP(B760,'[2]TABULADOR ok'!$A$2:$I$424,9,FALSE)</f>
        <v>95</v>
      </c>
    </row>
    <row r="761" spans="1:15" x14ac:dyDescent="0.25">
      <c r="A761" s="7">
        <v>2012</v>
      </c>
      <c r="B761" s="8" t="s">
        <v>182</v>
      </c>
      <c r="C761" s="8" t="s">
        <v>183</v>
      </c>
      <c r="D761" s="8" t="s">
        <v>184</v>
      </c>
      <c r="E761" s="9" t="s">
        <v>185</v>
      </c>
      <c r="F761" s="10">
        <v>12657.75</v>
      </c>
      <c r="G761" s="10">
        <v>0</v>
      </c>
      <c r="H761" s="10">
        <v>621</v>
      </c>
      <c r="I761" s="10">
        <v>40</v>
      </c>
      <c r="J761" s="10">
        <v>161</v>
      </c>
      <c r="K761" s="6">
        <f t="shared" si="13"/>
        <v>13479.75</v>
      </c>
      <c r="M761" t="str">
        <f>VLOOKUP(B761,'[2]TABULADOR ok'!$A$2:$I$424,7,FALSE)</f>
        <v>T9</v>
      </c>
      <c r="N761" t="str">
        <f>VLOOKUP(B761,'[2]TABULADOR ok'!$A$2:$I$424,8,FALSE)</f>
        <v>P02809</v>
      </c>
      <c r="O761">
        <f>VLOOKUP(B761,'[2]TABULADOR ok'!$A$2:$I$424,9,FALSE)</f>
        <v>95</v>
      </c>
    </row>
    <row r="762" spans="1:15" x14ac:dyDescent="0.25">
      <c r="A762" s="7">
        <v>2012</v>
      </c>
      <c r="B762" s="8" t="s">
        <v>186</v>
      </c>
      <c r="C762" s="8" t="s">
        <v>187</v>
      </c>
      <c r="D762" s="8" t="s">
        <v>184</v>
      </c>
      <c r="E762" s="9" t="s">
        <v>188</v>
      </c>
      <c r="F762" s="10">
        <v>12657.75</v>
      </c>
      <c r="G762" s="10">
        <v>0</v>
      </c>
      <c r="H762" s="10">
        <v>621</v>
      </c>
      <c r="I762" s="10">
        <v>40</v>
      </c>
      <c r="J762" s="10">
        <v>161</v>
      </c>
      <c r="K762" s="6">
        <f t="shared" si="13"/>
        <v>13479.75</v>
      </c>
      <c r="M762" t="str">
        <f>VLOOKUP(B762,'[2]TABULADOR ok'!$A$2:$I$424,7,FALSE)</f>
        <v>T9</v>
      </c>
      <c r="N762" t="str">
        <f>VLOOKUP(B762,'[2]TABULADOR ok'!$A$2:$I$424,8,FALSE)</f>
        <v>P04806</v>
      </c>
      <c r="O762">
        <f>VLOOKUP(B762,'[2]TABULADOR ok'!$A$2:$I$424,9,FALSE)</f>
        <v>95</v>
      </c>
    </row>
    <row r="763" spans="1:15" x14ac:dyDescent="0.25">
      <c r="A763" s="7">
        <v>2012</v>
      </c>
      <c r="B763" s="8" t="s">
        <v>189</v>
      </c>
      <c r="C763" s="8" t="s">
        <v>190</v>
      </c>
      <c r="D763" s="8" t="s">
        <v>184</v>
      </c>
      <c r="E763" s="9" t="s">
        <v>191</v>
      </c>
      <c r="F763" s="10">
        <v>12657.75</v>
      </c>
      <c r="G763" s="10">
        <v>0</v>
      </c>
      <c r="H763" s="10">
        <v>621</v>
      </c>
      <c r="I763" s="10">
        <v>40</v>
      </c>
      <c r="J763" s="10">
        <v>161</v>
      </c>
      <c r="K763" s="6">
        <f t="shared" si="13"/>
        <v>13479.75</v>
      </c>
      <c r="M763" t="str">
        <f>VLOOKUP(B763,'[2]TABULADOR ok'!$A$2:$I$424,7,FALSE)</f>
        <v>T9</v>
      </c>
      <c r="N763" t="str">
        <f>VLOOKUP(B763,'[2]TABULADOR ok'!$A$2:$I$424,8,FALSE)</f>
        <v>P05808</v>
      </c>
      <c r="O763">
        <f>VLOOKUP(B763,'[2]TABULADOR ok'!$A$2:$I$424,9,FALSE)</f>
        <v>95</v>
      </c>
    </row>
    <row r="764" spans="1:15" x14ac:dyDescent="0.25">
      <c r="A764" s="7">
        <v>2012</v>
      </c>
      <c r="B764" s="8" t="s">
        <v>192</v>
      </c>
      <c r="C764" s="8" t="s">
        <v>193</v>
      </c>
      <c r="D764" s="8" t="s">
        <v>184</v>
      </c>
      <c r="E764" s="9" t="s">
        <v>194</v>
      </c>
      <c r="F764" s="10">
        <v>12657.75</v>
      </c>
      <c r="G764" s="10">
        <v>0</v>
      </c>
      <c r="H764" s="10">
        <v>621</v>
      </c>
      <c r="I764" s="10">
        <v>40</v>
      </c>
      <c r="J764" s="10">
        <v>161</v>
      </c>
      <c r="K764" s="6">
        <f t="shared" si="13"/>
        <v>13479.75</v>
      </c>
      <c r="M764" t="str">
        <f>VLOOKUP(B764,'[2]TABULADOR ok'!$A$2:$I$424,7,FALSE)</f>
        <v>T9</v>
      </c>
      <c r="N764" t="str">
        <f>VLOOKUP(B764,'[2]TABULADOR ok'!$A$2:$I$424,8,FALSE)</f>
        <v>T03850</v>
      </c>
      <c r="O764">
        <f>VLOOKUP(B764,'[2]TABULADOR ok'!$A$2:$I$424,9,FALSE)</f>
        <v>95</v>
      </c>
    </row>
    <row r="765" spans="1:15" x14ac:dyDescent="0.25">
      <c r="A765" s="7">
        <v>2012</v>
      </c>
      <c r="B765" s="8" t="s">
        <v>195</v>
      </c>
      <c r="C765" s="8" t="s">
        <v>196</v>
      </c>
      <c r="D765" s="8" t="s">
        <v>184</v>
      </c>
      <c r="E765" s="9" t="s">
        <v>197</v>
      </c>
      <c r="F765" s="10">
        <v>12657.75</v>
      </c>
      <c r="G765" s="10">
        <v>0</v>
      </c>
      <c r="H765" s="10">
        <v>621</v>
      </c>
      <c r="I765" s="10">
        <v>40</v>
      </c>
      <c r="J765" s="10">
        <v>161</v>
      </c>
      <c r="K765" s="6">
        <f t="shared" si="13"/>
        <v>13479.75</v>
      </c>
      <c r="M765" t="str">
        <f>VLOOKUP(B765,'[2]TABULADOR ok'!$A$2:$I$424,7,FALSE)</f>
        <v>T9</v>
      </c>
      <c r="N765" t="str">
        <f>VLOOKUP(B765,'[2]TABULADOR ok'!$A$2:$I$424,8,FALSE)</f>
        <v>T03851</v>
      </c>
      <c r="O765">
        <f>VLOOKUP(B765,'[2]TABULADOR ok'!$A$2:$I$424,9,FALSE)</f>
        <v>95</v>
      </c>
    </row>
    <row r="766" spans="1:15" x14ac:dyDescent="0.25">
      <c r="A766" s="7">
        <v>2012</v>
      </c>
      <c r="B766" s="8" t="s">
        <v>198</v>
      </c>
      <c r="C766" s="8" t="s">
        <v>199</v>
      </c>
      <c r="D766" s="8" t="s">
        <v>184</v>
      </c>
      <c r="E766" s="9" t="s">
        <v>200</v>
      </c>
      <c r="F766" s="10">
        <v>12657.75</v>
      </c>
      <c r="G766" s="10">
        <v>0</v>
      </c>
      <c r="H766" s="10">
        <v>621</v>
      </c>
      <c r="I766" s="10">
        <v>40</v>
      </c>
      <c r="J766" s="10">
        <v>161</v>
      </c>
      <c r="K766" s="6">
        <f t="shared" si="13"/>
        <v>13479.75</v>
      </c>
      <c r="M766" t="str">
        <f>VLOOKUP(B766,'[2]TABULADOR ok'!$A$2:$I$424,7,FALSE)</f>
        <v>T9</v>
      </c>
      <c r="N766" t="str">
        <f>VLOOKUP(B766,'[2]TABULADOR ok'!$A$2:$I$424,8,FALSE)</f>
        <v>T03855</v>
      </c>
      <c r="O766">
        <f>VLOOKUP(B766,'[2]TABULADOR ok'!$A$2:$I$424,9,FALSE)</f>
        <v>95</v>
      </c>
    </row>
    <row r="767" spans="1:15" x14ac:dyDescent="0.25">
      <c r="A767" s="7">
        <v>2012</v>
      </c>
      <c r="B767" s="8" t="s">
        <v>201</v>
      </c>
      <c r="C767" s="8" t="s">
        <v>202</v>
      </c>
      <c r="D767" s="8" t="s">
        <v>184</v>
      </c>
      <c r="E767" s="9" t="s">
        <v>203</v>
      </c>
      <c r="F767" s="10">
        <v>12657.75</v>
      </c>
      <c r="G767" s="10">
        <v>0</v>
      </c>
      <c r="H767" s="10">
        <v>621</v>
      </c>
      <c r="I767" s="10">
        <v>40</v>
      </c>
      <c r="J767" s="10">
        <v>161</v>
      </c>
      <c r="K767" s="6">
        <f t="shared" si="13"/>
        <v>13479.75</v>
      </c>
      <c r="M767" t="str">
        <f>VLOOKUP(B767,'[2]TABULADOR ok'!$A$2:$I$424,7,FALSE)</f>
        <v>T9</v>
      </c>
      <c r="N767" t="str">
        <f>VLOOKUP(B767,'[2]TABULADOR ok'!$A$2:$I$424,8,FALSE)</f>
        <v>T04873</v>
      </c>
      <c r="O767">
        <f>VLOOKUP(B767,'[2]TABULADOR ok'!$A$2:$I$424,9,FALSE)</f>
        <v>95</v>
      </c>
    </row>
    <row r="768" spans="1:15" x14ac:dyDescent="0.25">
      <c r="A768" s="7">
        <v>2012</v>
      </c>
      <c r="B768" s="8" t="s">
        <v>204</v>
      </c>
      <c r="C768" s="8" t="s">
        <v>205</v>
      </c>
      <c r="D768" s="8" t="s">
        <v>184</v>
      </c>
      <c r="E768" s="9" t="s">
        <v>206</v>
      </c>
      <c r="F768" s="10">
        <v>12657.75</v>
      </c>
      <c r="G768" s="10">
        <v>0</v>
      </c>
      <c r="H768" s="10">
        <v>621</v>
      </c>
      <c r="I768" s="10">
        <v>40</v>
      </c>
      <c r="J768" s="10">
        <v>161</v>
      </c>
      <c r="K768" s="6">
        <f t="shared" si="13"/>
        <v>13479.75</v>
      </c>
      <c r="M768" t="str">
        <f>VLOOKUP(B768,'[2]TABULADOR ok'!$A$2:$I$424,7,FALSE)</f>
        <v>T9</v>
      </c>
      <c r="N768" t="str">
        <f>VLOOKUP(B768,'[2]TABULADOR ok'!$A$2:$I$424,8,FALSE)</f>
        <v>T14007</v>
      </c>
      <c r="O768">
        <f>VLOOKUP(B768,'[2]TABULADOR ok'!$A$2:$I$424,9,FALSE)</f>
        <v>95</v>
      </c>
    </row>
    <row r="769" spans="1:15" x14ac:dyDescent="0.25">
      <c r="A769" s="7">
        <v>2012</v>
      </c>
      <c r="B769" s="8" t="s">
        <v>207</v>
      </c>
      <c r="C769" s="8" t="s">
        <v>208</v>
      </c>
      <c r="D769" s="8" t="s">
        <v>184</v>
      </c>
      <c r="E769" s="9" t="s">
        <v>209</v>
      </c>
      <c r="F769" s="10">
        <v>12657.75</v>
      </c>
      <c r="G769" s="10">
        <v>0</v>
      </c>
      <c r="H769" s="10">
        <v>621</v>
      </c>
      <c r="I769" s="10">
        <v>40</v>
      </c>
      <c r="J769" s="10">
        <v>161</v>
      </c>
      <c r="K769" s="6">
        <f t="shared" si="13"/>
        <v>13479.75</v>
      </c>
      <c r="M769" t="str">
        <f>VLOOKUP(B769,'[2]TABULADOR ok'!$A$2:$I$424,7,FALSE)</f>
        <v>T9</v>
      </c>
      <c r="N769" t="str">
        <f>VLOOKUP(B769,'[2]TABULADOR ok'!$A$2:$I$424,8,FALSE)</f>
        <v>T26806</v>
      </c>
      <c r="O769">
        <f>VLOOKUP(B769,'[2]TABULADOR ok'!$A$2:$I$424,9,FALSE)</f>
        <v>95</v>
      </c>
    </row>
    <row r="770" spans="1:15" x14ac:dyDescent="0.25">
      <c r="A770" s="4">
        <v>2011</v>
      </c>
      <c r="B770" s="11" t="s">
        <v>10</v>
      </c>
      <c r="C770" s="11" t="s">
        <v>11</v>
      </c>
      <c r="D770" s="11" t="s">
        <v>12</v>
      </c>
      <c r="E770" s="12" t="s">
        <v>13</v>
      </c>
      <c r="F770" s="5">
        <v>5935.7</v>
      </c>
      <c r="G770" s="5">
        <v>0</v>
      </c>
      <c r="H770" s="5">
        <v>621</v>
      </c>
      <c r="I770" s="5">
        <v>40</v>
      </c>
      <c r="J770" s="5">
        <v>161</v>
      </c>
      <c r="K770" s="6">
        <f>SUM(F770:J770)</f>
        <v>6757.7</v>
      </c>
      <c r="M770" t="str">
        <f>VLOOKUP(B770,'[2]TABULADOR ok'!$A$2:$I$424,7,FALSE)</f>
        <v>T1</v>
      </c>
      <c r="N770" t="str">
        <f>VLOOKUP(B770,'[2]TABULADOR ok'!$A$2:$I$424,8,FALSE)</f>
        <v>S01893</v>
      </c>
      <c r="O770">
        <f>VLOOKUP(B770,'[2]TABULADOR ok'!$A$2:$I$424,9,FALSE)</f>
        <v>95</v>
      </c>
    </row>
    <row r="771" spans="1:15" x14ac:dyDescent="0.25">
      <c r="A771" s="4">
        <v>2011</v>
      </c>
      <c r="B771" s="11" t="s">
        <v>14</v>
      </c>
      <c r="C771" s="11" t="s">
        <v>15</v>
      </c>
      <c r="D771" s="11" t="s">
        <v>16</v>
      </c>
      <c r="E771" s="12" t="s">
        <v>17</v>
      </c>
      <c r="F771" s="5">
        <v>6225.38</v>
      </c>
      <c r="G771" s="5">
        <v>0</v>
      </c>
      <c r="H771" s="5">
        <v>621</v>
      </c>
      <c r="I771" s="5">
        <v>40</v>
      </c>
      <c r="J771" s="5">
        <v>161</v>
      </c>
      <c r="K771" s="6">
        <f t="shared" ref="K771:K833" si="14">SUM(F771:J771)</f>
        <v>7047.38</v>
      </c>
      <c r="M771" t="str">
        <f>VLOOKUP(B771,'[2]TABULADOR ok'!$A$2:$I$424,7,FALSE)</f>
        <v>T2</v>
      </c>
      <c r="N771" t="str">
        <f>VLOOKUP(B771,'[2]TABULADOR ok'!$A$2:$I$424,8,FALSE)</f>
        <v>S01891</v>
      </c>
      <c r="O771">
        <f>VLOOKUP(B771,'[2]TABULADOR ok'!$A$2:$I$424,9,FALSE)</f>
        <v>95</v>
      </c>
    </row>
    <row r="772" spans="1:15" x14ac:dyDescent="0.25">
      <c r="A772" s="4">
        <v>2011</v>
      </c>
      <c r="B772" s="11" t="s">
        <v>18</v>
      </c>
      <c r="C772" s="11" t="s">
        <v>19</v>
      </c>
      <c r="D772" s="11" t="s">
        <v>16</v>
      </c>
      <c r="E772" s="12" t="s">
        <v>20</v>
      </c>
      <c r="F772" s="5">
        <v>6225.38</v>
      </c>
      <c r="G772" s="5">
        <v>0</v>
      </c>
      <c r="H772" s="5">
        <v>621</v>
      </c>
      <c r="I772" s="5">
        <v>40</v>
      </c>
      <c r="J772" s="5">
        <v>161</v>
      </c>
      <c r="K772" s="6">
        <f t="shared" si="14"/>
        <v>7047.38</v>
      </c>
      <c r="M772" t="str">
        <f>VLOOKUP(B772,'[2]TABULADOR ok'!$A$2:$I$424,7,FALSE)</f>
        <v>T2</v>
      </c>
      <c r="N772" t="str">
        <f>VLOOKUP(B772,'[2]TABULADOR ok'!$A$2:$I$424,8,FALSE)</f>
        <v>S03833</v>
      </c>
      <c r="O772">
        <f>VLOOKUP(B772,'[2]TABULADOR ok'!$A$2:$I$424,9,FALSE)</f>
        <v>95</v>
      </c>
    </row>
    <row r="773" spans="1:15" x14ac:dyDescent="0.25">
      <c r="A773" s="4">
        <v>2011</v>
      </c>
      <c r="B773" s="11" t="s">
        <v>21</v>
      </c>
      <c r="C773" s="11" t="s">
        <v>22</v>
      </c>
      <c r="D773" s="11" t="s">
        <v>16</v>
      </c>
      <c r="E773" s="12" t="s">
        <v>23</v>
      </c>
      <c r="F773" s="5">
        <v>6225.38</v>
      </c>
      <c r="G773" s="5">
        <v>0</v>
      </c>
      <c r="H773" s="5">
        <v>621</v>
      </c>
      <c r="I773" s="5">
        <v>40</v>
      </c>
      <c r="J773" s="5">
        <v>161</v>
      </c>
      <c r="K773" s="6">
        <f t="shared" si="14"/>
        <v>7047.38</v>
      </c>
      <c r="M773" t="str">
        <f>VLOOKUP(B773,'[2]TABULADOR ok'!$A$2:$I$424,7,FALSE)</f>
        <v>T2</v>
      </c>
      <c r="N773" t="str">
        <f>VLOOKUP(B773,'[2]TABULADOR ok'!$A$2:$I$424,8,FALSE)</f>
        <v>S12091</v>
      </c>
      <c r="O773">
        <f>VLOOKUP(B773,'[2]TABULADOR ok'!$A$2:$I$424,9,FALSE)</f>
        <v>95</v>
      </c>
    </row>
    <row r="774" spans="1:15" x14ac:dyDescent="0.25">
      <c r="A774" s="4">
        <v>2011</v>
      </c>
      <c r="B774" s="11" t="s">
        <v>24</v>
      </c>
      <c r="C774" s="11" t="s">
        <v>24</v>
      </c>
      <c r="D774" s="11" t="s">
        <v>25</v>
      </c>
      <c r="E774" s="12" t="s">
        <v>26</v>
      </c>
      <c r="F774" s="5">
        <v>6514.85</v>
      </c>
      <c r="G774" s="5">
        <v>0</v>
      </c>
      <c r="H774" s="5">
        <v>621</v>
      </c>
      <c r="I774" s="5">
        <v>40</v>
      </c>
      <c r="J774" s="5">
        <v>161</v>
      </c>
      <c r="K774" s="6">
        <f t="shared" si="14"/>
        <v>7336.85</v>
      </c>
      <c r="M774" t="str">
        <f>VLOOKUP(B774,'[2]TABULADOR ok'!$A$2:$I$424,7,FALSE)</f>
        <v>T3</v>
      </c>
      <c r="N774" t="str">
        <f>VLOOKUP(B774,'[2]TABULADOR ok'!$A$2:$I$424,8,FALSE)</f>
        <v>A01023</v>
      </c>
      <c r="O774">
        <f>VLOOKUP(B774,'[2]TABULADOR ok'!$A$2:$I$424,9,FALSE)</f>
        <v>95</v>
      </c>
    </row>
    <row r="775" spans="1:15" x14ac:dyDescent="0.25">
      <c r="A775" s="4">
        <v>2011</v>
      </c>
      <c r="B775" s="11" t="s">
        <v>27</v>
      </c>
      <c r="C775" s="11" t="s">
        <v>28</v>
      </c>
      <c r="D775" s="11" t="s">
        <v>25</v>
      </c>
      <c r="E775" s="12" t="s">
        <v>29</v>
      </c>
      <c r="F775" s="5">
        <v>6514.85</v>
      </c>
      <c r="G775" s="5">
        <v>0</v>
      </c>
      <c r="H775" s="5">
        <v>621</v>
      </c>
      <c r="I775" s="5">
        <v>40</v>
      </c>
      <c r="J775" s="5">
        <v>161</v>
      </c>
      <c r="K775" s="6">
        <f t="shared" si="14"/>
        <v>7336.85</v>
      </c>
      <c r="M775" t="str">
        <f>VLOOKUP(B775,'[2]TABULADOR ok'!$A$2:$I$424,7,FALSE)</f>
        <v>T3</v>
      </c>
      <c r="N775" t="str">
        <f>VLOOKUP(B775,'[2]TABULADOR ok'!$A$2:$I$424,8,FALSE)</f>
        <v>A01040</v>
      </c>
      <c r="O775">
        <f>VLOOKUP(B775,'[2]TABULADOR ok'!$A$2:$I$424,9,FALSE)</f>
        <v>95</v>
      </c>
    </row>
    <row r="776" spans="1:15" x14ac:dyDescent="0.25">
      <c r="A776" s="4">
        <v>2011</v>
      </c>
      <c r="B776" s="11" t="s">
        <v>30</v>
      </c>
      <c r="C776" s="11" t="s">
        <v>31</v>
      </c>
      <c r="D776" s="11" t="s">
        <v>25</v>
      </c>
      <c r="E776" s="12" t="s">
        <v>32</v>
      </c>
      <c r="F776" s="5">
        <v>6514.85</v>
      </c>
      <c r="G776" s="5">
        <v>0</v>
      </c>
      <c r="H776" s="5">
        <v>621</v>
      </c>
      <c r="I776" s="5">
        <v>40</v>
      </c>
      <c r="J776" s="5">
        <v>161</v>
      </c>
      <c r="K776" s="6">
        <f t="shared" si="14"/>
        <v>7336.85</v>
      </c>
      <c r="M776" t="str">
        <f>VLOOKUP(B776,'[2]TABULADOR ok'!$A$2:$I$424,7,FALSE)</f>
        <v>T3</v>
      </c>
      <c r="N776" t="str">
        <f>VLOOKUP(B776,'[2]TABULADOR ok'!$A$2:$I$424,8,FALSE)</f>
        <v>A02813</v>
      </c>
      <c r="O776">
        <f>VLOOKUP(B776,'[2]TABULADOR ok'!$A$2:$I$424,9,FALSE)</f>
        <v>95</v>
      </c>
    </row>
    <row r="777" spans="1:15" x14ac:dyDescent="0.25">
      <c r="A777" s="4">
        <v>2011</v>
      </c>
      <c r="B777" s="11" t="s">
        <v>33</v>
      </c>
      <c r="C777" s="11" t="s">
        <v>34</v>
      </c>
      <c r="D777" s="11" t="s">
        <v>25</v>
      </c>
      <c r="E777" s="12" t="s">
        <v>35</v>
      </c>
      <c r="F777" s="5">
        <v>6514.85</v>
      </c>
      <c r="G777" s="5">
        <v>0</v>
      </c>
      <c r="H777" s="5">
        <v>621</v>
      </c>
      <c r="I777" s="5">
        <v>40</v>
      </c>
      <c r="J777" s="5">
        <v>161</v>
      </c>
      <c r="K777" s="6">
        <f t="shared" si="14"/>
        <v>7336.85</v>
      </c>
      <c r="M777" t="str">
        <f>VLOOKUP(B777,'[2]TABULADOR ok'!$A$2:$I$424,7,FALSE)</f>
        <v>T3</v>
      </c>
      <c r="N777" t="str">
        <f>VLOOKUP(B777,'[2]TABULADOR ok'!$A$2:$I$424,8,FALSE)</f>
        <v>A03832</v>
      </c>
      <c r="O777">
        <f>VLOOKUP(B777,'[2]TABULADOR ok'!$A$2:$I$424,9,FALSE)</f>
        <v>95</v>
      </c>
    </row>
    <row r="778" spans="1:15" x14ac:dyDescent="0.25">
      <c r="A778" s="4">
        <v>2011</v>
      </c>
      <c r="B778" s="11" t="s">
        <v>36</v>
      </c>
      <c r="C778" s="11" t="s">
        <v>37</v>
      </c>
      <c r="D778" s="11" t="s">
        <v>25</v>
      </c>
      <c r="E778" s="12" t="s">
        <v>38</v>
      </c>
      <c r="F778" s="5">
        <v>6514.85</v>
      </c>
      <c r="G778" s="5">
        <v>0</v>
      </c>
      <c r="H778" s="5">
        <v>621</v>
      </c>
      <c r="I778" s="5">
        <v>40</v>
      </c>
      <c r="J778" s="5">
        <v>161</v>
      </c>
      <c r="K778" s="6">
        <f t="shared" si="14"/>
        <v>7336.85</v>
      </c>
      <c r="M778" t="str">
        <f>VLOOKUP(B778,'[2]TABULADOR ok'!$A$2:$I$424,7,FALSE)</f>
        <v>T3</v>
      </c>
      <c r="N778" t="str">
        <f>VLOOKUP(B778,'[2]TABULADOR ok'!$A$2:$I$424,8,FALSE)</f>
        <v>A05012</v>
      </c>
      <c r="O778">
        <f>VLOOKUP(B778,'[2]TABULADOR ok'!$A$2:$I$424,9,FALSE)</f>
        <v>95</v>
      </c>
    </row>
    <row r="779" spans="1:15" x14ac:dyDescent="0.25">
      <c r="A779" s="4">
        <v>2011</v>
      </c>
      <c r="B779" s="11" t="s">
        <v>39</v>
      </c>
      <c r="C779" s="11" t="s">
        <v>40</v>
      </c>
      <c r="D779" s="11" t="s">
        <v>25</v>
      </c>
      <c r="E779" s="12" t="s">
        <v>41</v>
      </c>
      <c r="F779" s="5">
        <v>6514.85</v>
      </c>
      <c r="G779" s="5">
        <v>0</v>
      </c>
      <c r="H779" s="5">
        <v>621</v>
      </c>
      <c r="I779" s="5">
        <v>40</v>
      </c>
      <c r="J779" s="5">
        <v>161</v>
      </c>
      <c r="K779" s="6">
        <f t="shared" si="14"/>
        <v>7336.85</v>
      </c>
      <c r="M779" t="str">
        <f>VLOOKUP(B779,'[2]TABULADOR ok'!$A$2:$I$424,7,FALSE)</f>
        <v>T3</v>
      </c>
      <c r="N779" t="str">
        <f>VLOOKUP(B779,'[2]TABULADOR ok'!$A$2:$I$424,8,FALSE)</f>
        <v>S01890</v>
      </c>
      <c r="O779">
        <f>VLOOKUP(B779,'[2]TABULADOR ok'!$A$2:$I$424,9,FALSE)</f>
        <v>95</v>
      </c>
    </row>
    <row r="780" spans="1:15" x14ac:dyDescent="0.25">
      <c r="A780" s="4">
        <v>2011</v>
      </c>
      <c r="B780" s="11" t="s">
        <v>42</v>
      </c>
      <c r="C780" s="11" t="s">
        <v>43</v>
      </c>
      <c r="D780" s="11" t="s">
        <v>25</v>
      </c>
      <c r="E780" s="12" t="s">
        <v>44</v>
      </c>
      <c r="F780" s="5">
        <v>6514.85</v>
      </c>
      <c r="G780" s="5">
        <v>0</v>
      </c>
      <c r="H780" s="5">
        <v>621</v>
      </c>
      <c r="I780" s="5">
        <v>40</v>
      </c>
      <c r="J780" s="5">
        <v>161</v>
      </c>
      <c r="K780" s="6">
        <f t="shared" si="14"/>
        <v>7336.85</v>
      </c>
      <c r="M780" t="str">
        <f>VLOOKUP(B780,'[2]TABULADOR ok'!$A$2:$I$424,7,FALSE)</f>
        <v>T3</v>
      </c>
      <c r="N780" t="str">
        <f>VLOOKUP(B780,'[2]TABULADOR ok'!$A$2:$I$424,8,FALSE)</f>
        <v>S01894</v>
      </c>
      <c r="O780">
        <f>VLOOKUP(B780,'[2]TABULADOR ok'!$A$2:$I$424,9,FALSE)</f>
        <v>95</v>
      </c>
    </row>
    <row r="781" spans="1:15" x14ac:dyDescent="0.25">
      <c r="A781" s="4">
        <v>2011</v>
      </c>
      <c r="B781" s="11" t="s">
        <v>45</v>
      </c>
      <c r="C781" s="11" t="s">
        <v>46</v>
      </c>
      <c r="D781" s="11" t="s">
        <v>47</v>
      </c>
      <c r="E781" s="12" t="s">
        <v>48</v>
      </c>
      <c r="F781" s="5">
        <v>7151.39</v>
      </c>
      <c r="G781" s="5">
        <v>0</v>
      </c>
      <c r="H781" s="5">
        <v>621</v>
      </c>
      <c r="I781" s="5">
        <v>40</v>
      </c>
      <c r="J781" s="5">
        <v>161</v>
      </c>
      <c r="K781" s="6">
        <f t="shared" si="14"/>
        <v>7973.39</v>
      </c>
      <c r="M781" t="str">
        <f>VLOOKUP(B781,'[2]TABULADOR ok'!$A$2:$I$424,7,FALSE)</f>
        <v>T4</v>
      </c>
      <c r="N781" t="str">
        <f>VLOOKUP(B781,'[2]TABULADOR ok'!$A$2:$I$424,8,FALSE)</f>
        <v>A03841</v>
      </c>
      <c r="O781">
        <f>VLOOKUP(B781,'[2]TABULADOR ok'!$A$2:$I$424,9,FALSE)</f>
        <v>95</v>
      </c>
    </row>
    <row r="782" spans="1:15" x14ac:dyDescent="0.25">
      <c r="A782" s="4">
        <v>2011</v>
      </c>
      <c r="B782" s="11" t="s">
        <v>49</v>
      </c>
      <c r="C782" s="11" t="s">
        <v>50</v>
      </c>
      <c r="D782" s="11" t="s">
        <v>47</v>
      </c>
      <c r="E782" s="12" t="s">
        <v>51</v>
      </c>
      <c r="F782" s="5">
        <v>7151.39</v>
      </c>
      <c r="G782" s="5">
        <v>0</v>
      </c>
      <c r="H782" s="5">
        <v>621</v>
      </c>
      <c r="I782" s="5">
        <v>40</v>
      </c>
      <c r="J782" s="5">
        <v>161</v>
      </c>
      <c r="K782" s="6">
        <f t="shared" si="14"/>
        <v>7973.39</v>
      </c>
      <c r="M782" t="str">
        <f>VLOOKUP(B782,'[2]TABULADOR ok'!$A$2:$I$424,7,FALSE)</f>
        <v>T4</v>
      </c>
      <c r="N782" t="str">
        <f>VLOOKUP(B782,'[2]TABULADOR ok'!$A$2:$I$424,8,FALSE)</f>
        <v>C02810</v>
      </c>
      <c r="O782">
        <f>VLOOKUP(B782,'[2]TABULADOR ok'!$A$2:$I$424,9,FALSE)</f>
        <v>95</v>
      </c>
    </row>
    <row r="783" spans="1:15" x14ac:dyDescent="0.25">
      <c r="A783" s="4">
        <v>2011</v>
      </c>
      <c r="B783" s="11" t="s">
        <v>52</v>
      </c>
      <c r="C783" s="11" t="s">
        <v>53</v>
      </c>
      <c r="D783" s="11" t="s">
        <v>47</v>
      </c>
      <c r="E783" s="12" t="s">
        <v>54</v>
      </c>
      <c r="F783" s="5">
        <v>7151.39</v>
      </c>
      <c r="G783" s="5">
        <v>0</v>
      </c>
      <c r="H783" s="5">
        <v>621</v>
      </c>
      <c r="I783" s="5">
        <v>40</v>
      </c>
      <c r="J783" s="5">
        <v>161</v>
      </c>
      <c r="K783" s="6">
        <f t="shared" si="14"/>
        <v>7973.39</v>
      </c>
      <c r="M783" t="str">
        <f>VLOOKUP(B783,'[2]TABULADOR ok'!$A$2:$I$424,7,FALSE)</f>
        <v>T4</v>
      </c>
      <c r="N783" t="str">
        <f>VLOOKUP(B783,'[2]TABULADOR ok'!$A$2:$I$424,8,FALSE)</f>
        <v>S01889</v>
      </c>
      <c r="O783">
        <f>VLOOKUP(B783,'[2]TABULADOR ok'!$A$2:$I$424,9,FALSE)</f>
        <v>95</v>
      </c>
    </row>
    <row r="784" spans="1:15" x14ac:dyDescent="0.25">
      <c r="A784" s="4">
        <v>2011</v>
      </c>
      <c r="B784" s="11" t="s">
        <v>55</v>
      </c>
      <c r="C784" s="11" t="s">
        <v>56</v>
      </c>
      <c r="D784" s="11" t="s">
        <v>47</v>
      </c>
      <c r="E784" s="12" t="s">
        <v>57</v>
      </c>
      <c r="F784" s="5">
        <v>7151.39</v>
      </c>
      <c r="G784" s="5">
        <v>0</v>
      </c>
      <c r="H784" s="5">
        <v>621</v>
      </c>
      <c r="I784" s="5">
        <v>40</v>
      </c>
      <c r="J784" s="5">
        <v>161</v>
      </c>
      <c r="K784" s="6">
        <f t="shared" si="14"/>
        <v>7973.39</v>
      </c>
      <c r="M784" t="str">
        <f>VLOOKUP(B784,'[2]TABULADOR ok'!$A$2:$I$424,7,FALSE)</f>
        <v>T4</v>
      </c>
      <c r="N784" t="str">
        <f>VLOOKUP(B784,'[2]TABULADOR ok'!$A$2:$I$424,8,FALSE)</f>
        <v>S01895</v>
      </c>
      <c r="O784">
        <f>VLOOKUP(B784,'[2]TABULADOR ok'!$A$2:$I$424,9,FALSE)</f>
        <v>95</v>
      </c>
    </row>
    <row r="785" spans="1:15" x14ac:dyDescent="0.25">
      <c r="A785" s="4">
        <v>2011</v>
      </c>
      <c r="B785" s="11" t="s">
        <v>58</v>
      </c>
      <c r="C785" s="11" t="s">
        <v>59</v>
      </c>
      <c r="D785" s="11" t="s">
        <v>47</v>
      </c>
      <c r="E785" s="12" t="s">
        <v>60</v>
      </c>
      <c r="F785" s="5">
        <v>7151.39</v>
      </c>
      <c r="G785" s="5">
        <v>0</v>
      </c>
      <c r="H785" s="5">
        <v>621</v>
      </c>
      <c r="I785" s="5">
        <v>40</v>
      </c>
      <c r="J785" s="5">
        <v>161</v>
      </c>
      <c r="K785" s="6">
        <f t="shared" si="14"/>
        <v>7973.39</v>
      </c>
      <c r="M785" t="str">
        <f>VLOOKUP(B785,'[2]TABULADOR ok'!$A$2:$I$424,7,FALSE)</f>
        <v>T4</v>
      </c>
      <c r="N785" t="str">
        <f>VLOOKUP(B785,'[2]TABULADOR ok'!$A$2:$I$424,8,FALSE)</f>
        <v>S03834</v>
      </c>
      <c r="O785">
        <f>VLOOKUP(B785,'[2]TABULADOR ok'!$A$2:$I$424,9,FALSE)</f>
        <v>95</v>
      </c>
    </row>
    <row r="786" spans="1:15" x14ac:dyDescent="0.25">
      <c r="A786" s="4">
        <v>2011</v>
      </c>
      <c r="B786" s="11" t="s">
        <v>61</v>
      </c>
      <c r="C786" s="11" t="s">
        <v>62</v>
      </c>
      <c r="D786" s="11" t="s">
        <v>47</v>
      </c>
      <c r="E786" s="12" t="s">
        <v>63</v>
      </c>
      <c r="F786" s="5">
        <v>7151.39</v>
      </c>
      <c r="G786" s="5">
        <v>0</v>
      </c>
      <c r="H786" s="5">
        <v>621</v>
      </c>
      <c r="I786" s="5">
        <v>40</v>
      </c>
      <c r="J786" s="5">
        <v>161</v>
      </c>
      <c r="K786" s="6">
        <f t="shared" si="14"/>
        <v>7973.39</v>
      </c>
      <c r="M786" t="str">
        <f>VLOOKUP(B786,'[2]TABULADOR ok'!$A$2:$I$424,7,FALSE)</f>
        <v>T4</v>
      </c>
      <c r="N786" t="str">
        <f>VLOOKUP(B786,'[2]TABULADOR ok'!$A$2:$I$424,8,FALSE)</f>
        <v>S12020</v>
      </c>
      <c r="O786">
        <f>VLOOKUP(B786,'[2]TABULADOR ok'!$A$2:$I$424,9,FALSE)</f>
        <v>95</v>
      </c>
    </row>
    <row r="787" spans="1:15" x14ac:dyDescent="0.25">
      <c r="A787" s="4">
        <v>2011</v>
      </c>
      <c r="B787" s="11" t="s">
        <v>64</v>
      </c>
      <c r="C787" s="11" t="s">
        <v>65</v>
      </c>
      <c r="D787" s="11" t="s">
        <v>47</v>
      </c>
      <c r="E787" s="12" t="s">
        <v>66</v>
      </c>
      <c r="F787" s="5">
        <v>7151.39</v>
      </c>
      <c r="G787" s="5">
        <v>0</v>
      </c>
      <c r="H787" s="5">
        <v>621</v>
      </c>
      <c r="I787" s="5">
        <v>40</v>
      </c>
      <c r="J787" s="5">
        <v>161</v>
      </c>
      <c r="K787" s="6">
        <f t="shared" si="14"/>
        <v>7973.39</v>
      </c>
      <c r="M787" t="str">
        <f>VLOOKUP(B787,'[2]TABULADOR ok'!$A$2:$I$424,7,FALSE)</f>
        <v>T4</v>
      </c>
      <c r="N787" t="str">
        <f>VLOOKUP(B787,'[2]TABULADOR ok'!$A$2:$I$424,8,FALSE)</f>
        <v>S12092</v>
      </c>
      <c r="O787">
        <f>VLOOKUP(B787,'[2]TABULADOR ok'!$A$2:$I$424,9,FALSE)</f>
        <v>95</v>
      </c>
    </row>
    <row r="788" spans="1:15" x14ac:dyDescent="0.25">
      <c r="A788" s="4">
        <v>2011</v>
      </c>
      <c r="B788" s="11" t="s">
        <v>67</v>
      </c>
      <c r="C788" s="11" t="s">
        <v>68</v>
      </c>
      <c r="D788" s="11" t="s">
        <v>47</v>
      </c>
      <c r="E788" s="12" t="s">
        <v>69</v>
      </c>
      <c r="F788" s="5">
        <v>7151.39</v>
      </c>
      <c r="G788" s="5">
        <v>0</v>
      </c>
      <c r="H788" s="5">
        <v>621</v>
      </c>
      <c r="I788" s="5">
        <v>40</v>
      </c>
      <c r="J788" s="5">
        <v>161</v>
      </c>
      <c r="K788" s="6">
        <f t="shared" si="14"/>
        <v>7973.39</v>
      </c>
      <c r="M788" t="str">
        <f>VLOOKUP(B788,'[2]TABULADOR ok'!$A$2:$I$424,7,FALSE)</f>
        <v>T4</v>
      </c>
      <c r="N788" t="str">
        <f>VLOOKUP(B788,'[2]TABULADOR ok'!$A$2:$I$424,8,FALSE)</f>
        <v>S12093</v>
      </c>
      <c r="O788">
        <f>VLOOKUP(B788,'[2]TABULADOR ok'!$A$2:$I$424,9,FALSE)</f>
        <v>95</v>
      </c>
    </row>
    <row r="789" spans="1:15" x14ac:dyDescent="0.25">
      <c r="A789" s="4">
        <v>2011</v>
      </c>
      <c r="B789" s="11" t="s">
        <v>70</v>
      </c>
      <c r="C789" s="11" t="s">
        <v>71</v>
      </c>
      <c r="D789" s="11" t="s">
        <v>47</v>
      </c>
      <c r="E789" s="12" t="s">
        <v>72</v>
      </c>
      <c r="F789" s="5">
        <v>7151.39</v>
      </c>
      <c r="G789" s="5">
        <v>0</v>
      </c>
      <c r="H789" s="5">
        <v>621</v>
      </c>
      <c r="I789" s="5">
        <v>40</v>
      </c>
      <c r="J789" s="5">
        <v>161</v>
      </c>
      <c r="K789" s="6">
        <f t="shared" si="14"/>
        <v>7973.39</v>
      </c>
      <c r="M789" t="str">
        <f>VLOOKUP(B789,'[2]TABULADOR ok'!$A$2:$I$424,7,FALSE)</f>
        <v>T4</v>
      </c>
      <c r="N789" t="str">
        <f>VLOOKUP(B789,'[2]TABULADOR ok'!$A$2:$I$424,8,FALSE)</f>
        <v>S12096</v>
      </c>
      <c r="O789">
        <f>VLOOKUP(B789,'[2]TABULADOR ok'!$A$2:$I$424,9,FALSE)</f>
        <v>95</v>
      </c>
    </row>
    <row r="790" spans="1:15" x14ac:dyDescent="0.25">
      <c r="A790" s="4">
        <v>2011</v>
      </c>
      <c r="B790" s="11" t="s">
        <v>73</v>
      </c>
      <c r="C790" s="11" t="s">
        <v>74</v>
      </c>
      <c r="D790" s="11" t="s">
        <v>47</v>
      </c>
      <c r="E790" s="12" t="s">
        <v>75</v>
      </c>
      <c r="F790" s="5">
        <v>7151.39</v>
      </c>
      <c r="G790" s="5">
        <v>0</v>
      </c>
      <c r="H790" s="5">
        <v>621</v>
      </c>
      <c r="I790" s="5">
        <v>40</v>
      </c>
      <c r="J790" s="5">
        <v>161</v>
      </c>
      <c r="K790" s="6">
        <f t="shared" si="14"/>
        <v>7973.39</v>
      </c>
      <c r="M790" t="str">
        <f>VLOOKUP(B790,'[2]TABULADOR ok'!$A$2:$I$424,7,FALSE)</f>
        <v>T4</v>
      </c>
      <c r="N790" t="str">
        <f>VLOOKUP(B790,'[2]TABULADOR ok'!$A$2:$I$424,8,FALSE)</f>
        <v>S12097</v>
      </c>
      <c r="O790">
        <f>VLOOKUP(B790,'[2]TABULADOR ok'!$A$2:$I$424,9,FALSE)</f>
        <v>95</v>
      </c>
    </row>
    <row r="791" spans="1:15" x14ac:dyDescent="0.25">
      <c r="A791" s="4">
        <v>2011</v>
      </c>
      <c r="B791" s="11" t="s">
        <v>76</v>
      </c>
      <c r="C791" s="11" t="s">
        <v>77</v>
      </c>
      <c r="D791" s="11" t="s">
        <v>47</v>
      </c>
      <c r="E791" s="12" t="s">
        <v>78</v>
      </c>
      <c r="F791" s="5">
        <v>7151.39</v>
      </c>
      <c r="G791" s="5">
        <v>0</v>
      </c>
      <c r="H791" s="5">
        <v>621</v>
      </c>
      <c r="I791" s="5">
        <v>40</v>
      </c>
      <c r="J791" s="5">
        <v>161</v>
      </c>
      <c r="K791" s="6">
        <f t="shared" si="14"/>
        <v>7973.39</v>
      </c>
      <c r="M791" t="str">
        <f>VLOOKUP(B791,'[2]TABULADOR ok'!$A$2:$I$424,7,FALSE)</f>
        <v>T4</v>
      </c>
      <c r="N791" t="str">
        <f>VLOOKUP(B791,'[2]TABULADOR ok'!$A$2:$I$424,8,FALSE)</f>
        <v>S12098</v>
      </c>
      <c r="O791">
        <f>VLOOKUP(B791,'[2]TABULADOR ok'!$A$2:$I$424,9,FALSE)</f>
        <v>95</v>
      </c>
    </row>
    <row r="792" spans="1:15" x14ac:dyDescent="0.25">
      <c r="A792" s="4">
        <v>2011</v>
      </c>
      <c r="B792" s="11" t="s">
        <v>79</v>
      </c>
      <c r="C792" s="11" t="s">
        <v>80</v>
      </c>
      <c r="D792" s="11" t="s">
        <v>47</v>
      </c>
      <c r="E792" s="12" t="s">
        <v>81</v>
      </c>
      <c r="F792" s="5">
        <v>7151.39</v>
      </c>
      <c r="G792" s="5">
        <v>0</v>
      </c>
      <c r="H792" s="5">
        <v>621</v>
      </c>
      <c r="I792" s="5">
        <v>40</v>
      </c>
      <c r="J792" s="5">
        <v>161</v>
      </c>
      <c r="K792" s="6">
        <f t="shared" si="14"/>
        <v>7973.39</v>
      </c>
      <c r="M792" t="str">
        <f>VLOOKUP(B792,'[2]TABULADOR ok'!$A$2:$I$424,7,FALSE)</f>
        <v>T4</v>
      </c>
      <c r="N792" t="str">
        <f>VLOOKUP(B792,'[2]TABULADOR ok'!$A$2:$I$424,8,FALSE)</f>
        <v>T06824</v>
      </c>
      <c r="O792">
        <f>VLOOKUP(B792,'[2]TABULADOR ok'!$A$2:$I$424,9,FALSE)</f>
        <v>95</v>
      </c>
    </row>
    <row r="793" spans="1:15" x14ac:dyDescent="0.25">
      <c r="A793" s="4">
        <v>2011</v>
      </c>
      <c r="B793" s="11" t="s">
        <v>82</v>
      </c>
      <c r="C793" s="11" t="s">
        <v>83</v>
      </c>
      <c r="D793" s="11" t="s">
        <v>84</v>
      </c>
      <c r="E793" s="12" t="s">
        <v>85</v>
      </c>
      <c r="F793" s="5">
        <v>7945.6</v>
      </c>
      <c r="G793" s="5">
        <v>0</v>
      </c>
      <c r="H793" s="5">
        <v>621</v>
      </c>
      <c r="I793" s="5">
        <v>40</v>
      </c>
      <c r="J793" s="5">
        <v>161</v>
      </c>
      <c r="K793" s="6">
        <f t="shared" si="14"/>
        <v>8767.6</v>
      </c>
      <c r="M793" t="str">
        <f>VLOOKUP(B793,'[2]TABULADOR ok'!$A$2:$I$424,7,FALSE)</f>
        <v>T5</v>
      </c>
      <c r="N793" t="str">
        <f>VLOOKUP(B793,'[2]TABULADOR ok'!$A$2:$I$424,8,FALSE)</f>
        <v>A01038</v>
      </c>
      <c r="O793">
        <f>VLOOKUP(B793,'[2]TABULADOR ok'!$A$2:$I$424,9,FALSE)</f>
        <v>95</v>
      </c>
    </row>
    <row r="794" spans="1:15" x14ac:dyDescent="0.25">
      <c r="A794" s="4">
        <v>2011</v>
      </c>
      <c r="B794" s="11" t="s">
        <v>86</v>
      </c>
      <c r="C794" s="11" t="s">
        <v>87</v>
      </c>
      <c r="D794" s="11" t="s">
        <v>84</v>
      </c>
      <c r="E794" s="12" t="s">
        <v>88</v>
      </c>
      <c r="F794" s="5">
        <v>7945.6</v>
      </c>
      <c r="G794" s="5">
        <v>0</v>
      </c>
      <c r="H794" s="5">
        <v>621</v>
      </c>
      <c r="I794" s="5">
        <v>40</v>
      </c>
      <c r="J794" s="5">
        <v>161</v>
      </c>
      <c r="K794" s="6">
        <f t="shared" si="14"/>
        <v>8767.6</v>
      </c>
      <c r="M794" t="str">
        <f>VLOOKUP(B794,'[2]TABULADOR ok'!$A$2:$I$424,7,FALSE)</f>
        <v>T5</v>
      </c>
      <c r="N794" t="str">
        <f>VLOOKUP(B794,'[2]TABULADOR ok'!$A$2:$I$424,8,FALSE)</f>
        <v>A03840</v>
      </c>
      <c r="O794">
        <f>VLOOKUP(B794,'[2]TABULADOR ok'!$A$2:$I$424,9,FALSE)</f>
        <v>95</v>
      </c>
    </row>
    <row r="795" spans="1:15" x14ac:dyDescent="0.25">
      <c r="A795" s="4">
        <v>2011</v>
      </c>
      <c r="B795" s="11" t="s">
        <v>89</v>
      </c>
      <c r="C795" s="11" t="s">
        <v>90</v>
      </c>
      <c r="D795" s="11" t="s">
        <v>84</v>
      </c>
      <c r="E795" s="12" t="s">
        <v>91</v>
      </c>
      <c r="F795" s="5">
        <v>7945.6</v>
      </c>
      <c r="G795" s="5">
        <v>0</v>
      </c>
      <c r="H795" s="5">
        <v>621</v>
      </c>
      <c r="I795" s="5">
        <v>40</v>
      </c>
      <c r="J795" s="5">
        <v>161</v>
      </c>
      <c r="K795" s="6">
        <f t="shared" si="14"/>
        <v>8767.6</v>
      </c>
      <c r="M795" t="str">
        <f>VLOOKUP(B795,'[2]TABULADOR ok'!$A$2:$I$424,7,FALSE)</f>
        <v>T5</v>
      </c>
      <c r="N795" t="str">
        <f>VLOOKUP(B795,'[2]TABULADOR ok'!$A$2:$I$424,8,FALSE)</f>
        <v>A05011</v>
      </c>
      <c r="O795">
        <f>VLOOKUP(B795,'[2]TABULADOR ok'!$A$2:$I$424,9,FALSE)</f>
        <v>95</v>
      </c>
    </row>
    <row r="796" spans="1:15" x14ac:dyDescent="0.25">
      <c r="A796" s="4">
        <v>2011</v>
      </c>
      <c r="B796" s="11" t="s">
        <v>92</v>
      </c>
      <c r="C796" s="11" t="s">
        <v>93</v>
      </c>
      <c r="D796" s="11" t="s">
        <v>84</v>
      </c>
      <c r="E796" s="12" t="s">
        <v>94</v>
      </c>
      <c r="F796" s="5">
        <v>7945.6</v>
      </c>
      <c r="G796" s="5">
        <v>0</v>
      </c>
      <c r="H796" s="5">
        <v>621</v>
      </c>
      <c r="I796" s="5">
        <v>40</v>
      </c>
      <c r="J796" s="5">
        <v>161</v>
      </c>
      <c r="K796" s="6">
        <f t="shared" si="14"/>
        <v>8767.6</v>
      </c>
      <c r="M796" t="str">
        <f>VLOOKUP(B796,'[2]TABULADOR ok'!$A$2:$I$424,7,FALSE)</f>
        <v>T5</v>
      </c>
      <c r="N796" t="str">
        <f>VLOOKUP(B796,'[2]TABULADOR ok'!$A$2:$I$424,8,FALSE)</f>
        <v>S01892</v>
      </c>
      <c r="O796">
        <f>VLOOKUP(B796,'[2]TABULADOR ok'!$A$2:$I$424,9,FALSE)</f>
        <v>95</v>
      </c>
    </row>
    <row r="797" spans="1:15" x14ac:dyDescent="0.25">
      <c r="A797" s="4">
        <v>2011</v>
      </c>
      <c r="B797" s="11" t="s">
        <v>95</v>
      </c>
      <c r="C797" s="11" t="s">
        <v>96</v>
      </c>
      <c r="D797" s="11" t="s">
        <v>84</v>
      </c>
      <c r="E797" s="12" t="s">
        <v>97</v>
      </c>
      <c r="F797" s="5">
        <v>7945.6</v>
      </c>
      <c r="G797" s="5">
        <v>0</v>
      </c>
      <c r="H797" s="5">
        <v>621</v>
      </c>
      <c r="I797" s="5">
        <v>40</v>
      </c>
      <c r="J797" s="5">
        <v>161</v>
      </c>
      <c r="K797" s="6">
        <f t="shared" si="14"/>
        <v>8767.6</v>
      </c>
      <c r="M797" t="str">
        <f>VLOOKUP(B797,'[2]TABULADOR ok'!$A$2:$I$424,7,FALSE)</f>
        <v>T5</v>
      </c>
      <c r="N797" t="str">
        <f>VLOOKUP(B797,'[2]TABULADOR ok'!$A$2:$I$424,8,FALSE)</f>
        <v>S01896</v>
      </c>
      <c r="O797">
        <f>VLOOKUP(B797,'[2]TABULADOR ok'!$A$2:$I$424,9,FALSE)</f>
        <v>95</v>
      </c>
    </row>
    <row r="798" spans="1:15" x14ac:dyDescent="0.25">
      <c r="A798" s="4">
        <v>2011</v>
      </c>
      <c r="B798" s="11" t="s">
        <v>98</v>
      </c>
      <c r="C798" s="11" t="s">
        <v>99</v>
      </c>
      <c r="D798" s="11" t="s">
        <v>84</v>
      </c>
      <c r="E798" s="12" t="s">
        <v>100</v>
      </c>
      <c r="F798" s="5">
        <v>7945.6</v>
      </c>
      <c r="G798" s="5">
        <v>0</v>
      </c>
      <c r="H798" s="5">
        <v>621</v>
      </c>
      <c r="I798" s="5">
        <v>40</v>
      </c>
      <c r="J798" s="5">
        <v>161</v>
      </c>
      <c r="K798" s="6">
        <f t="shared" si="14"/>
        <v>8767.6</v>
      </c>
      <c r="M798" t="str">
        <f>VLOOKUP(B798,'[2]TABULADOR ok'!$A$2:$I$424,7,FALSE)</f>
        <v>T5</v>
      </c>
      <c r="N798" t="str">
        <f>VLOOKUP(B798,'[2]TABULADOR ok'!$A$2:$I$424,8,FALSE)</f>
        <v>S12011</v>
      </c>
      <c r="O798">
        <f>VLOOKUP(B798,'[2]TABULADOR ok'!$A$2:$I$424,9,FALSE)</f>
        <v>95</v>
      </c>
    </row>
    <row r="799" spans="1:15" x14ac:dyDescent="0.25">
      <c r="A799" s="4">
        <v>2011</v>
      </c>
      <c r="B799" s="11" t="s">
        <v>101</v>
      </c>
      <c r="C799" s="11" t="s">
        <v>102</v>
      </c>
      <c r="D799" s="11" t="s">
        <v>84</v>
      </c>
      <c r="E799" s="12" t="s">
        <v>103</v>
      </c>
      <c r="F799" s="5">
        <v>7945.6</v>
      </c>
      <c r="G799" s="5">
        <v>0</v>
      </c>
      <c r="H799" s="5">
        <v>621</v>
      </c>
      <c r="I799" s="5">
        <v>40</v>
      </c>
      <c r="J799" s="5">
        <v>161</v>
      </c>
      <c r="K799" s="6">
        <f t="shared" si="14"/>
        <v>8767.6</v>
      </c>
      <c r="M799" t="str">
        <f>VLOOKUP(B799,'[2]TABULADOR ok'!$A$2:$I$424,7,FALSE)</f>
        <v>T5</v>
      </c>
      <c r="N799" t="str">
        <f>VLOOKUP(B799,'[2]TABULADOR ok'!$A$2:$I$424,8,FALSE)</f>
        <v>S12094</v>
      </c>
      <c r="O799">
        <f>VLOOKUP(B799,'[2]TABULADOR ok'!$A$2:$I$424,9,FALSE)</f>
        <v>95</v>
      </c>
    </row>
    <row r="800" spans="1:15" x14ac:dyDescent="0.25">
      <c r="A800" s="4">
        <v>2011</v>
      </c>
      <c r="B800" s="11" t="s">
        <v>104</v>
      </c>
      <c r="C800" s="11" t="s">
        <v>105</v>
      </c>
      <c r="D800" s="11" t="s">
        <v>84</v>
      </c>
      <c r="E800" s="12" t="s">
        <v>106</v>
      </c>
      <c r="F800" s="5">
        <v>7945.6</v>
      </c>
      <c r="G800" s="5">
        <v>0</v>
      </c>
      <c r="H800" s="5">
        <v>621</v>
      </c>
      <c r="I800" s="5">
        <v>40</v>
      </c>
      <c r="J800" s="5">
        <v>161</v>
      </c>
      <c r="K800" s="6">
        <f t="shared" si="14"/>
        <v>8767.6</v>
      </c>
      <c r="M800" t="str">
        <f>VLOOKUP(B800,'[2]TABULADOR ok'!$A$2:$I$424,7,FALSE)</f>
        <v>T5</v>
      </c>
      <c r="N800" t="str">
        <f>VLOOKUP(B800,'[2]TABULADOR ok'!$A$2:$I$424,8,FALSE)</f>
        <v>T03853</v>
      </c>
      <c r="O800">
        <f>VLOOKUP(B800,'[2]TABULADOR ok'!$A$2:$I$424,9,FALSE)</f>
        <v>95</v>
      </c>
    </row>
    <row r="801" spans="1:15" x14ac:dyDescent="0.25">
      <c r="A801" s="4">
        <v>2011</v>
      </c>
      <c r="B801" s="11" t="s">
        <v>107</v>
      </c>
      <c r="C801" s="11" t="s">
        <v>108</v>
      </c>
      <c r="D801" s="11" t="s">
        <v>84</v>
      </c>
      <c r="E801" s="12" t="s">
        <v>109</v>
      </c>
      <c r="F801" s="5">
        <v>7945.6</v>
      </c>
      <c r="G801" s="5">
        <v>0</v>
      </c>
      <c r="H801" s="5">
        <v>621</v>
      </c>
      <c r="I801" s="5">
        <v>40</v>
      </c>
      <c r="J801" s="5">
        <v>161</v>
      </c>
      <c r="K801" s="6">
        <f t="shared" si="14"/>
        <v>8767.6</v>
      </c>
      <c r="M801" t="str">
        <f>VLOOKUP(B801,'[2]TABULADOR ok'!$A$2:$I$424,7,FALSE)</f>
        <v>T5</v>
      </c>
      <c r="N801" t="str">
        <f>VLOOKUP(B801,'[2]TABULADOR ok'!$A$2:$I$424,8,FALSE)</f>
        <v>T13818</v>
      </c>
      <c r="O801">
        <f>VLOOKUP(B801,'[2]TABULADOR ok'!$A$2:$I$424,9,FALSE)</f>
        <v>95</v>
      </c>
    </row>
    <row r="802" spans="1:15" x14ac:dyDescent="0.25">
      <c r="A802" s="4">
        <v>2011</v>
      </c>
      <c r="B802" s="11" t="s">
        <v>110</v>
      </c>
      <c r="C802" s="11" t="s">
        <v>111</v>
      </c>
      <c r="D802" s="11" t="s">
        <v>84</v>
      </c>
      <c r="E802" s="12" t="s">
        <v>112</v>
      </c>
      <c r="F802" s="5">
        <v>7945.6</v>
      </c>
      <c r="G802" s="5">
        <v>0</v>
      </c>
      <c r="H802" s="5">
        <v>621</v>
      </c>
      <c r="I802" s="5">
        <v>40</v>
      </c>
      <c r="J802" s="5">
        <v>161</v>
      </c>
      <c r="K802" s="6">
        <f t="shared" si="14"/>
        <v>8767.6</v>
      </c>
      <c r="M802" t="str">
        <f>VLOOKUP(B802,'[2]TABULADOR ok'!$A$2:$I$424,7,FALSE)</f>
        <v>T5</v>
      </c>
      <c r="N802" t="str">
        <f>VLOOKUP(B802,'[2]TABULADOR ok'!$A$2:$I$424,8,FALSE)</f>
        <v>T14034</v>
      </c>
      <c r="O802">
        <f>VLOOKUP(B802,'[2]TABULADOR ok'!$A$2:$I$424,9,FALSE)</f>
        <v>95</v>
      </c>
    </row>
    <row r="803" spans="1:15" x14ac:dyDescent="0.25">
      <c r="A803" s="4">
        <v>2011</v>
      </c>
      <c r="B803" s="11" t="s">
        <v>113</v>
      </c>
      <c r="C803" s="11" t="s">
        <v>114</v>
      </c>
      <c r="D803" s="11" t="s">
        <v>115</v>
      </c>
      <c r="E803" s="12" t="s">
        <v>116</v>
      </c>
      <c r="F803" s="5">
        <v>8839.7900000000009</v>
      </c>
      <c r="G803" s="5">
        <v>0</v>
      </c>
      <c r="H803" s="5">
        <v>621</v>
      </c>
      <c r="I803" s="5">
        <v>40</v>
      </c>
      <c r="J803" s="5">
        <v>161</v>
      </c>
      <c r="K803" s="6">
        <f t="shared" si="14"/>
        <v>9661.7900000000009</v>
      </c>
      <c r="M803" t="str">
        <f>VLOOKUP(B803,'[2]TABULADOR ok'!$A$2:$I$424,7,FALSE)</f>
        <v>T6</v>
      </c>
      <c r="N803" t="str">
        <f>VLOOKUP(B803,'[2]TABULADOR ok'!$A$2:$I$424,8,FALSE)</f>
        <v>A03839</v>
      </c>
      <c r="O803">
        <f>VLOOKUP(B803,'[2]TABULADOR ok'!$A$2:$I$424,9,FALSE)</f>
        <v>95</v>
      </c>
    </row>
    <row r="804" spans="1:15" x14ac:dyDescent="0.25">
      <c r="A804" s="4">
        <v>2011</v>
      </c>
      <c r="B804" s="11" t="s">
        <v>117</v>
      </c>
      <c r="C804" s="11" t="s">
        <v>118</v>
      </c>
      <c r="D804" s="11" t="s">
        <v>115</v>
      </c>
      <c r="E804" s="12" t="s">
        <v>119</v>
      </c>
      <c r="F804" s="5">
        <v>8839.7900000000009</v>
      </c>
      <c r="G804" s="5">
        <v>0</v>
      </c>
      <c r="H804" s="5">
        <v>621</v>
      </c>
      <c r="I804" s="5">
        <v>40</v>
      </c>
      <c r="J804" s="5">
        <v>161</v>
      </c>
      <c r="K804" s="6">
        <f t="shared" si="14"/>
        <v>9661.7900000000009</v>
      </c>
      <c r="M804" t="str">
        <f>VLOOKUP(B804,'[2]TABULADOR ok'!$A$2:$I$424,7,FALSE)</f>
        <v>T6</v>
      </c>
      <c r="N804" t="str">
        <f>VLOOKUP(B804,'[2]TABULADOR ok'!$A$2:$I$424,8,FALSE)</f>
        <v>P07027</v>
      </c>
      <c r="O804">
        <f>VLOOKUP(B804,'[2]TABULADOR ok'!$A$2:$I$424,9,FALSE)</f>
        <v>95</v>
      </c>
    </row>
    <row r="805" spans="1:15" x14ac:dyDescent="0.25">
      <c r="A805" s="4">
        <v>2011</v>
      </c>
      <c r="B805" s="11" t="s">
        <v>120</v>
      </c>
      <c r="C805" s="11" t="s">
        <v>121</v>
      </c>
      <c r="D805" s="11" t="s">
        <v>115</v>
      </c>
      <c r="E805" s="12" t="s">
        <v>122</v>
      </c>
      <c r="F805" s="5">
        <v>8839.7900000000009</v>
      </c>
      <c r="G805" s="5">
        <v>0</v>
      </c>
      <c r="H805" s="5">
        <v>621</v>
      </c>
      <c r="I805" s="5">
        <v>40</v>
      </c>
      <c r="J805" s="5">
        <v>161</v>
      </c>
      <c r="K805" s="6">
        <f t="shared" si="14"/>
        <v>9661.7900000000009</v>
      </c>
      <c r="M805" t="str">
        <f>VLOOKUP(B805,'[2]TABULADOR ok'!$A$2:$I$424,7,FALSE)</f>
        <v>T6</v>
      </c>
      <c r="N805" t="str">
        <f>VLOOKUP(B805,'[2]TABULADOR ok'!$A$2:$I$424,8,FALSE)</f>
        <v>S03830</v>
      </c>
      <c r="O805">
        <f>VLOOKUP(B805,'[2]TABULADOR ok'!$A$2:$I$424,9,FALSE)</f>
        <v>95</v>
      </c>
    </row>
    <row r="806" spans="1:15" x14ac:dyDescent="0.25">
      <c r="A806" s="4">
        <v>2011</v>
      </c>
      <c r="B806" s="11" t="s">
        <v>123</v>
      </c>
      <c r="C806" s="11" t="s">
        <v>124</v>
      </c>
      <c r="D806" s="11" t="s">
        <v>115</v>
      </c>
      <c r="E806" s="12" t="s">
        <v>125</v>
      </c>
      <c r="F806" s="5">
        <v>8839.7900000000009</v>
      </c>
      <c r="G806" s="5">
        <v>0</v>
      </c>
      <c r="H806" s="5">
        <v>621</v>
      </c>
      <c r="I806" s="5">
        <v>40</v>
      </c>
      <c r="J806" s="5">
        <v>161</v>
      </c>
      <c r="K806" s="6">
        <f t="shared" si="14"/>
        <v>9661.7900000000009</v>
      </c>
      <c r="M806" t="str">
        <f>VLOOKUP(B806,'[2]TABULADOR ok'!$A$2:$I$424,7,FALSE)</f>
        <v>T6</v>
      </c>
      <c r="N806" t="str">
        <f>VLOOKUP(B806,'[2]TABULADOR ok'!$A$2:$I$424,8,FALSE)</f>
        <v>S03831</v>
      </c>
      <c r="O806">
        <f>VLOOKUP(B806,'[2]TABULADOR ok'!$A$2:$I$424,9,FALSE)</f>
        <v>95</v>
      </c>
    </row>
    <row r="807" spans="1:15" x14ac:dyDescent="0.25">
      <c r="A807" s="4">
        <v>2011</v>
      </c>
      <c r="B807" s="11" t="s">
        <v>126</v>
      </c>
      <c r="C807" s="11" t="s">
        <v>127</v>
      </c>
      <c r="D807" s="11" t="s">
        <v>115</v>
      </c>
      <c r="E807" s="12" t="s">
        <v>128</v>
      </c>
      <c r="F807" s="5">
        <v>8839.7900000000009</v>
      </c>
      <c r="G807" s="5">
        <v>0</v>
      </c>
      <c r="H807" s="5">
        <v>621</v>
      </c>
      <c r="I807" s="5">
        <v>40</v>
      </c>
      <c r="J807" s="5">
        <v>161</v>
      </c>
      <c r="K807" s="6">
        <f t="shared" si="14"/>
        <v>9661.7900000000009</v>
      </c>
      <c r="M807" t="str">
        <f>VLOOKUP(B807,'[2]TABULADOR ok'!$A$2:$I$424,7,FALSE)</f>
        <v>T6</v>
      </c>
      <c r="N807" t="str">
        <f>VLOOKUP(B807,'[2]TABULADOR ok'!$A$2:$I$424,8,FALSE)</f>
        <v>S09807</v>
      </c>
      <c r="O807">
        <f>VLOOKUP(B807,'[2]TABULADOR ok'!$A$2:$I$424,9,FALSE)</f>
        <v>95</v>
      </c>
    </row>
    <row r="808" spans="1:15" x14ac:dyDescent="0.25">
      <c r="A808" s="4">
        <v>2011</v>
      </c>
      <c r="B808" s="11" t="s">
        <v>129</v>
      </c>
      <c r="C808" s="11" t="s">
        <v>130</v>
      </c>
      <c r="D808" s="11" t="s">
        <v>115</v>
      </c>
      <c r="E808" s="12" t="s">
        <v>131</v>
      </c>
      <c r="F808" s="5">
        <v>8839.7900000000009</v>
      </c>
      <c r="G808" s="5">
        <v>0</v>
      </c>
      <c r="H808" s="5">
        <v>621</v>
      </c>
      <c r="I808" s="5">
        <v>40</v>
      </c>
      <c r="J808" s="5">
        <v>161</v>
      </c>
      <c r="K808" s="6">
        <f t="shared" si="14"/>
        <v>9661.7900000000009</v>
      </c>
      <c r="M808" t="str">
        <f>VLOOKUP(B808,'[2]TABULADOR ok'!$A$2:$I$424,7,FALSE)</f>
        <v>T6</v>
      </c>
      <c r="N808" t="str">
        <f>VLOOKUP(B808,'[2]TABULADOR ok'!$A$2:$I$424,8,FALSE)</f>
        <v>T06823</v>
      </c>
      <c r="O808">
        <f>VLOOKUP(B808,'[2]TABULADOR ok'!$A$2:$I$424,9,FALSE)</f>
        <v>95</v>
      </c>
    </row>
    <row r="809" spans="1:15" x14ac:dyDescent="0.25">
      <c r="A809" s="4">
        <v>2011</v>
      </c>
      <c r="B809" s="11" t="s">
        <v>132</v>
      </c>
      <c r="C809" s="11" t="s">
        <v>133</v>
      </c>
      <c r="D809" s="11" t="s">
        <v>115</v>
      </c>
      <c r="E809" s="12" t="s">
        <v>134</v>
      </c>
      <c r="F809" s="5">
        <v>8839.7900000000009</v>
      </c>
      <c r="G809" s="5">
        <v>0</v>
      </c>
      <c r="H809" s="5">
        <v>621</v>
      </c>
      <c r="I809" s="5">
        <v>40</v>
      </c>
      <c r="J809" s="5">
        <v>161</v>
      </c>
      <c r="K809" s="6">
        <f t="shared" si="14"/>
        <v>9661.7900000000009</v>
      </c>
      <c r="M809" t="str">
        <f>VLOOKUP(B809,'[2]TABULADOR ok'!$A$2:$I$424,7,FALSE)</f>
        <v>T6</v>
      </c>
      <c r="N809" t="str">
        <f>VLOOKUP(B809,'[2]TABULADOR ok'!$A$2:$I$424,8,FALSE)</f>
        <v>T08813</v>
      </c>
      <c r="O809">
        <f>VLOOKUP(B809,'[2]TABULADOR ok'!$A$2:$I$424,9,FALSE)</f>
        <v>95</v>
      </c>
    </row>
    <row r="810" spans="1:15" x14ac:dyDescent="0.25">
      <c r="A810" s="4">
        <v>2011</v>
      </c>
      <c r="B810" s="11" t="s">
        <v>135</v>
      </c>
      <c r="C810" s="11" t="s">
        <v>136</v>
      </c>
      <c r="D810" s="11" t="s">
        <v>137</v>
      </c>
      <c r="E810" s="12" t="s">
        <v>138</v>
      </c>
      <c r="F810" s="5">
        <v>9705.64</v>
      </c>
      <c r="G810" s="5">
        <v>0</v>
      </c>
      <c r="H810" s="5">
        <v>621</v>
      </c>
      <c r="I810" s="5">
        <v>40</v>
      </c>
      <c r="J810" s="5">
        <v>161</v>
      </c>
      <c r="K810" s="6">
        <f t="shared" si="14"/>
        <v>10527.64</v>
      </c>
      <c r="M810" t="str">
        <f>VLOOKUP(B810,'[2]TABULADOR ok'!$A$2:$I$424,7,FALSE)</f>
        <v>T7</v>
      </c>
      <c r="N810" t="str">
        <f>VLOOKUP(B810,'[2]TABULADOR ok'!$A$2:$I$424,8,FALSE)</f>
        <v>A01037</v>
      </c>
      <c r="O810">
        <f>VLOOKUP(B810,'[2]TABULADOR ok'!$A$2:$I$424,9,FALSE)</f>
        <v>95</v>
      </c>
    </row>
    <row r="811" spans="1:15" x14ac:dyDescent="0.25">
      <c r="A811" s="4">
        <v>2011</v>
      </c>
      <c r="B811" s="11" t="s">
        <v>139</v>
      </c>
      <c r="C811" s="11" t="s">
        <v>140</v>
      </c>
      <c r="D811" s="11" t="s">
        <v>137</v>
      </c>
      <c r="E811" s="12" t="s">
        <v>141</v>
      </c>
      <c r="F811" s="5">
        <v>9705.64</v>
      </c>
      <c r="G811" s="5">
        <v>0</v>
      </c>
      <c r="H811" s="5">
        <v>621</v>
      </c>
      <c r="I811" s="5">
        <v>40</v>
      </c>
      <c r="J811" s="5">
        <v>161</v>
      </c>
      <c r="K811" s="6">
        <f t="shared" si="14"/>
        <v>10527.64</v>
      </c>
      <c r="M811" t="str">
        <f>VLOOKUP(B811,'[2]TABULADOR ok'!$A$2:$I$424,7,FALSE)</f>
        <v>T7</v>
      </c>
      <c r="N811" t="str">
        <f>VLOOKUP(B811,'[2]TABULADOR ok'!$A$2:$I$424,8,FALSE)</f>
        <v>A02815</v>
      </c>
      <c r="O811">
        <f>VLOOKUP(B811,'[2]TABULADOR ok'!$A$2:$I$424,9,FALSE)</f>
        <v>95</v>
      </c>
    </row>
    <row r="812" spans="1:15" x14ac:dyDescent="0.25">
      <c r="A812" s="4">
        <v>2011</v>
      </c>
      <c r="B812" s="11" t="s">
        <v>142</v>
      </c>
      <c r="C812" s="11" t="s">
        <v>143</v>
      </c>
      <c r="D812" s="11" t="s">
        <v>137</v>
      </c>
      <c r="E812" s="12" t="s">
        <v>144</v>
      </c>
      <c r="F812" s="5">
        <v>9705.64</v>
      </c>
      <c r="G812" s="5">
        <v>0</v>
      </c>
      <c r="H812" s="5">
        <v>621</v>
      </c>
      <c r="I812" s="5">
        <v>40</v>
      </c>
      <c r="J812" s="5">
        <v>161</v>
      </c>
      <c r="K812" s="6">
        <f t="shared" si="14"/>
        <v>10527.64</v>
      </c>
      <c r="M812" t="str">
        <f>VLOOKUP(B812,'[2]TABULADOR ok'!$A$2:$I$424,7,FALSE)</f>
        <v>T7</v>
      </c>
      <c r="N812" t="str">
        <f>VLOOKUP(B812,'[2]TABULADOR ok'!$A$2:$I$424,8,FALSE)</f>
        <v>C01817</v>
      </c>
      <c r="O812">
        <f>VLOOKUP(B812,'[2]TABULADOR ok'!$A$2:$I$424,9,FALSE)</f>
        <v>95</v>
      </c>
    </row>
    <row r="813" spans="1:15" x14ac:dyDescent="0.25">
      <c r="A813" s="4">
        <v>2011</v>
      </c>
      <c r="B813" s="11" t="s">
        <v>145</v>
      </c>
      <c r="C813" s="11" t="s">
        <v>146</v>
      </c>
      <c r="D813" s="11" t="s">
        <v>137</v>
      </c>
      <c r="E813" s="12" t="s">
        <v>147</v>
      </c>
      <c r="F813" s="5">
        <v>9705.64</v>
      </c>
      <c r="G813" s="5">
        <v>0</v>
      </c>
      <c r="H813" s="5">
        <v>621</v>
      </c>
      <c r="I813" s="5">
        <v>40</v>
      </c>
      <c r="J813" s="5">
        <v>161</v>
      </c>
      <c r="K813" s="6">
        <f t="shared" si="14"/>
        <v>10527.64</v>
      </c>
      <c r="M813" t="str">
        <f>VLOOKUP(B813,'[2]TABULADOR ok'!$A$2:$I$424,7,FALSE)</f>
        <v>T7</v>
      </c>
      <c r="N813" t="str">
        <f>VLOOKUP(B813,'[2]TABULADOR ok'!$A$2:$I$424,8,FALSE)</f>
        <v>P07026</v>
      </c>
      <c r="O813">
        <f>VLOOKUP(B813,'[2]TABULADOR ok'!$A$2:$I$424,9,FALSE)</f>
        <v>95</v>
      </c>
    </row>
    <row r="814" spans="1:15" x14ac:dyDescent="0.25">
      <c r="A814" s="4">
        <v>2011</v>
      </c>
      <c r="B814" s="11" t="s">
        <v>148</v>
      </c>
      <c r="C814" s="11" t="s">
        <v>149</v>
      </c>
      <c r="D814" s="11" t="s">
        <v>137</v>
      </c>
      <c r="E814" s="12" t="s">
        <v>150</v>
      </c>
      <c r="F814" s="5">
        <v>9705.64</v>
      </c>
      <c r="G814" s="5">
        <v>0</v>
      </c>
      <c r="H814" s="5">
        <v>621</v>
      </c>
      <c r="I814" s="5">
        <v>40</v>
      </c>
      <c r="J814" s="5">
        <v>161</v>
      </c>
      <c r="K814" s="6">
        <f t="shared" si="14"/>
        <v>10527.64</v>
      </c>
      <c r="M814" t="str">
        <f>VLOOKUP(B814,'[2]TABULADOR ok'!$A$2:$I$424,7,FALSE)</f>
        <v>T7</v>
      </c>
      <c r="N814" t="str">
        <f>VLOOKUP(B814,'[2]TABULADOR ok'!$A$2:$I$424,8,FALSE)</f>
        <v>T05822</v>
      </c>
      <c r="O814">
        <f>VLOOKUP(B814,'[2]TABULADOR ok'!$A$2:$I$424,9,FALSE)</f>
        <v>95</v>
      </c>
    </row>
    <row r="815" spans="1:15" x14ac:dyDescent="0.25">
      <c r="A815" s="4">
        <v>2011</v>
      </c>
      <c r="B815" s="11" t="s">
        <v>151</v>
      </c>
      <c r="C815" s="11" t="s">
        <v>152</v>
      </c>
      <c r="D815" s="11" t="s">
        <v>137</v>
      </c>
      <c r="E815" s="12" t="s">
        <v>153</v>
      </c>
      <c r="F815" s="5">
        <v>9705.64</v>
      </c>
      <c r="G815" s="5">
        <v>0</v>
      </c>
      <c r="H815" s="5">
        <v>621</v>
      </c>
      <c r="I815" s="5">
        <v>40</v>
      </c>
      <c r="J815" s="5">
        <v>161</v>
      </c>
      <c r="K815" s="6">
        <f t="shared" si="14"/>
        <v>10527.64</v>
      </c>
      <c r="M815" t="str">
        <f>VLOOKUP(B815,'[2]TABULADOR ok'!$A$2:$I$424,7,FALSE)</f>
        <v>T7</v>
      </c>
      <c r="N815" t="str">
        <f>VLOOKUP(B815,'[2]TABULADOR ok'!$A$2:$I$424,8,FALSE)</f>
        <v>T09001</v>
      </c>
      <c r="O815">
        <f>VLOOKUP(B815,'[2]TABULADOR ok'!$A$2:$I$424,9,FALSE)</f>
        <v>95</v>
      </c>
    </row>
    <row r="816" spans="1:15" x14ac:dyDescent="0.25">
      <c r="A816" s="4">
        <v>2011</v>
      </c>
      <c r="B816" s="11" t="s">
        <v>154</v>
      </c>
      <c r="C816" s="11" t="s">
        <v>155</v>
      </c>
      <c r="D816" s="11" t="s">
        <v>137</v>
      </c>
      <c r="E816" s="12" t="s">
        <v>156</v>
      </c>
      <c r="F816" s="5">
        <v>9705.64</v>
      </c>
      <c r="G816" s="5">
        <v>0</v>
      </c>
      <c r="H816" s="5">
        <v>621</v>
      </c>
      <c r="I816" s="5">
        <v>40</v>
      </c>
      <c r="J816" s="5">
        <v>161</v>
      </c>
      <c r="K816" s="6">
        <f t="shared" si="14"/>
        <v>10527.64</v>
      </c>
      <c r="M816" t="str">
        <f>VLOOKUP(B816,'[2]TABULADOR ok'!$A$2:$I$424,7,FALSE)</f>
        <v>T7</v>
      </c>
      <c r="N816" t="str">
        <f>VLOOKUP(B816,'[2]TABULADOR ok'!$A$2:$I$424,8,FALSE)</f>
        <v>T13817</v>
      </c>
      <c r="O816">
        <f>VLOOKUP(B816,'[2]TABULADOR ok'!$A$2:$I$424,9,FALSE)</f>
        <v>95</v>
      </c>
    </row>
    <row r="817" spans="1:15" x14ac:dyDescent="0.25">
      <c r="A817" s="4">
        <v>2011</v>
      </c>
      <c r="B817" s="11" t="s">
        <v>157</v>
      </c>
      <c r="C817" s="11" t="s">
        <v>158</v>
      </c>
      <c r="D817" s="11" t="s">
        <v>137</v>
      </c>
      <c r="E817" s="12" t="s">
        <v>159</v>
      </c>
      <c r="F817" s="5">
        <v>9705.64</v>
      </c>
      <c r="G817" s="5">
        <v>0</v>
      </c>
      <c r="H817" s="5">
        <v>621</v>
      </c>
      <c r="I817" s="5">
        <v>40</v>
      </c>
      <c r="J817" s="5">
        <v>161</v>
      </c>
      <c r="K817" s="6">
        <f t="shared" si="14"/>
        <v>10527.64</v>
      </c>
      <c r="M817" t="str">
        <f>VLOOKUP(B817,'[2]TABULADOR ok'!$A$2:$I$424,7,FALSE)</f>
        <v>T7</v>
      </c>
      <c r="N817" t="str">
        <f>VLOOKUP(B817,'[2]TABULADOR ok'!$A$2:$I$424,8,FALSE)</f>
        <v>T14019</v>
      </c>
      <c r="O817">
        <f>VLOOKUP(B817,'[2]TABULADOR ok'!$A$2:$I$424,9,FALSE)</f>
        <v>95</v>
      </c>
    </row>
    <row r="818" spans="1:15" x14ac:dyDescent="0.25">
      <c r="A818" s="4">
        <v>2011</v>
      </c>
      <c r="B818" s="11" t="s">
        <v>160</v>
      </c>
      <c r="C818" s="11" t="s">
        <v>161</v>
      </c>
      <c r="D818" s="11" t="s">
        <v>137</v>
      </c>
      <c r="E818" s="12" t="s">
        <v>162</v>
      </c>
      <c r="F818" s="5">
        <v>9705.64</v>
      </c>
      <c r="G818" s="5">
        <v>0</v>
      </c>
      <c r="H818" s="5">
        <v>621</v>
      </c>
      <c r="I818" s="5">
        <v>40</v>
      </c>
      <c r="J818" s="5">
        <v>161</v>
      </c>
      <c r="K818" s="6">
        <f t="shared" si="14"/>
        <v>10527.64</v>
      </c>
      <c r="M818" t="str">
        <f>VLOOKUP(B818,'[2]TABULADOR ok'!$A$2:$I$424,7,FALSE)</f>
        <v>T7</v>
      </c>
      <c r="N818" t="str">
        <f>VLOOKUP(B818,'[2]TABULADOR ok'!$A$2:$I$424,8,FALSE)</f>
        <v>T16817</v>
      </c>
      <c r="O818">
        <f>VLOOKUP(B818,'[2]TABULADOR ok'!$A$2:$I$424,9,FALSE)</f>
        <v>95</v>
      </c>
    </row>
    <row r="819" spans="1:15" x14ac:dyDescent="0.25">
      <c r="A819" s="4">
        <v>2011</v>
      </c>
      <c r="B819" s="11" t="s">
        <v>163</v>
      </c>
      <c r="C819" s="11" t="s">
        <v>164</v>
      </c>
      <c r="D819" s="11" t="s">
        <v>165</v>
      </c>
      <c r="E819" s="12" t="s">
        <v>166</v>
      </c>
      <c r="F819" s="5">
        <v>10621.88</v>
      </c>
      <c r="G819" s="5">
        <v>0</v>
      </c>
      <c r="H819" s="5">
        <v>621</v>
      </c>
      <c r="I819" s="5">
        <v>40</v>
      </c>
      <c r="J819" s="5">
        <v>161</v>
      </c>
      <c r="K819" s="6">
        <f t="shared" si="14"/>
        <v>11443.88</v>
      </c>
      <c r="M819" t="str">
        <f>VLOOKUP(B819,'[2]TABULADOR ok'!$A$2:$I$424,7,FALSE)</f>
        <v>T8</v>
      </c>
      <c r="N819" t="str">
        <f>VLOOKUP(B819,'[2]TABULADOR ok'!$A$2:$I$424,8,FALSE)</f>
        <v>A01036</v>
      </c>
      <c r="O819">
        <f>VLOOKUP(B819,'[2]TABULADOR ok'!$A$2:$I$424,9,FALSE)</f>
        <v>95</v>
      </c>
    </row>
    <row r="820" spans="1:15" x14ac:dyDescent="0.25">
      <c r="A820" s="4">
        <v>2011</v>
      </c>
      <c r="B820" s="11" t="s">
        <v>167</v>
      </c>
      <c r="C820" s="11" t="s">
        <v>168</v>
      </c>
      <c r="D820" s="11" t="s">
        <v>165</v>
      </c>
      <c r="E820" s="12" t="s">
        <v>169</v>
      </c>
      <c r="F820" s="5">
        <v>10621.88</v>
      </c>
      <c r="G820" s="5">
        <v>0</v>
      </c>
      <c r="H820" s="5">
        <v>621</v>
      </c>
      <c r="I820" s="5">
        <v>40</v>
      </c>
      <c r="J820" s="5">
        <v>161</v>
      </c>
      <c r="K820" s="6">
        <f t="shared" si="14"/>
        <v>11443.88</v>
      </c>
      <c r="M820" t="str">
        <f>VLOOKUP(B820,'[2]TABULADOR ok'!$A$2:$I$424,7,FALSE)</f>
        <v>T8</v>
      </c>
      <c r="N820" t="str">
        <f>VLOOKUP(B820,'[2]TABULADOR ok'!$A$2:$I$424,8,FALSE)</f>
        <v>A06009</v>
      </c>
      <c r="O820">
        <f>VLOOKUP(B820,'[2]TABULADOR ok'!$A$2:$I$424,9,FALSE)</f>
        <v>95</v>
      </c>
    </row>
    <row r="821" spans="1:15" x14ac:dyDescent="0.25">
      <c r="A821" s="4">
        <v>2011</v>
      </c>
      <c r="B821" s="11" t="s">
        <v>170</v>
      </c>
      <c r="C821" s="11" t="s">
        <v>171</v>
      </c>
      <c r="D821" s="11" t="s">
        <v>165</v>
      </c>
      <c r="E821" s="12" t="s">
        <v>172</v>
      </c>
      <c r="F821" s="5">
        <v>10621.88</v>
      </c>
      <c r="G821" s="5">
        <v>0</v>
      </c>
      <c r="H821" s="5">
        <v>621</v>
      </c>
      <c r="I821" s="5">
        <v>40</v>
      </c>
      <c r="J821" s="5">
        <v>161</v>
      </c>
      <c r="K821" s="6">
        <f t="shared" si="14"/>
        <v>11443.88</v>
      </c>
      <c r="M821" t="str">
        <f>VLOOKUP(B821,'[2]TABULADOR ok'!$A$2:$I$424,7,FALSE)</f>
        <v>T8</v>
      </c>
      <c r="N821" t="str">
        <f>VLOOKUP(B821,'[2]TABULADOR ok'!$A$2:$I$424,8,FALSE)</f>
        <v>C01818</v>
      </c>
      <c r="O821">
        <f>VLOOKUP(B821,'[2]TABULADOR ok'!$A$2:$I$424,9,FALSE)</f>
        <v>95</v>
      </c>
    </row>
    <row r="822" spans="1:15" x14ac:dyDescent="0.25">
      <c r="A822" s="4">
        <v>2011</v>
      </c>
      <c r="B822" s="11" t="s">
        <v>173</v>
      </c>
      <c r="C822" s="11" t="s">
        <v>174</v>
      </c>
      <c r="D822" s="11" t="s">
        <v>165</v>
      </c>
      <c r="E822" s="12" t="s">
        <v>175</v>
      </c>
      <c r="F822" s="5">
        <v>10621.88</v>
      </c>
      <c r="G822" s="5">
        <v>0</v>
      </c>
      <c r="H822" s="5">
        <v>621</v>
      </c>
      <c r="I822" s="5">
        <v>40</v>
      </c>
      <c r="J822" s="5">
        <v>161</v>
      </c>
      <c r="K822" s="6">
        <f t="shared" si="14"/>
        <v>11443.88</v>
      </c>
      <c r="M822" t="str">
        <f>VLOOKUP(B822,'[2]TABULADOR ok'!$A$2:$I$424,7,FALSE)</f>
        <v>T8</v>
      </c>
      <c r="N822" t="str">
        <f>VLOOKUP(B822,'[2]TABULADOR ok'!$A$2:$I$424,8,FALSE)</f>
        <v>T03854</v>
      </c>
      <c r="O822">
        <f>VLOOKUP(B822,'[2]TABULADOR ok'!$A$2:$I$424,9,FALSE)</f>
        <v>95</v>
      </c>
    </row>
    <row r="823" spans="1:15" x14ac:dyDescent="0.25">
      <c r="A823" s="4">
        <v>2011</v>
      </c>
      <c r="B823" s="11" t="s">
        <v>176</v>
      </c>
      <c r="C823" s="11" t="s">
        <v>177</v>
      </c>
      <c r="D823" s="11" t="s">
        <v>165</v>
      </c>
      <c r="E823" s="12" t="s">
        <v>178</v>
      </c>
      <c r="F823" s="5">
        <v>10621.88</v>
      </c>
      <c r="G823" s="5">
        <v>0</v>
      </c>
      <c r="H823" s="5">
        <v>621</v>
      </c>
      <c r="I823" s="5">
        <v>40</v>
      </c>
      <c r="J823" s="5">
        <v>161</v>
      </c>
      <c r="K823" s="6">
        <f t="shared" si="14"/>
        <v>11443.88</v>
      </c>
      <c r="M823" t="str">
        <f>VLOOKUP(B823,'[2]TABULADOR ok'!$A$2:$I$424,7,FALSE)</f>
        <v>T8</v>
      </c>
      <c r="N823" t="str">
        <f>VLOOKUP(B823,'[2]TABULADOR ok'!$A$2:$I$424,8,FALSE)</f>
        <v>T04875</v>
      </c>
      <c r="O823">
        <f>VLOOKUP(B823,'[2]TABULADOR ok'!$A$2:$I$424,9,FALSE)</f>
        <v>95</v>
      </c>
    </row>
    <row r="824" spans="1:15" x14ac:dyDescent="0.25">
      <c r="A824" s="4">
        <v>2011</v>
      </c>
      <c r="B824" s="11" t="s">
        <v>179</v>
      </c>
      <c r="C824" s="11" t="s">
        <v>180</v>
      </c>
      <c r="D824" s="11" t="s">
        <v>165</v>
      </c>
      <c r="E824" s="12" t="s">
        <v>181</v>
      </c>
      <c r="F824" s="5">
        <v>10621.88</v>
      </c>
      <c r="G824" s="5">
        <v>0</v>
      </c>
      <c r="H824" s="5">
        <v>621</v>
      </c>
      <c r="I824" s="5">
        <v>40</v>
      </c>
      <c r="J824" s="5">
        <v>161</v>
      </c>
      <c r="K824" s="6">
        <f t="shared" si="14"/>
        <v>11443.88</v>
      </c>
      <c r="M824" t="str">
        <f>VLOOKUP(B824,'[2]TABULADOR ok'!$A$2:$I$424,7,FALSE)</f>
        <v>T8</v>
      </c>
      <c r="N824" t="str">
        <f>VLOOKUP(B824,'[2]TABULADOR ok'!$A$2:$I$424,8,FALSE)</f>
        <v>T08812</v>
      </c>
      <c r="O824">
        <f>VLOOKUP(B824,'[2]TABULADOR ok'!$A$2:$I$424,9,FALSE)</f>
        <v>95</v>
      </c>
    </row>
    <row r="825" spans="1:15" x14ac:dyDescent="0.25">
      <c r="A825" s="4">
        <v>2011</v>
      </c>
      <c r="B825" s="11" t="s">
        <v>182</v>
      </c>
      <c r="C825" s="11" t="s">
        <v>183</v>
      </c>
      <c r="D825" s="11" t="s">
        <v>184</v>
      </c>
      <c r="E825" s="12" t="s">
        <v>185</v>
      </c>
      <c r="F825" s="5">
        <v>11877.56</v>
      </c>
      <c r="G825" s="5">
        <v>0</v>
      </c>
      <c r="H825" s="5">
        <v>621</v>
      </c>
      <c r="I825" s="5">
        <v>40</v>
      </c>
      <c r="J825" s="5">
        <v>161</v>
      </c>
      <c r="K825" s="6">
        <f t="shared" si="14"/>
        <v>12699.56</v>
      </c>
      <c r="M825" t="str">
        <f>VLOOKUP(B825,'[2]TABULADOR ok'!$A$2:$I$424,7,FALSE)</f>
        <v>T9</v>
      </c>
      <c r="N825" t="str">
        <f>VLOOKUP(B825,'[2]TABULADOR ok'!$A$2:$I$424,8,FALSE)</f>
        <v>P02809</v>
      </c>
      <c r="O825">
        <f>VLOOKUP(B825,'[2]TABULADOR ok'!$A$2:$I$424,9,FALSE)</f>
        <v>95</v>
      </c>
    </row>
    <row r="826" spans="1:15" x14ac:dyDescent="0.25">
      <c r="A826" s="4">
        <v>2011</v>
      </c>
      <c r="B826" s="11" t="s">
        <v>186</v>
      </c>
      <c r="C826" s="11" t="s">
        <v>187</v>
      </c>
      <c r="D826" s="11" t="s">
        <v>184</v>
      </c>
      <c r="E826" s="12" t="s">
        <v>188</v>
      </c>
      <c r="F826" s="5">
        <v>11877.56</v>
      </c>
      <c r="G826" s="5">
        <v>0</v>
      </c>
      <c r="H826" s="5">
        <v>621</v>
      </c>
      <c r="I826" s="5">
        <v>40</v>
      </c>
      <c r="J826" s="5">
        <v>161</v>
      </c>
      <c r="K826" s="6">
        <f t="shared" si="14"/>
        <v>12699.56</v>
      </c>
      <c r="M826" t="str">
        <f>VLOOKUP(B826,'[2]TABULADOR ok'!$A$2:$I$424,7,FALSE)</f>
        <v>T9</v>
      </c>
      <c r="N826" t="str">
        <f>VLOOKUP(B826,'[2]TABULADOR ok'!$A$2:$I$424,8,FALSE)</f>
        <v>P04806</v>
      </c>
      <c r="O826">
        <f>VLOOKUP(B826,'[2]TABULADOR ok'!$A$2:$I$424,9,FALSE)</f>
        <v>95</v>
      </c>
    </row>
    <row r="827" spans="1:15" x14ac:dyDescent="0.25">
      <c r="A827" s="4">
        <v>2011</v>
      </c>
      <c r="B827" s="11" t="s">
        <v>189</v>
      </c>
      <c r="C827" s="11" t="s">
        <v>190</v>
      </c>
      <c r="D827" s="11" t="s">
        <v>184</v>
      </c>
      <c r="E827" s="12" t="s">
        <v>191</v>
      </c>
      <c r="F827" s="5">
        <v>11877.56</v>
      </c>
      <c r="G827" s="5">
        <v>0</v>
      </c>
      <c r="H827" s="5">
        <v>621</v>
      </c>
      <c r="I827" s="5">
        <v>40</v>
      </c>
      <c r="J827" s="5">
        <v>161</v>
      </c>
      <c r="K827" s="6">
        <f t="shared" si="14"/>
        <v>12699.56</v>
      </c>
      <c r="M827" t="str">
        <f>VLOOKUP(B827,'[2]TABULADOR ok'!$A$2:$I$424,7,FALSE)</f>
        <v>T9</v>
      </c>
      <c r="N827" t="str">
        <f>VLOOKUP(B827,'[2]TABULADOR ok'!$A$2:$I$424,8,FALSE)</f>
        <v>P05808</v>
      </c>
      <c r="O827">
        <f>VLOOKUP(B827,'[2]TABULADOR ok'!$A$2:$I$424,9,FALSE)</f>
        <v>95</v>
      </c>
    </row>
    <row r="828" spans="1:15" x14ac:dyDescent="0.25">
      <c r="A828" s="4">
        <v>2011</v>
      </c>
      <c r="B828" s="11" t="s">
        <v>192</v>
      </c>
      <c r="C828" s="11" t="s">
        <v>193</v>
      </c>
      <c r="D828" s="11" t="s">
        <v>184</v>
      </c>
      <c r="E828" s="12" t="s">
        <v>194</v>
      </c>
      <c r="F828" s="5">
        <v>11877.56</v>
      </c>
      <c r="G828" s="5">
        <v>0</v>
      </c>
      <c r="H828" s="5">
        <v>621</v>
      </c>
      <c r="I828" s="5">
        <v>40</v>
      </c>
      <c r="J828" s="5">
        <v>161</v>
      </c>
      <c r="K828" s="6">
        <f t="shared" si="14"/>
        <v>12699.56</v>
      </c>
      <c r="M828" t="str">
        <f>VLOOKUP(B828,'[2]TABULADOR ok'!$A$2:$I$424,7,FALSE)</f>
        <v>T9</v>
      </c>
      <c r="N828" t="str">
        <f>VLOOKUP(B828,'[2]TABULADOR ok'!$A$2:$I$424,8,FALSE)</f>
        <v>T03850</v>
      </c>
      <c r="O828">
        <f>VLOOKUP(B828,'[2]TABULADOR ok'!$A$2:$I$424,9,FALSE)</f>
        <v>95</v>
      </c>
    </row>
    <row r="829" spans="1:15" x14ac:dyDescent="0.25">
      <c r="A829" s="4">
        <v>2011</v>
      </c>
      <c r="B829" s="11" t="s">
        <v>195</v>
      </c>
      <c r="C829" s="11" t="s">
        <v>196</v>
      </c>
      <c r="D829" s="11" t="s">
        <v>184</v>
      </c>
      <c r="E829" s="12" t="s">
        <v>197</v>
      </c>
      <c r="F829" s="5">
        <v>11877.56</v>
      </c>
      <c r="G829" s="5">
        <v>0</v>
      </c>
      <c r="H829" s="5">
        <v>621</v>
      </c>
      <c r="I829" s="5">
        <v>40</v>
      </c>
      <c r="J829" s="5">
        <v>161</v>
      </c>
      <c r="K829" s="6">
        <f t="shared" si="14"/>
        <v>12699.56</v>
      </c>
      <c r="M829" t="str">
        <f>VLOOKUP(B829,'[2]TABULADOR ok'!$A$2:$I$424,7,FALSE)</f>
        <v>T9</v>
      </c>
      <c r="N829" t="str">
        <f>VLOOKUP(B829,'[2]TABULADOR ok'!$A$2:$I$424,8,FALSE)</f>
        <v>T03851</v>
      </c>
      <c r="O829">
        <f>VLOOKUP(B829,'[2]TABULADOR ok'!$A$2:$I$424,9,FALSE)</f>
        <v>95</v>
      </c>
    </row>
    <row r="830" spans="1:15" x14ac:dyDescent="0.25">
      <c r="A830" s="4">
        <v>2011</v>
      </c>
      <c r="B830" s="11" t="s">
        <v>198</v>
      </c>
      <c r="C830" s="11" t="s">
        <v>199</v>
      </c>
      <c r="D830" s="11" t="s">
        <v>184</v>
      </c>
      <c r="E830" s="12" t="s">
        <v>200</v>
      </c>
      <c r="F830" s="5">
        <v>11877.56</v>
      </c>
      <c r="G830" s="5">
        <v>0</v>
      </c>
      <c r="H830" s="5">
        <v>621</v>
      </c>
      <c r="I830" s="5">
        <v>40</v>
      </c>
      <c r="J830" s="5">
        <v>161</v>
      </c>
      <c r="K830" s="6">
        <f t="shared" si="14"/>
        <v>12699.56</v>
      </c>
      <c r="M830" t="str">
        <f>VLOOKUP(B830,'[2]TABULADOR ok'!$A$2:$I$424,7,FALSE)</f>
        <v>T9</v>
      </c>
      <c r="N830" t="str">
        <f>VLOOKUP(B830,'[2]TABULADOR ok'!$A$2:$I$424,8,FALSE)</f>
        <v>T03855</v>
      </c>
      <c r="O830">
        <f>VLOOKUP(B830,'[2]TABULADOR ok'!$A$2:$I$424,9,FALSE)</f>
        <v>95</v>
      </c>
    </row>
    <row r="831" spans="1:15" x14ac:dyDescent="0.25">
      <c r="A831" s="4">
        <v>2011</v>
      </c>
      <c r="B831" s="11" t="s">
        <v>201</v>
      </c>
      <c r="C831" s="11" t="s">
        <v>202</v>
      </c>
      <c r="D831" s="11" t="s">
        <v>184</v>
      </c>
      <c r="E831" s="12" t="s">
        <v>203</v>
      </c>
      <c r="F831" s="5">
        <v>11877.56</v>
      </c>
      <c r="G831" s="5">
        <v>0</v>
      </c>
      <c r="H831" s="5">
        <v>621</v>
      </c>
      <c r="I831" s="5">
        <v>40</v>
      </c>
      <c r="J831" s="5">
        <v>161</v>
      </c>
      <c r="K831" s="6">
        <f t="shared" si="14"/>
        <v>12699.56</v>
      </c>
      <c r="M831" t="str">
        <f>VLOOKUP(B831,'[2]TABULADOR ok'!$A$2:$I$424,7,FALSE)</f>
        <v>T9</v>
      </c>
      <c r="N831" t="str">
        <f>VLOOKUP(B831,'[2]TABULADOR ok'!$A$2:$I$424,8,FALSE)</f>
        <v>T04873</v>
      </c>
      <c r="O831">
        <f>VLOOKUP(B831,'[2]TABULADOR ok'!$A$2:$I$424,9,FALSE)</f>
        <v>95</v>
      </c>
    </row>
    <row r="832" spans="1:15" x14ac:dyDescent="0.25">
      <c r="A832" s="4">
        <v>2011</v>
      </c>
      <c r="B832" s="11" t="s">
        <v>204</v>
      </c>
      <c r="C832" s="11" t="s">
        <v>205</v>
      </c>
      <c r="D832" s="11" t="s">
        <v>184</v>
      </c>
      <c r="E832" s="12" t="s">
        <v>206</v>
      </c>
      <c r="F832" s="5">
        <v>11877.56</v>
      </c>
      <c r="G832" s="5">
        <v>0</v>
      </c>
      <c r="H832" s="5">
        <v>621</v>
      </c>
      <c r="I832" s="5">
        <v>40</v>
      </c>
      <c r="J832" s="5">
        <v>161</v>
      </c>
      <c r="K832" s="6">
        <f t="shared" si="14"/>
        <v>12699.56</v>
      </c>
      <c r="M832" t="str">
        <f>VLOOKUP(B832,'[2]TABULADOR ok'!$A$2:$I$424,7,FALSE)</f>
        <v>T9</v>
      </c>
      <c r="N832" t="str">
        <f>VLOOKUP(B832,'[2]TABULADOR ok'!$A$2:$I$424,8,FALSE)</f>
        <v>T14007</v>
      </c>
      <c r="O832">
        <f>VLOOKUP(B832,'[2]TABULADOR ok'!$A$2:$I$424,9,FALSE)</f>
        <v>95</v>
      </c>
    </row>
    <row r="833" spans="1:15" x14ac:dyDescent="0.25">
      <c r="A833" s="4">
        <v>2011</v>
      </c>
      <c r="B833" s="11" t="s">
        <v>207</v>
      </c>
      <c r="C833" s="11" t="s">
        <v>208</v>
      </c>
      <c r="D833" s="11" t="s">
        <v>184</v>
      </c>
      <c r="E833" s="12" t="s">
        <v>209</v>
      </c>
      <c r="F833" s="5">
        <v>11877.56</v>
      </c>
      <c r="G833" s="5">
        <v>0</v>
      </c>
      <c r="H833" s="5">
        <v>621</v>
      </c>
      <c r="I833" s="5">
        <v>40</v>
      </c>
      <c r="J833" s="5">
        <v>161</v>
      </c>
      <c r="K833" s="6">
        <f t="shared" si="14"/>
        <v>12699.56</v>
      </c>
      <c r="M833" t="str">
        <f>VLOOKUP(B833,'[2]TABULADOR ok'!$A$2:$I$424,7,FALSE)</f>
        <v>T9</v>
      </c>
      <c r="N833" t="str">
        <f>VLOOKUP(B833,'[2]TABULADOR ok'!$A$2:$I$424,8,FALSE)</f>
        <v>T26806</v>
      </c>
      <c r="O833">
        <f>VLOOKUP(B833,'[2]TABULADOR ok'!$A$2:$I$424,9,FALSE)</f>
        <v>95</v>
      </c>
    </row>
    <row r="834" spans="1:15" x14ac:dyDescent="0.25">
      <c r="A834" s="7">
        <v>2010</v>
      </c>
      <c r="B834" s="8" t="s">
        <v>10</v>
      </c>
      <c r="C834" s="8" t="s">
        <v>11</v>
      </c>
      <c r="D834" s="8" t="s">
        <v>12</v>
      </c>
      <c r="E834" s="9" t="s">
        <v>13</v>
      </c>
      <c r="F834" s="10">
        <v>5712.9</v>
      </c>
      <c r="G834" s="10">
        <v>0</v>
      </c>
      <c r="H834" s="10">
        <v>551</v>
      </c>
      <c r="I834" s="10">
        <v>32</v>
      </c>
      <c r="J834" s="10">
        <v>120</v>
      </c>
      <c r="K834" s="6">
        <f>SUM(F834:J834)</f>
        <v>6415.9</v>
      </c>
      <c r="M834" t="str">
        <f>VLOOKUP(B834,'[2]TABULADOR ok'!$A$2:$I$424,7,FALSE)</f>
        <v>T1</v>
      </c>
      <c r="N834" t="str">
        <f>VLOOKUP(B834,'[2]TABULADOR ok'!$A$2:$I$424,8,FALSE)</f>
        <v>S01893</v>
      </c>
      <c r="O834">
        <f>VLOOKUP(B834,'[2]TABULADOR ok'!$A$2:$I$424,9,FALSE)</f>
        <v>95</v>
      </c>
    </row>
    <row r="835" spans="1:15" x14ac:dyDescent="0.25">
      <c r="A835" s="7">
        <v>2010</v>
      </c>
      <c r="B835" s="8" t="s">
        <v>14</v>
      </c>
      <c r="C835" s="8" t="s">
        <v>15</v>
      </c>
      <c r="D835" s="8" t="s">
        <v>16</v>
      </c>
      <c r="E835" s="9" t="s">
        <v>17</v>
      </c>
      <c r="F835" s="10">
        <v>5991.7</v>
      </c>
      <c r="G835" s="10">
        <v>0</v>
      </c>
      <c r="H835" s="10">
        <v>551</v>
      </c>
      <c r="I835" s="10">
        <v>32</v>
      </c>
      <c r="J835" s="10">
        <v>120</v>
      </c>
      <c r="K835" s="6">
        <f t="shared" ref="K835:K897" si="15">SUM(F835:J835)</f>
        <v>6694.7</v>
      </c>
      <c r="M835" t="str">
        <f>VLOOKUP(B835,'[2]TABULADOR ok'!$A$2:$I$424,7,FALSE)</f>
        <v>T2</v>
      </c>
      <c r="N835" t="str">
        <f>VLOOKUP(B835,'[2]TABULADOR ok'!$A$2:$I$424,8,FALSE)</f>
        <v>S01891</v>
      </c>
      <c r="O835">
        <f>VLOOKUP(B835,'[2]TABULADOR ok'!$A$2:$I$424,9,FALSE)</f>
        <v>95</v>
      </c>
    </row>
    <row r="836" spans="1:15" x14ac:dyDescent="0.25">
      <c r="A836" s="7">
        <v>2010</v>
      </c>
      <c r="B836" s="8" t="s">
        <v>18</v>
      </c>
      <c r="C836" s="8" t="s">
        <v>19</v>
      </c>
      <c r="D836" s="8" t="s">
        <v>16</v>
      </c>
      <c r="E836" s="9" t="s">
        <v>20</v>
      </c>
      <c r="F836" s="10">
        <v>5991.7</v>
      </c>
      <c r="G836" s="10">
        <v>0</v>
      </c>
      <c r="H836" s="10">
        <v>551</v>
      </c>
      <c r="I836" s="10">
        <v>32</v>
      </c>
      <c r="J836" s="10">
        <v>120</v>
      </c>
      <c r="K836" s="6">
        <f t="shared" si="15"/>
        <v>6694.7</v>
      </c>
      <c r="M836" t="str">
        <f>VLOOKUP(B836,'[2]TABULADOR ok'!$A$2:$I$424,7,FALSE)</f>
        <v>T2</v>
      </c>
      <c r="N836" t="str">
        <f>VLOOKUP(B836,'[2]TABULADOR ok'!$A$2:$I$424,8,FALSE)</f>
        <v>S03833</v>
      </c>
      <c r="O836">
        <f>VLOOKUP(B836,'[2]TABULADOR ok'!$A$2:$I$424,9,FALSE)</f>
        <v>95</v>
      </c>
    </row>
    <row r="837" spans="1:15" x14ac:dyDescent="0.25">
      <c r="A837" s="7">
        <v>2010</v>
      </c>
      <c r="B837" s="8" t="s">
        <v>21</v>
      </c>
      <c r="C837" s="8" t="s">
        <v>22</v>
      </c>
      <c r="D837" s="8" t="s">
        <v>16</v>
      </c>
      <c r="E837" s="9" t="s">
        <v>23</v>
      </c>
      <c r="F837" s="10">
        <v>5991.7</v>
      </c>
      <c r="G837" s="10">
        <v>0</v>
      </c>
      <c r="H837" s="10">
        <v>551</v>
      </c>
      <c r="I837" s="10">
        <v>32</v>
      </c>
      <c r="J837" s="10">
        <v>120</v>
      </c>
      <c r="K837" s="6">
        <f t="shared" si="15"/>
        <v>6694.7</v>
      </c>
      <c r="M837" t="str">
        <f>VLOOKUP(B837,'[2]TABULADOR ok'!$A$2:$I$424,7,FALSE)</f>
        <v>T2</v>
      </c>
      <c r="N837" t="str">
        <f>VLOOKUP(B837,'[2]TABULADOR ok'!$A$2:$I$424,8,FALSE)</f>
        <v>S12091</v>
      </c>
      <c r="O837">
        <f>VLOOKUP(B837,'[2]TABULADOR ok'!$A$2:$I$424,9,FALSE)</f>
        <v>95</v>
      </c>
    </row>
    <row r="838" spans="1:15" x14ac:dyDescent="0.25">
      <c r="A838" s="7">
        <v>2010</v>
      </c>
      <c r="B838" s="8" t="s">
        <v>24</v>
      </c>
      <c r="C838" s="8" t="s">
        <v>24</v>
      </c>
      <c r="D838" s="8" t="s">
        <v>25</v>
      </c>
      <c r="E838" s="9" t="s">
        <v>26</v>
      </c>
      <c r="F838" s="10">
        <v>6270.31</v>
      </c>
      <c r="G838" s="10">
        <v>0</v>
      </c>
      <c r="H838" s="10">
        <v>551</v>
      </c>
      <c r="I838" s="10">
        <v>32</v>
      </c>
      <c r="J838" s="10">
        <v>120</v>
      </c>
      <c r="K838" s="6">
        <f t="shared" si="15"/>
        <v>6973.31</v>
      </c>
      <c r="M838" t="str">
        <f>VLOOKUP(B838,'[2]TABULADOR ok'!$A$2:$I$424,7,FALSE)</f>
        <v>T3</v>
      </c>
      <c r="N838" t="str">
        <f>VLOOKUP(B838,'[2]TABULADOR ok'!$A$2:$I$424,8,FALSE)</f>
        <v>A01023</v>
      </c>
      <c r="O838">
        <f>VLOOKUP(B838,'[2]TABULADOR ok'!$A$2:$I$424,9,FALSE)</f>
        <v>95</v>
      </c>
    </row>
    <row r="839" spans="1:15" x14ac:dyDescent="0.25">
      <c r="A839" s="7">
        <v>2010</v>
      </c>
      <c r="B839" s="8" t="s">
        <v>27</v>
      </c>
      <c r="C839" s="8" t="s">
        <v>28</v>
      </c>
      <c r="D839" s="8" t="s">
        <v>25</v>
      </c>
      <c r="E839" s="9" t="s">
        <v>29</v>
      </c>
      <c r="F839" s="10">
        <v>6270.31</v>
      </c>
      <c r="G839" s="10">
        <v>0</v>
      </c>
      <c r="H839" s="10">
        <v>551</v>
      </c>
      <c r="I839" s="10">
        <v>32</v>
      </c>
      <c r="J839" s="10">
        <v>120</v>
      </c>
      <c r="K839" s="6">
        <f t="shared" si="15"/>
        <v>6973.31</v>
      </c>
      <c r="M839" t="str">
        <f>VLOOKUP(B839,'[2]TABULADOR ok'!$A$2:$I$424,7,FALSE)</f>
        <v>T3</v>
      </c>
      <c r="N839" t="str">
        <f>VLOOKUP(B839,'[2]TABULADOR ok'!$A$2:$I$424,8,FALSE)</f>
        <v>A01040</v>
      </c>
      <c r="O839">
        <f>VLOOKUP(B839,'[2]TABULADOR ok'!$A$2:$I$424,9,FALSE)</f>
        <v>95</v>
      </c>
    </row>
    <row r="840" spans="1:15" x14ac:dyDescent="0.25">
      <c r="A840" s="7">
        <v>2010</v>
      </c>
      <c r="B840" s="8" t="s">
        <v>30</v>
      </c>
      <c r="C840" s="8" t="s">
        <v>31</v>
      </c>
      <c r="D840" s="8" t="s">
        <v>25</v>
      </c>
      <c r="E840" s="9" t="s">
        <v>32</v>
      </c>
      <c r="F840" s="10">
        <v>6270.31</v>
      </c>
      <c r="G840" s="10">
        <v>0</v>
      </c>
      <c r="H840" s="10">
        <v>551</v>
      </c>
      <c r="I840" s="10">
        <v>32</v>
      </c>
      <c r="J840" s="10">
        <v>120</v>
      </c>
      <c r="K840" s="6">
        <f t="shared" si="15"/>
        <v>6973.31</v>
      </c>
      <c r="M840" t="str">
        <f>VLOOKUP(B840,'[2]TABULADOR ok'!$A$2:$I$424,7,FALSE)</f>
        <v>T3</v>
      </c>
      <c r="N840" t="str">
        <f>VLOOKUP(B840,'[2]TABULADOR ok'!$A$2:$I$424,8,FALSE)</f>
        <v>A02813</v>
      </c>
      <c r="O840">
        <f>VLOOKUP(B840,'[2]TABULADOR ok'!$A$2:$I$424,9,FALSE)</f>
        <v>95</v>
      </c>
    </row>
    <row r="841" spans="1:15" x14ac:dyDescent="0.25">
      <c r="A841" s="7">
        <v>2010</v>
      </c>
      <c r="B841" s="8" t="s">
        <v>33</v>
      </c>
      <c r="C841" s="8" t="s">
        <v>34</v>
      </c>
      <c r="D841" s="8" t="s">
        <v>25</v>
      </c>
      <c r="E841" s="9" t="s">
        <v>35</v>
      </c>
      <c r="F841" s="10">
        <v>6270.31</v>
      </c>
      <c r="G841" s="10">
        <v>0</v>
      </c>
      <c r="H841" s="10">
        <v>551</v>
      </c>
      <c r="I841" s="10">
        <v>32</v>
      </c>
      <c r="J841" s="10">
        <v>120</v>
      </c>
      <c r="K841" s="6">
        <f t="shared" si="15"/>
        <v>6973.31</v>
      </c>
      <c r="M841" t="str">
        <f>VLOOKUP(B841,'[2]TABULADOR ok'!$A$2:$I$424,7,FALSE)</f>
        <v>T3</v>
      </c>
      <c r="N841" t="str">
        <f>VLOOKUP(B841,'[2]TABULADOR ok'!$A$2:$I$424,8,FALSE)</f>
        <v>A03832</v>
      </c>
      <c r="O841">
        <f>VLOOKUP(B841,'[2]TABULADOR ok'!$A$2:$I$424,9,FALSE)</f>
        <v>95</v>
      </c>
    </row>
    <row r="842" spans="1:15" x14ac:dyDescent="0.25">
      <c r="A842" s="7">
        <v>2010</v>
      </c>
      <c r="B842" s="8" t="s">
        <v>36</v>
      </c>
      <c r="C842" s="8" t="s">
        <v>37</v>
      </c>
      <c r="D842" s="8" t="s">
        <v>25</v>
      </c>
      <c r="E842" s="9" t="s">
        <v>38</v>
      </c>
      <c r="F842" s="10">
        <v>6270.31</v>
      </c>
      <c r="G842" s="10">
        <v>0</v>
      </c>
      <c r="H842" s="10">
        <v>551</v>
      </c>
      <c r="I842" s="10">
        <v>32</v>
      </c>
      <c r="J842" s="10">
        <v>120</v>
      </c>
      <c r="K842" s="6">
        <f t="shared" si="15"/>
        <v>6973.31</v>
      </c>
      <c r="M842" t="str">
        <f>VLOOKUP(B842,'[2]TABULADOR ok'!$A$2:$I$424,7,FALSE)</f>
        <v>T3</v>
      </c>
      <c r="N842" t="str">
        <f>VLOOKUP(B842,'[2]TABULADOR ok'!$A$2:$I$424,8,FALSE)</f>
        <v>A05012</v>
      </c>
      <c r="O842">
        <f>VLOOKUP(B842,'[2]TABULADOR ok'!$A$2:$I$424,9,FALSE)</f>
        <v>95</v>
      </c>
    </row>
    <row r="843" spans="1:15" x14ac:dyDescent="0.25">
      <c r="A843" s="7">
        <v>2010</v>
      </c>
      <c r="B843" s="8" t="s">
        <v>39</v>
      </c>
      <c r="C843" s="8" t="s">
        <v>40</v>
      </c>
      <c r="D843" s="8" t="s">
        <v>25</v>
      </c>
      <c r="E843" s="9" t="s">
        <v>41</v>
      </c>
      <c r="F843" s="10">
        <v>6270.31</v>
      </c>
      <c r="G843" s="10">
        <v>0</v>
      </c>
      <c r="H843" s="10">
        <v>551</v>
      </c>
      <c r="I843" s="10">
        <v>32</v>
      </c>
      <c r="J843" s="10">
        <v>120</v>
      </c>
      <c r="K843" s="6">
        <f t="shared" si="15"/>
        <v>6973.31</v>
      </c>
      <c r="M843" t="str">
        <f>VLOOKUP(B843,'[2]TABULADOR ok'!$A$2:$I$424,7,FALSE)</f>
        <v>T3</v>
      </c>
      <c r="N843" t="str">
        <f>VLOOKUP(B843,'[2]TABULADOR ok'!$A$2:$I$424,8,FALSE)</f>
        <v>S01890</v>
      </c>
      <c r="O843">
        <f>VLOOKUP(B843,'[2]TABULADOR ok'!$A$2:$I$424,9,FALSE)</f>
        <v>95</v>
      </c>
    </row>
    <row r="844" spans="1:15" x14ac:dyDescent="0.25">
      <c r="A844" s="7">
        <v>2010</v>
      </c>
      <c r="B844" s="8" t="s">
        <v>42</v>
      </c>
      <c r="C844" s="8" t="s">
        <v>43</v>
      </c>
      <c r="D844" s="8" t="s">
        <v>25</v>
      </c>
      <c r="E844" s="9" t="s">
        <v>44</v>
      </c>
      <c r="F844" s="10">
        <v>6270.31</v>
      </c>
      <c r="G844" s="10">
        <v>0</v>
      </c>
      <c r="H844" s="10">
        <v>551</v>
      </c>
      <c r="I844" s="10">
        <v>32</v>
      </c>
      <c r="J844" s="10">
        <v>120</v>
      </c>
      <c r="K844" s="6">
        <f t="shared" si="15"/>
        <v>6973.31</v>
      </c>
      <c r="M844" t="str">
        <f>VLOOKUP(B844,'[2]TABULADOR ok'!$A$2:$I$424,7,FALSE)</f>
        <v>T3</v>
      </c>
      <c r="N844" t="str">
        <f>VLOOKUP(B844,'[2]TABULADOR ok'!$A$2:$I$424,8,FALSE)</f>
        <v>S01894</v>
      </c>
      <c r="O844">
        <f>VLOOKUP(B844,'[2]TABULADOR ok'!$A$2:$I$424,9,FALSE)</f>
        <v>95</v>
      </c>
    </row>
    <row r="845" spans="1:15" x14ac:dyDescent="0.25">
      <c r="A845" s="7">
        <v>2010</v>
      </c>
      <c r="B845" s="8" t="s">
        <v>45</v>
      </c>
      <c r="C845" s="8" t="s">
        <v>46</v>
      </c>
      <c r="D845" s="8" t="s">
        <v>47</v>
      </c>
      <c r="E845" s="9" t="s">
        <v>48</v>
      </c>
      <c r="F845" s="10">
        <v>6882.96</v>
      </c>
      <c r="G845" s="10">
        <v>0</v>
      </c>
      <c r="H845" s="10">
        <v>551</v>
      </c>
      <c r="I845" s="10">
        <v>32</v>
      </c>
      <c r="J845" s="10">
        <v>120</v>
      </c>
      <c r="K845" s="6">
        <f t="shared" si="15"/>
        <v>7585.96</v>
      </c>
      <c r="M845" t="str">
        <f>VLOOKUP(B845,'[2]TABULADOR ok'!$A$2:$I$424,7,FALSE)</f>
        <v>T4</v>
      </c>
      <c r="N845" t="str">
        <f>VLOOKUP(B845,'[2]TABULADOR ok'!$A$2:$I$424,8,FALSE)</f>
        <v>A03841</v>
      </c>
      <c r="O845">
        <f>VLOOKUP(B845,'[2]TABULADOR ok'!$A$2:$I$424,9,FALSE)</f>
        <v>95</v>
      </c>
    </row>
    <row r="846" spans="1:15" x14ac:dyDescent="0.25">
      <c r="A846" s="7">
        <v>2010</v>
      </c>
      <c r="B846" s="8" t="s">
        <v>49</v>
      </c>
      <c r="C846" s="8" t="s">
        <v>50</v>
      </c>
      <c r="D846" s="8" t="s">
        <v>47</v>
      </c>
      <c r="E846" s="9" t="s">
        <v>51</v>
      </c>
      <c r="F846" s="10">
        <v>6882.96</v>
      </c>
      <c r="G846" s="10">
        <v>0</v>
      </c>
      <c r="H846" s="10">
        <v>551</v>
      </c>
      <c r="I846" s="10">
        <v>32</v>
      </c>
      <c r="J846" s="10">
        <v>120</v>
      </c>
      <c r="K846" s="6">
        <f t="shared" si="15"/>
        <v>7585.96</v>
      </c>
      <c r="M846" t="str">
        <f>VLOOKUP(B846,'[2]TABULADOR ok'!$A$2:$I$424,7,FALSE)</f>
        <v>T4</v>
      </c>
      <c r="N846" t="str">
        <f>VLOOKUP(B846,'[2]TABULADOR ok'!$A$2:$I$424,8,FALSE)</f>
        <v>C02810</v>
      </c>
      <c r="O846">
        <f>VLOOKUP(B846,'[2]TABULADOR ok'!$A$2:$I$424,9,FALSE)</f>
        <v>95</v>
      </c>
    </row>
    <row r="847" spans="1:15" x14ac:dyDescent="0.25">
      <c r="A847" s="7">
        <v>2010</v>
      </c>
      <c r="B847" s="8" t="s">
        <v>52</v>
      </c>
      <c r="C847" s="8" t="s">
        <v>53</v>
      </c>
      <c r="D847" s="8" t="s">
        <v>47</v>
      </c>
      <c r="E847" s="9" t="s">
        <v>54</v>
      </c>
      <c r="F847" s="10">
        <v>6882.96</v>
      </c>
      <c r="G847" s="10">
        <v>0</v>
      </c>
      <c r="H847" s="10">
        <v>551</v>
      </c>
      <c r="I847" s="10">
        <v>32</v>
      </c>
      <c r="J847" s="10">
        <v>120</v>
      </c>
      <c r="K847" s="6">
        <f t="shared" si="15"/>
        <v>7585.96</v>
      </c>
      <c r="M847" t="str">
        <f>VLOOKUP(B847,'[2]TABULADOR ok'!$A$2:$I$424,7,FALSE)</f>
        <v>T4</v>
      </c>
      <c r="N847" t="str">
        <f>VLOOKUP(B847,'[2]TABULADOR ok'!$A$2:$I$424,8,FALSE)</f>
        <v>S01889</v>
      </c>
      <c r="O847">
        <f>VLOOKUP(B847,'[2]TABULADOR ok'!$A$2:$I$424,9,FALSE)</f>
        <v>95</v>
      </c>
    </row>
    <row r="848" spans="1:15" x14ac:dyDescent="0.25">
      <c r="A848" s="7">
        <v>2010</v>
      </c>
      <c r="B848" s="8" t="s">
        <v>55</v>
      </c>
      <c r="C848" s="8" t="s">
        <v>56</v>
      </c>
      <c r="D848" s="8" t="s">
        <v>47</v>
      </c>
      <c r="E848" s="9" t="s">
        <v>57</v>
      </c>
      <c r="F848" s="10">
        <v>6882.96</v>
      </c>
      <c r="G848" s="10">
        <v>0</v>
      </c>
      <c r="H848" s="10">
        <v>551</v>
      </c>
      <c r="I848" s="10">
        <v>32</v>
      </c>
      <c r="J848" s="10">
        <v>120</v>
      </c>
      <c r="K848" s="6">
        <f t="shared" si="15"/>
        <v>7585.96</v>
      </c>
      <c r="M848" t="str">
        <f>VLOOKUP(B848,'[2]TABULADOR ok'!$A$2:$I$424,7,FALSE)</f>
        <v>T4</v>
      </c>
      <c r="N848" t="str">
        <f>VLOOKUP(B848,'[2]TABULADOR ok'!$A$2:$I$424,8,FALSE)</f>
        <v>S01895</v>
      </c>
      <c r="O848">
        <f>VLOOKUP(B848,'[2]TABULADOR ok'!$A$2:$I$424,9,FALSE)</f>
        <v>95</v>
      </c>
    </row>
    <row r="849" spans="1:15" x14ac:dyDescent="0.25">
      <c r="A849" s="7">
        <v>2010</v>
      </c>
      <c r="B849" s="8" t="s">
        <v>58</v>
      </c>
      <c r="C849" s="8" t="s">
        <v>59</v>
      </c>
      <c r="D849" s="8" t="s">
        <v>47</v>
      </c>
      <c r="E849" s="9" t="s">
        <v>60</v>
      </c>
      <c r="F849" s="10">
        <v>6882.96</v>
      </c>
      <c r="G849" s="10">
        <v>0</v>
      </c>
      <c r="H849" s="10">
        <v>551</v>
      </c>
      <c r="I849" s="10">
        <v>32</v>
      </c>
      <c r="J849" s="10">
        <v>120</v>
      </c>
      <c r="K849" s="6">
        <f t="shared" si="15"/>
        <v>7585.96</v>
      </c>
      <c r="M849" t="str">
        <f>VLOOKUP(B849,'[2]TABULADOR ok'!$A$2:$I$424,7,FALSE)</f>
        <v>T4</v>
      </c>
      <c r="N849" t="str">
        <f>VLOOKUP(B849,'[2]TABULADOR ok'!$A$2:$I$424,8,FALSE)</f>
        <v>S03834</v>
      </c>
      <c r="O849">
        <f>VLOOKUP(B849,'[2]TABULADOR ok'!$A$2:$I$424,9,FALSE)</f>
        <v>95</v>
      </c>
    </row>
    <row r="850" spans="1:15" x14ac:dyDescent="0.25">
      <c r="A850" s="7">
        <v>2010</v>
      </c>
      <c r="B850" s="8" t="s">
        <v>61</v>
      </c>
      <c r="C850" s="8" t="s">
        <v>62</v>
      </c>
      <c r="D850" s="8" t="s">
        <v>47</v>
      </c>
      <c r="E850" s="9" t="s">
        <v>63</v>
      </c>
      <c r="F850" s="10">
        <v>6882.96</v>
      </c>
      <c r="G850" s="10">
        <v>0</v>
      </c>
      <c r="H850" s="10">
        <v>551</v>
      </c>
      <c r="I850" s="10">
        <v>32</v>
      </c>
      <c r="J850" s="10">
        <v>120</v>
      </c>
      <c r="K850" s="6">
        <f t="shared" si="15"/>
        <v>7585.96</v>
      </c>
      <c r="M850" t="str">
        <f>VLOOKUP(B850,'[2]TABULADOR ok'!$A$2:$I$424,7,FALSE)</f>
        <v>T4</v>
      </c>
      <c r="N850" t="str">
        <f>VLOOKUP(B850,'[2]TABULADOR ok'!$A$2:$I$424,8,FALSE)</f>
        <v>S12020</v>
      </c>
      <c r="O850">
        <f>VLOOKUP(B850,'[2]TABULADOR ok'!$A$2:$I$424,9,FALSE)</f>
        <v>95</v>
      </c>
    </row>
    <row r="851" spans="1:15" x14ac:dyDescent="0.25">
      <c r="A851" s="7">
        <v>2010</v>
      </c>
      <c r="B851" s="8" t="s">
        <v>64</v>
      </c>
      <c r="C851" s="8" t="s">
        <v>65</v>
      </c>
      <c r="D851" s="8" t="s">
        <v>47</v>
      </c>
      <c r="E851" s="9" t="s">
        <v>66</v>
      </c>
      <c r="F851" s="10">
        <v>6882.96</v>
      </c>
      <c r="G851" s="10">
        <v>0</v>
      </c>
      <c r="H851" s="10">
        <v>551</v>
      </c>
      <c r="I851" s="10">
        <v>32</v>
      </c>
      <c r="J851" s="10">
        <v>120</v>
      </c>
      <c r="K851" s="6">
        <f t="shared" si="15"/>
        <v>7585.96</v>
      </c>
      <c r="M851" t="str">
        <f>VLOOKUP(B851,'[2]TABULADOR ok'!$A$2:$I$424,7,FALSE)</f>
        <v>T4</v>
      </c>
      <c r="N851" t="str">
        <f>VLOOKUP(B851,'[2]TABULADOR ok'!$A$2:$I$424,8,FALSE)</f>
        <v>S12092</v>
      </c>
      <c r="O851">
        <f>VLOOKUP(B851,'[2]TABULADOR ok'!$A$2:$I$424,9,FALSE)</f>
        <v>95</v>
      </c>
    </row>
    <row r="852" spans="1:15" x14ac:dyDescent="0.25">
      <c r="A852" s="7">
        <v>2010</v>
      </c>
      <c r="B852" s="8" t="s">
        <v>67</v>
      </c>
      <c r="C852" s="8" t="s">
        <v>68</v>
      </c>
      <c r="D852" s="8" t="s">
        <v>47</v>
      </c>
      <c r="E852" s="9" t="s">
        <v>69</v>
      </c>
      <c r="F852" s="10">
        <v>6882.96</v>
      </c>
      <c r="G852" s="10">
        <v>0</v>
      </c>
      <c r="H852" s="10">
        <v>551</v>
      </c>
      <c r="I852" s="10">
        <v>32</v>
      </c>
      <c r="J852" s="10">
        <v>120</v>
      </c>
      <c r="K852" s="6">
        <f t="shared" si="15"/>
        <v>7585.96</v>
      </c>
      <c r="M852" t="str">
        <f>VLOOKUP(B852,'[2]TABULADOR ok'!$A$2:$I$424,7,FALSE)</f>
        <v>T4</v>
      </c>
      <c r="N852" t="str">
        <f>VLOOKUP(B852,'[2]TABULADOR ok'!$A$2:$I$424,8,FALSE)</f>
        <v>S12093</v>
      </c>
      <c r="O852">
        <f>VLOOKUP(B852,'[2]TABULADOR ok'!$A$2:$I$424,9,FALSE)</f>
        <v>95</v>
      </c>
    </row>
    <row r="853" spans="1:15" x14ac:dyDescent="0.25">
      <c r="A853" s="7">
        <v>2010</v>
      </c>
      <c r="B853" s="8" t="s">
        <v>70</v>
      </c>
      <c r="C853" s="8" t="s">
        <v>71</v>
      </c>
      <c r="D853" s="8" t="s">
        <v>47</v>
      </c>
      <c r="E853" s="9" t="s">
        <v>72</v>
      </c>
      <c r="F853" s="10">
        <v>6882.96</v>
      </c>
      <c r="G853" s="10">
        <v>0</v>
      </c>
      <c r="H853" s="10">
        <v>551</v>
      </c>
      <c r="I853" s="10">
        <v>32</v>
      </c>
      <c r="J853" s="10">
        <v>120</v>
      </c>
      <c r="K853" s="6">
        <f t="shared" si="15"/>
        <v>7585.96</v>
      </c>
      <c r="M853" t="str">
        <f>VLOOKUP(B853,'[2]TABULADOR ok'!$A$2:$I$424,7,FALSE)</f>
        <v>T4</v>
      </c>
      <c r="N853" t="str">
        <f>VLOOKUP(B853,'[2]TABULADOR ok'!$A$2:$I$424,8,FALSE)</f>
        <v>S12096</v>
      </c>
      <c r="O853">
        <f>VLOOKUP(B853,'[2]TABULADOR ok'!$A$2:$I$424,9,FALSE)</f>
        <v>95</v>
      </c>
    </row>
    <row r="854" spans="1:15" x14ac:dyDescent="0.25">
      <c r="A854" s="7">
        <v>2010</v>
      </c>
      <c r="B854" s="8" t="s">
        <v>73</v>
      </c>
      <c r="C854" s="8" t="s">
        <v>74</v>
      </c>
      <c r="D854" s="8" t="s">
        <v>47</v>
      </c>
      <c r="E854" s="9" t="s">
        <v>75</v>
      </c>
      <c r="F854" s="10">
        <v>6882.96</v>
      </c>
      <c r="G854" s="10">
        <v>0</v>
      </c>
      <c r="H854" s="10">
        <v>551</v>
      </c>
      <c r="I854" s="10">
        <v>32</v>
      </c>
      <c r="J854" s="10">
        <v>120</v>
      </c>
      <c r="K854" s="6">
        <f t="shared" si="15"/>
        <v>7585.96</v>
      </c>
      <c r="M854" t="str">
        <f>VLOOKUP(B854,'[2]TABULADOR ok'!$A$2:$I$424,7,FALSE)</f>
        <v>T4</v>
      </c>
      <c r="N854" t="str">
        <f>VLOOKUP(B854,'[2]TABULADOR ok'!$A$2:$I$424,8,FALSE)</f>
        <v>S12097</v>
      </c>
      <c r="O854">
        <f>VLOOKUP(B854,'[2]TABULADOR ok'!$A$2:$I$424,9,FALSE)</f>
        <v>95</v>
      </c>
    </row>
    <row r="855" spans="1:15" x14ac:dyDescent="0.25">
      <c r="A855" s="7">
        <v>2010</v>
      </c>
      <c r="B855" s="8" t="s">
        <v>76</v>
      </c>
      <c r="C855" s="8" t="s">
        <v>77</v>
      </c>
      <c r="D855" s="8" t="s">
        <v>47</v>
      </c>
      <c r="E855" s="9" t="s">
        <v>78</v>
      </c>
      <c r="F855" s="10">
        <v>6882.96</v>
      </c>
      <c r="G855" s="10">
        <v>0</v>
      </c>
      <c r="H855" s="10">
        <v>551</v>
      </c>
      <c r="I855" s="10">
        <v>32</v>
      </c>
      <c r="J855" s="10">
        <v>120</v>
      </c>
      <c r="K855" s="6">
        <f t="shared" si="15"/>
        <v>7585.96</v>
      </c>
      <c r="M855" t="str">
        <f>VLOOKUP(B855,'[2]TABULADOR ok'!$A$2:$I$424,7,FALSE)</f>
        <v>T4</v>
      </c>
      <c r="N855" t="str">
        <f>VLOOKUP(B855,'[2]TABULADOR ok'!$A$2:$I$424,8,FALSE)</f>
        <v>S12098</v>
      </c>
      <c r="O855">
        <f>VLOOKUP(B855,'[2]TABULADOR ok'!$A$2:$I$424,9,FALSE)</f>
        <v>95</v>
      </c>
    </row>
    <row r="856" spans="1:15" x14ac:dyDescent="0.25">
      <c r="A856" s="7">
        <v>2010</v>
      </c>
      <c r="B856" s="8" t="s">
        <v>79</v>
      </c>
      <c r="C856" s="8" t="s">
        <v>80</v>
      </c>
      <c r="D856" s="8" t="s">
        <v>47</v>
      </c>
      <c r="E856" s="9" t="s">
        <v>81</v>
      </c>
      <c r="F856" s="10">
        <v>6882.96</v>
      </c>
      <c r="G856" s="10">
        <v>0</v>
      </c>
      <c r="H856" s="10">
        <v>551</v>
      </c>
      <c r="I856" s="10">
        <v>32</v>
      </c>
      <c r="J856" s="10">
        <v>120</v>
      </c>
      <c r="K856" s="6">
        <f t="shared" si="15"/>
        <v>7585.96</v>
      </c>
      <c r="M856" t="str">
        <f>VLOOKUP(B856,'[2]TABULADOR ok'!$A$2:$I$424,7,FALSE)</f>
        <v>T4</v>
      </c>
      <c r="N856" t="str">
        <f>VLOOKUP(B856,'[2]TABULADOR ok'!$A$2:$I$424,8,FALSE)</f>
        <v>T06824</v>
      </c>
      <c r="O856">
        <f>VLOOKUP(B856,'[2]TABULADOR ok'!$A$2:$I$424,9,FALSE)</f>
        <v>95</v>
      </c>
    </row>
    <row r="857" spans="1:15" x14ac:dyDescent="0.25">
      <c r="A857" s="7">
        <v>2010</v>
      </c>
      <c r="B857" s="8" t="s">
        <v>82</v>
      </c>
      <c r="C857" s="8" t="s">
        <v>83</v>
      </c>
      <c r="D857" s="8" t="s">
        <v>84</v>
      </c>
      <c r="E857" s="9" t="s">
        <v>85</v>
      </c>
      <c r="F857" s="10">
        <v>7575.45</v>
      </c>
      <c r="G857" s="10">
        <v>0</v>
      </c>
      <c r="H857" s="10">
        <v>551</v>
      </c>
      <c r="I857" s="10">
        <v>32</v>
      </c>
      <c r="J857" s="10">
        <v>120</v>
      </c>
      <c r="K857" s="6">
        <f t="shared" si="15"/>
        <v>8278.4500000000007</v>
      </c>
      <c r="M857" t="str">
        <f>VLOOKUP(B857,'[2]TABULADOR ok'!$A$2:$I$424,7,FALSE)</f>
        <v>T5</v>
      </c>
      <c r="N857" t="str">
        <f>VLOOKUP(B857,'[2]TABULADOR ok'!$A$2:$I$424,8,FALSE)</f>
        <v>A01038</v>
      </c>
      <c r="O857">
        <f>VLOOKUP(B857,'[2]TABULADOR ok'!$A$2:$I$424,9,FALSE)</f>
        <v>95</v>
      </c>
    </row>
    <row r="858" spans="1:15" x14ac:dyDescent="0.25">
      <c r="A858" s="7">
        <v>2010</v>
      </c>
      <c r="B858" s="8" t="s">
        <v>86</v>
      </c>
      <c r="C858" s="8" t="s">
        <v>87</v>
      </c>
      <c r="D858" s="8" t="s">
        <v>84</v>
      </c>
      <c r="E858" s="9" t="s">
        <v>88</v>
      </c>
      <c r="F858" s="10">
        <v>7575.45</v>
      </c>
      <c r="G858" s="10">
        <v>0</v>
      </c>
      <c r="H858" s="10">
        <v>551</v>
      </c>
      <c r="I858" s="10">
        <v>32</v>
      </c>
      <c r="J858" s="10">
        <v>120</v>
      </c>
      <c r="K858" s="6">
        <f t="shared" si="15"/>
        <v>8278.4500000000007</v>
      </c>
      <c r="M858" t="str">
        <f>VLOOKUP(B858,'[2]TABULADOR ok'!$A$2:$I$424,7,FALSE)</f>
        <v>T5</v>
      </c>
      <c r="N858" t="str">
        <f>VLOOKUP(B858,'[2]TABULADOR ok'!$A$2:$I$424,8,FALSE)</f>
        <v>A03840</v>
      </c>
      <c r="O858">
        <f>VLOOKUP(B858,'[2]TABULADOR ok'!$A$2:$I$424,9,FALSE)</f>
        <v>95</v>
      </c>
    </row>
    <row r="859" spans="1:15" x14ac:dyDescent="0.25">
      <c r="A859" s="7">
        <v>2010</v>
      </c>
      <c r="B859" s="8" t="s">
        <v>89</v>
      </c>
      <c r="C859" s="8" t="s">
        <v>90</v>
      </c>
      <c r="D859" s="8" t="s">
        <v>84</v>
      </c>
      <c r="E859" s="9" t="s">
        <v>91</v>
      </c>
      <c r="F859" s="10">
        <v>7575.45</v>
      </c>
      <c r="G859" s="10">
        <v>0</v>
      </c>
      <c r="H859" s="10">
        <v>551</v>
      </c>
      <c r="I859" s="10">
        <v>32</v>
      </c>
      <c r="J859" s="10">
        <v>120</v>
      </c>
      <c r="K859" s="6">
        <f t="shared" si="15"/>
        <v>8278.4500000000007</v>
      </c>
      <c r="M859" t="str">
        <f>VLOOKUP(B859,'[2]TABULADOR ok'!$A$2:$I$424,7,FALSE)</f>
        <v>T5</v>
      </c>
      <c r="N859" t="str">
        <f>VLOOKUP(B859,'[2]TABULADOR ok'!$A$2:$I$424,8,FALSE)</f>
        <v>A05011</v>
      </c>
      <c r="O859">
        <f>VLOOKUP(B859,'[2]TABULADOR ok'!$A$2:$I$424,9,FALSE)</f>
        <v>95</v>
      </c>
    </row>
    <row r="860" spans="1:15" x14ac:dyDescent="0.25">
      <c r="A860" s="7">
        <v>2010</v>
      </c>
      <c r="B860" s="8" t="s">
        <v>92</v>
      </c>
      <c r="C860" s="8" t="s">
        <v>93</v>
      </c>
      <c r="D860" s="8" t="s">
        <v>84</v>
      </c>
      <c r="E860" s="9" t="s">
        <v>94</v>
      </c>
      <c r="F860" s="10">
        <v>7575.45</v>
      </c>
      <c r="G860" s="10">
        <v>0</v>
      </c>
      <c r="H860" s="10">
        <v>551</v>
      </c>
      <c r="I860" s="10">
        <v>32</v>
      </c>
      <c r="J860" s="10">
        <v>120</v>
      </c>
      <c r="K860" s="6">
        <f t="shared" si="15"/>
        <v>8278.4500000000007</v>
      </c>
      <c r="M860" t="str">
        <f>VLOOKUP(B860,'[2]TABULADOR ok'!$A$2:$I$424,7,FALSE)</f>
        <v>T5</v>
      </c>
      <c r="N860" t="str">
        <f>VLOOKUP(B860,'[2]TABULADOR ok'!$A$2:$I$424,8,FALSE)</f>
        <v>S01892</v>
      </c>
      <c r="O860">
        <f>VLOOKUP(B860,'[2]TABULADOR ok'!$A$2:$I$424,9,FALSE)</f>
        <v>95</v>
      </c>
    </row>
    <row r="861" spans="1:15" x14ac:dyDescent="0.25">
      <c r="A861" s="7">
        <v>2010</v>
      </c>
      <c r="B861" s="8" t="s">
        <v>95</v>
      </c>
      <c r="C861" s="8" t="s">
        <v>96</v>
      </c>
      <c r="D861" s="8" t="s">
        <v>84</v>
      </c>
      <c r="E861" s="9" t="s">
        <v>97</v>
      </c>
      <c r="F861" s="10">
        <v>7575.45</v>
      </c>
      <c r="G861" s="10">
        <v>0</v>
      </c>
      <c r="H861" s="10">
        <v>551</v>
      </c>
      <c r="I861" s="10">
        <v>32</v>
      </c>
      <c r="J861" s="10">
        <v>120</v>
      </c>
      <c r="K861" s="6">
        <f t="shared" si="15"/>
        <v>8278.4500000000007</v>
      </c>
      <c r="M861" t="str">
        <f>VLOOKUP(B861,'[2]TABULADOR ok'!$A$2:$I$424,7,FALSE)</f>
        <v>T5</v>
      </c>
      <c r="N861" t="str">
        <f>VLOOKUP(B861,'[2]TABULADOR ok'!$A$2:$I$424,8,FALSE)</f>
        <v>S01896</v>
      </c>
      <c r="O861">
        <f>VLOOKUP(B861,'[2]TABULADOR ok'!$A$2:$I$424,9,FALSE)</f>
        <v>95</v>
      </c>
    </row>
    <row r="862" spans="1:15" x14ac:dyDescent="0.25">
      <c r="A862" s="7">
        <v>2010</v>
      </c>
      <c r="B862" s="8" t="s">
        <v>98</v>
      </c>
      <c r="C862" s="8" t="s">
        <v>99</v>
      </c>
      <c r="D862" s="8" t="s">
        <v>84</v>
      </c>
      <c r="E862" s="9" t="s">
        <v>100</v>
      </c>
      <c r="F862" s="10">
        <v>7575.45</v>
      </c>
      <c r="G862" s="10">
        <v>0</v>
      </c>
      <c r="H862" s="10">
        <v>551</v>
      </c>
      <c r="I862" s="10">
        <v>32</v>
      </c>
      <c r="J862" s="10">
        <v>120</v>
      </c>
      <c r="K862" s="6">
        <f t="shared" si="15"/>
        <v>8278.4500000000007</v>
      </c>
      <c r="M862" t="str">
        <f>VLOOKUP(B862,'[2]TABULADOR ok'!$A$2:$I$424,7,FALSE)</f>
        <v>T5</v>
      </c>
      <c r="N862" t="str">
        <f>VLOOKUP(B862,'[2]TABULADOR ok'!$A$2:$I$424,8,FALSE)</f>
        <v>S12011</v>
      </c>
      <c r="O862">
        <f>VLOOKUP(B862,'[2]TABULADOR ok'!$A$2:$I$424,9,FALSE)</f>
        <v>95</v>
      </c>
    </row>
    <row r="863" spans="1:15" x14ac:dyDescent="0.25">
      <c r="A863" s="7">
        <v>2010</v>
      </c>
      <c r="B863" s="8" t="s">
        <v>101</v>
      </c>
      <c r="C863" s="8" t="s">
        <v>102</v>
      </c>
      <c r="D863" s="8" t="s">
        <v>84</v>
      </c>
      <c r="E863" s="9" t="s">
        <v>103</v>
      </c>
      <c r="F863" s="10">
        <v>7575.45</v>
      </c>
      <c r="G863" s="10">
        <v>0</v>
      </c>
      <c r="H863" s="10">
        <v>551</v>
      </c>
      <c r="I863" s="10">
        <v>32</v>
      </c>
      <c r="J863" s="10">
        <v>120</v>
      </c>
      <c r="K863" s="6">
        <f t="shared" si="15"/>
        <v>8278.4500000000007</v>
      </c>
      <c r="M863" t="str">
        <f>VLOOKUP(B863,'[2]TABULADOR ok'!$A$2:$I$424,7,FALSE)</f>
        <v>T5</v>
      </c>
      <c r="N863" t="str">
        <f>VLOOKUP(B863,'[2]TABULADOR ok'!$A$2:$I$424,8,FALSE)</f>
        <v>S12094</v>
      </c>
      <c r="O863">
        <f>VLOOKUP(B863,'[2]TABULADOR ok'!$A$2:$I$424,9,FALSE)</f>
        <v>95</v>
      </c>
    </row>
    <row r="864" spans="1:15" x14ac:dyDescent="0.25">
      <c r="A864" s="7">
        <v>2010</v>
      </c>
      <c r="B864" s="8" t="s">
        <v>104</v>
      </c>
      <c r="C864" s="8" t="s">
        <v>105</v>
      </c>
      <c r="D864" s="8" t="s">
        <v>84</v>
      </c>
      <c r="E864" s="9" t="s">
        <v>106</v>
      </c>
      <c r="F864" s="10">
        <v>7575.45</v>
      </c>
      <c r="G864" s="10">
        <v>0</v>
      </c>
      <c r="H864" s="10">
        <v>551</v>
      </c>
      <c r="I864" s="10">
        <v>32</v>
      </c>
      <c r="J864" s="10">
        <v>120</v>
      </c>
      <c r="K864" s="6">
        <f t="shared" si="15"/>
        <v>8278.4500000000007</v>
      </c>
      <c r="M864" t="str">
        <f>VLOOKUP(B864,'[2]TABULADOR ok'!$A$2:$I$424,7,FALSE)</f>
        <v>T5</v>
      </c>
      <c r="N864" t="str">
        <f>VLOOKUP(B864,'[2]TABULADOR ok'!$A$2:$I$424,8,FALSE)</f>
        <v>T03853</v>
      </c>
      <c r="O864">
        <f>VLOOKUP(B864,'[2]TABULADOR ok'!$A$2:$I$424,9,FALSE)</f>
        <v>95</v>
      </c>
    </row>
    <row r="865" spans="1:15" x14ac:dyDescent="0.25">
      <c r="A865" s="7">
        <v>2010</v>
      </c>
      <c r="B865" s="8" t="s">
        <v>107</v>
      </c>
      <c r="C865" s="8" t="s">
        <v>108</v>
      </c>
      <c r="D865" s="8" t="s">
        <v>84</v>
      </c>
      <c r="E865" s="9" t="s">
        <v>109</v>
      </c>
      <c r="F865" s="10">
        <v>7575.45</v>
      </c>
      <c r="G865" s="10">
        <v>0</v>
      </c>
      <c r="H865" s="10">
        <v>551</v>
      </c>
      <c r="I865" s="10">
        <v>32</v>
      </c>
      <c r="J865" s="10">
        <v>120</v>
      </c>
      <c r="K865" s="6">
        <f t="shared" si="15"/>
        <v>8278.4500000000007</v>
      </c>
      <c r="M865" t="str">
        <f>VLOOKUP(B865,'[2]TABULADOR ok'!$A$2:$I$424,7,FALSE)</f>
        <v>T5</v>
      </c>
      <c r="N865" t="str">
        <f>VLOOKUP(B865,'[2]TABULADOR ok'!$A$2:$I$424,8,FALSE)</f>
        <v>T13818</v>
      </c>
      <c r="O865">
        <f>VLOOKUP(B865,'[2]TABULADOR ok'!$A$2:$I$424,9,FALSE)</f>
        <v>95</v>
      </c>
    </row>
    <row r="866" spans="1:15" x14ac:dyDescent="0.25">
      <c r="A866" s="7">
        <v>2010</v>
      </c>
      <c r="B866" s="8" t="s">
        <v>110</v>
      </c>
      <c r="C866" s="8" t="s">
        <v>111</v>
      </c>
      <c r="D866" s="8" t="s">
        <v>84</v>
      </c>
      <c r="E866" s="9" t="s">
        <v>112</v>
      </c>
      <c r="F866" s="10">
        <v>7575.45</v>
      </c>
      <c r="G866" s="10">
        <v>0</v>
      </c>
      <c r="H866" s="10">
        <v>551</v>
      </c>
      <c r="I866" s="10">
        <v>32</v>
      </c>
      <c r="J866" s="10">
        <v>120</v>
      </c>
      <c r="K866" s="6">
        <f t="shared" si="15"/>
        <v>8278.4500000000007</v>
      </c>
      <c r="M866" t="str">
        <f>VLOOKUP(B866,'[2]TABULADOR ok'!$A$2:$I$424,7,FALSE)</f>
        <v>T5</v>
      </c>
      <c r="N866" t="str">
        <f>VLOOKUP(B866,'[2]TABULADOR ok'!$A$2:$I$424,8,FALSE)</f>
        <v>T14034</v>
      </c>
      <c r="O866">
        <f>VLOOKUP(B866,'[2]TABULADOR ok'!$A$2:$I$424,9,FALSE)</f>
        <v>95</v>
      </c>
    </row>
    <row r="867" spans="1:15" x14ac:dyDescent="0.25">
      <c r="A867" s="7">
        <v>2010</v>
      </c>
      <c r="B867" s="8" t="s">
        <v>113</v>
      </c>
      <c r="C867" s="8" t="s">
        <v>114</v>
      </c>
      <c r="D867" s="8" t="s">
        <v>115</v>
      </c>
      <c r="E867" s="9" t="s">
        <v>116</v>
      </c>
      <c r="F867" s="10">
        <v>8426.8700000000008</v>
      </c>
      <c r="G867" s="10">
        <v>0</v>
      </c>
      <c r="H867" s="10">
        <v>551</v>
      </c>
      <c r="I867" s="10">
        <v>32</v>
      </c>
      <c r="J867" s="10">
        <v>120</v>
      </c>
      <c r="K867" s="6">
        <f t="shared" si="15"/>
        <v>9129.8700000000008</v>
      </c>
      <c r="M867" t="str">
        <f>VLOOKUP(B867,'[2]TABULADOR ok'!$A$2:$I$424,7,FALSE)</f>
        <v>T6</v>
      </c>
      <c r="N867" t="str">
        <f>VLOOKUP(B867,'[2]TABULADOR ok'!$A$2:$I$424,8,FALSE)</f>
        <v>A03839</v>
      </c>
      <c r="O867">
        <f>VLOOKUP(B867,'[2]TABULADOR ok'!$A$2:$I$424,9,FALSE)</f>
        <v>95</v>
      </c>
    </row>
    <row r="868" spans="1:15" x14ac:dyDescent="0.25">
      <c r="A868" s="7">
        <v>2010</v>
      </c>
      <c r="B868" s="8" t="s">
        <v>117</v>
      </c>
      <c r="C868" s="8" t="s">
        <v>118</v>
      </c>
      <c r="D868" s="8" t="s">
        <v>115</v>
      </c>
      <c r="E868" s="9" t="s">
        <v>119</v>
      </c>
      <c r="F868" s="10">
        <v>8426.8700000000008</v>
      </c>
      <c r="G868" s="10">
        <v>0</v>
      </c>
      <c r="H868" s="10">
        <v>551</v>
      </c>
      <c r="I868" s="10">
        <v>32</v>
      </c>
      <c r="J868" s="10">
        <v>120</v>
      </c>
      <c r="K868" s="6">
        <f t="shared" si="15"/>
        <v>9129.8700000000008</v>
      </c>
      <c r="M868" t="str">
        <f>VLOOKUP(B868,'[2]TABULADOR ok'!$A$2:$I$424,7,FALSE)</f>
        <v>T6</v>
      </c>
      <c r="N868" t="str">
        <f>VLOOKUP(B868,'[2]TABULADOR ok'!$A$2:$I$424,8,FALSE)</f>
        <v>P07027</v>
      </c>
      <c r="O868">
        <f>VLOOKUP(B868,'[2]TABULADOR ok'!$A$2:$I$424,9,FALSE)</f>
        <v>95</v>
      </c>
    </row>
    <row r="869" spans="1:15" x14ac:dyDescent="0.25">
      <c r="A869" s="7">
        <v>2010</v>
      </c>
      <c r="B869" s="8" t="s">
        <v>120</v>
      </c>
      <c r="C869" s="8" t="s">
        <v>121</v>
      </c>
      <c r="D869" s="8" t="s">
        <v>115</v>
      </c>
      <c r="E869" s="9" t="s">
        <v>122</v>
      </c>
      <c r="F869" s="10">
        <v>8426.8700000000008</v>
      </c>
      <c r="G869" s="10">
        <v>0</v>
      </c>
      <c r="H869" s="10">
        <v>551</v>
      </c>
      <c r="I869" s="10">
        <v>32</v>
      </c>
      <c r="J869" s="10">
        <v>120</v>
      </c>
      <c r="K869" s="6">
        <f t="shared" si="15"/>
        <v>9129.8700000000008</v>
      </c>
      <c r="M869" t="str">
        <f>VLOOKUP(B869,'[2]TABULADOR ok'!$A$2:$I$424,7,FALSE)</f>
        <v>T6</v>
      </c>
      <c r="N869" t="str">
        <f>VLOOKUP(B869,'[2]TABULADOR ok'!$A$2:$I$424,8,FALSE)</f>
        <v>S03830</v>
      </c>
      <c r="O869">
        <f>VLOOKUP(B869,'[2]TABULADOR ok'!$A$2:$I$424,9,FALSE)</f>
        <v>95</v>
      </c>
    </row>
    <row r="870" spans="1:15" x14ac:dyDescent="0.25">
      <c r="A870" s="7">
        <v>2010</v>
      </c>
      <c r="B870" s="8" t="s">
        <v>123</v>
      </c>
      <c r="C870" s="8" t="s">
        <v>124</v>
      </c>
      <c r="D870" s="8" t="s">
        <v>115</v>
      </c>
      <c r="E870" s="9" t="s">
        <v>125</v>
      </c>
      <c r="F870" s="10">
        <v>8426.8700000000008</v>
      </c>
      <c r="G870" s="10">
        <v>0</v>
      </c>
      <c r="H870" s="10">
        <v>551</v>
      </c>
      <c r="I870" s="10">
        <v>32</v>
      </c>
      <c r="J870" s="10">
        <v>120</v>
      </c>
      <c r="K870" s="6">
        <f t="shared" si="15"/>
        <v>9129.8700000000008</v>
      </c>
      <c r="M870" t="str">
        <f>VLOOKUP(B870,'[2]TABULADOR ok'!$A$2:$I$424,7,FALSE)</f>
        <v>T6</v>
      </c>
      <c r="N870" t="str">
        <f>VLOOKUP(B870,'[2]TABULADOR ok'!$A$2:$I$424,8,FALSE)</f>
        <v>S03831</v>
      </c>
      <c r="O870">
        <f>VLOOKUP(B870,'[2]TABULADOR ok'!$A$2:$I$424,9,FALSE)</f>
        <v>95</v>
      </c>
    </row>
    <row r="871" spans="1:15" x14ac:dyDescent="0.25">
      <c r="A871" s="7">
        <v>2010</v>
      </c>
      <c r="B871" s="8" t="s">
        <v>126</v>
      </c>
      <c r="C871" s="8" t="s">
        <v>127</v>
      </c>
      <c r="D871" s="8" t="s">
        <v>115</v>
      </c>
      <c r="E871" s="9" t="s">
        <v>128</v>
      </c>
      <c r="F871" s="10">
        <v>8426.8700000000008</v>
      </c>
      <c r="G871" s="10">
        <v>0</v>
      </c>
      <c r="H871" s="10">
        <v>551</v>
      </c>
      <c r="I871" s="10">
        <v>32</v>
      </c>
      <c r="J871" s="10">
        <v>120</v>
      </c>
      <c r="K871" s="6">
        <f t="shared" si="15"/>
        <v>9129.8700000000008</v>
      </c>
      <c r="M871" t="str">
        <f>VLOOKUP(B871,'[2]TABULADOR ok'!$A$2:$I$424,7,FALSE)</f>
        <v>T6</v>
      </c>
      <c r="N871" t="str">
        <f>VLOOKUP(B871,'[2]TABULADOR ok'!$A$2:$I$424,8,FALSE)</f>
        <v>S09807</v>
      </c>
      <c r="O871">
        <f>VLOOKUP(B871,'[2]TABULADOR ok'!$A$2:$I$424,9,FALSE)</f>
        <v>95</v>
      </c>
    </row>
    <row r="872" spans="1:15" x14ac:dyDescent="0.25">
      <c r="A872" s="7">
        <v>2010</v>
      </c>
      <c r="B872" s="8" t="s">
        <v>129</v>
      </c>
      <c r="C872" s="8" t="s">
        <v>130</v>
      </c>
      <c r="D872" s="8" t="s">
        <v>115</v>
      </c>
      <c r="E872" s="9" t="s">
        <v>131</v>
      </c>
      <c r="F872" s="10">
        <v>8426.8700000000008</v>
      </c>
      <c r="G872" s="10">
        <v>0</v>
      </c>
      <c r="H872" s="10">
        <v>551</v>
      </c>
      <c r="I872" s="10">
        <v>32</v>
      </c>
      <c r="J872" s="10">
        <v>120</v>
      </c>
      <c r="K872" s="6">
        <f t="shared" si="15"/>
        <v>9129.8700000000008</v>
      </c>
      <c r="M872" t="str">
        <f>VLOOKUP(B872,'[2]TABULADOR ok'!$A$2:$I$424,7,FALSE)</f>
        <v>T6</v>
      </c>
      <c r="N872" t="str">
        <f>VLOOKUP(B872,'[2]TABULADOR ok'!$A$2:$I$424,8,FALSE)</f>
        <v>T06823</v>
      </c>
      <c r="O872">
        <f>VLOOKUP(B872,'[2]TABULADOR ok'!$A$2:$I$424,9,FALSE)</f>
        <v>95</v>
      </c>
    </row>
    <row r="873" spans="1:15" x14ac:dyDescent="0.25">
      <c r="A873" s="7">
        <v>2010</v>
      </c>
      <c r="B873" s="8" t="s">
        <v>132</v>
      </c>
      <c r="C873" s="8" t="s">
        <v>133</v>
      </c>
      <c r="D873" s="8" t="s">
        <v>115</v>
      </c>
      <c r="E873" s="9" t="s">
        <v>134</v>
      </c>
      <c r="F873" s="10">
        <v>8426.8700000000008</v>
      </c>
      <c r="G873" s="10">
        <v>0</v>
      </c>
      <c r="H873" s="10">
        <v>551</v>
      </c>
      <c r="I873" s="10">
        <v>32</v>
      </c>
      <c r="J873" s="10">
        <v>120</v>
      </c>
      <c r="K873" s="6">
        <f t="shared" si="15"/>
        <v>9129.8700000000008</v>
      </c>
      <c r="M873" t="str">
        <f>VLOOKUP(B873,'[2]TABULADOR ok'!$A$2:$I$424,7,FALSE)</f>
        <v>T6</v>
      </c>
      <c r="N873" t="str">
        <f>VLOOKUP(B873,'[2]TABULADOR ok'!$A$2:$I$424,8,FALSE)</f>
        <v>T08813</v>
      </c>
      <c r="O873">
        <f>VLOOKUP(B873,'[2]TABULADOR ok'!$A$2:$I$424,9,FALSE)</f>
        <v>95</v>
      </c>
    </row>
    <row r="874" spans="1:15" x14ac:dyDescent="0.25">
      <c r="A874" s="7">
        <v>2010</v>
      </c>
      <c r="B874" s="8" t="s">
        <v>135</v>
      </c>
      <c r="C874" s="8" t="s">
        <v>136</v>
      </c>
      <c r="D874" s="8" t="s">
        <v>137</v>
      </c>
      <c r="E874" s="9" t="s">
        <v>138</v>
      </c>
      <c r="F874" s="10">
        <v>9252.2800000000007</v>
      </c>
      <c r="G874" s="10">
        <v>0</v>
      </c>
      <c r="H874" s="10">
        <v>551</v>
      </c>
      <c r="I874" s="10">
        <v>32</v>
      </c>
      <c r="J874" s="10">
        <v>120</v>
      </c>
      <c r="K874" s="6">
        <f t="shared" si="15"/>
        <v>9955.2800000000007</v>
      </c>
      <c r="M874" t="str">
        <f>VLOOKUP(B874,'[2]TABULADOR ok'!$A$2:$I$424,7,FALSE)</f>
        <v>T7</v>
      </c>
      <c r="N874" t="str">
        <f>VLOOKUP(B874,'[2]TABULADOR ok'!$A$2:$I$424,8,FALSE)</f>
        <v>A01037</v>
      </c>
      <c r="O874">
        <f>VLOOKUP(B874,'[2]TABULADOR ok'!$A$2:$I$424,9,FALSE)</f>
        <v>95</v>
      </c>
    </row>
    <row r="875" spans="1:15" x14ac:dyDescent="0.25">
      <c r="A875" s="7">
        <v>2010</v>
      </c>
      <c r="B875" s="8" t="s">
        <v>139</v>
      </c>
      <c r="C875" s="8" t="s">
        <v>140</v>
      </c>
      <c r="D875" s="8" t="s">
        <v>137</v>
      </c>
      <c r="E875" s="9" t="s">
        <v>141</v>
      </c>
      <c r="F875" s="10">
        <v>9252.2800000000007</v>
      </c>
      <c r="G875" s="10">
        <v>0</v>
      </c>
      <c r="H875" s="10">
        <v>551</v>
      </c>
      <c r="I875" s="10">
        <v>32</v>
      </c>
      <c r="J875" s="10">
        <v>120</v>
      </c>
      <c r="K875" s="6">
        <f t="shared" si="15"/>
        <v>9955.2800000000007</v>
      </c>
      <c r="M875" t="str">
        <f>VLOOKUP(B875,'[2]TABULADOR ok'!$A$2:$I$424,7,FALSE)</f>
        <v>T7</v>
      </c>
      <c r="N875" t="str">
        <f>VLOOKUP(B875,'[2]TABULADOR ok'!$A$2:$I$424,8,FALSE)</f>
        <v>A02815</v>
      </c>
      <c r="O875">
        <f>VLOOKUP(B875,'[2]TABULADOR ok'!$A$2:$I$424,9,FALSE)</f>
        <v>95</v>
      </c>
    </row>
    <row r="876" spans="1:15" x14ac:dyDescent="0.25">
      <c r="A876" s="7">
        <v>2010</v>
      </c>
      <c r="B876" s="8" t="s">
        <v>142</v>
      </c>
      <c r="C876" s="8" t="s">
        <v>143</v>
      </c>
      <c r="D876" s="8" t="s">
        <v>137</v>
      </c>
      <c r="E876" s="9" t="s">
        <v>144</v>
      </c>
      <c r="F876" s="10">
        <v>9252.2800000000007</v>
      </c>
      <c r="G876" s="10">
        <v>0</v>
      </c>
      <c r="H876" s="10">
        <v>551</v>
      </c>
      <c r="I876" s="10">
        <v>32</v>
      </c>
      <c r="J876" s="10">
        <v>120</v>
      </c>
      <c r="K876" s="6">
        <f t="shared" si="15"/>
        <v>9955.2800000000007</v>
      </c>
      <c r="M876" t="str">
        <f>VLOOKUP(B876,'[2]TABULADOR ok'!$A$2:$I$424,7,FALSE)</f>
        <v>T7</v>
      </c>
      <c r="N876" t="str">
        <f>VLOOKUP(B876,'[2]TABULADOR ok'!$A$2:$I$424,8,FALSE)</f>
        <v>C01817</v>
      </c>
      <c r="O876">
        <f>VLOOKUP(B876,'[2]TABULADOR ok'!$A$2:$I$424,9,FALSE)</f>
        <v>95</v>
      </c>
    </row>
    <row r="877" spans="1:15" x14ac:dyDescent="0.25">
      <c r="A877" s="7">
        <v>2010</v>
      </c>
      <c r="B877" s="8" t="s">
        <v>145</v>
      </c>
      <c r="C877" s="8" t="s">
        <v>146</v>
      </c>
      <c r="D877" s="8" t="s">
        <v>137</v>
      </c>
      <c r="E877" s="9" t="s">
        <v>147</v>
      </c>
      <c r="F877" s="10">
        <v>9252.2800000000007</v>
      </c>
      <c r="G877" s="10">
        <v>0</v>
      </c>
      <c r="H877" s="10">
        <v>551</v>
      </c>
      <c r="I877" s="10">
        <v>32</v>
      </c>
      <c r="J877" s="10">
        <v>120</v>
      </c>
      <c r="K877" s="6">
        <f t="shared" si="15"/>
        <v>9955.2800000000007</v>
      </c>
      <c r="M877" t="str">
        <f>VLOOKUP(B877,'[2]TABULADOR ok'!$A$2:$I$424,7,FALSE)</f>
        <v>T7</v>
      </c>
      <c r="N877" t="str">
        <f>VLOOKUP(B877,'[2]TABULADOR ok'!$A$2:$I$424,8,FALSE)</f>
        <v>P07026</v>
      </c>
      <c r="O877">
        <f>VLOOKUP(B877,'[2]TABULADOR ok'!$A$2:$I$424,9,FALSE)</f>
        <v>95</v>
      </c>
    </row>
    <row r="878" spans="1:15" x14ac:dyDescent="0.25">
      <c r="A878" s="7">
        <v>2010</v>
      </c>
      <c r="B878" s="8" t="s">
        <v>148</v>
      </c>
      <c r="C878" s="8" t="s">
        <v>149</v>
      </c>
      <c r="D878" s="8" t="s">
        <v>137</v>
      </c>
      <c r="E878" s="9" t="s">
        <v>150</v>
      </c>
      <c r="F878" s="10">
        <v>9252.2800000000007</v>
      </c>
      <c r="G878" s="10">
        <v>0</v>
      </c>
      <c r="H878" s="10">
        <v>551</v>
      </c>
      <c r="I878" s="10">
        <v>32</v>
      </c>
      <c r="J878" s="10">
        <v>120</v>
      </c>
      <c r="K878" s="6">
        <f t="shared" si="15"/>
        <v>9955.2800000000007</v>
      </c>
      <c r="M878" t="str">
        <f>VLOOKUP(B878,'[2]TABULADOR ok'!$A$2:$I$424,7,FALSE)</f>
        <v>T7</v>
      </c>
      <c r="N878" t="str">
        <f>VLOOKUP(B878,'[2]TABULADOR ok'!$A$2:$I$424,8,FALSE)</f>
        <v>T05822</v>
      </c>
      <c r="O878">
        <f>VLOOKUP(B878,'[2]TABULADOR ok'!$A$2:$I$424,9,FALSE)</f>
        <v>95</v>
      </c>
    </row>
    <row r="879" spans="1:15" x14ac:dyDescent="0.25">
      <c r="A879" s="7">
        <v>2010</v>
      </c>
      <c r="B879" s="8" t="s">
        <v>151</v>
      </c>
      <c r="C879" s="8" t="s">
        <v>152</v>
      </c>
      <c r="D879" s="8" t="s">
        <v>137</v>
      </c>
      <c r="E879" s="9" t="s">
        <v>153</v>
      </c>
      <c r="F879" s="10">
        <v>9252.2800000000007</v>
      </c>
      <c r="G879" s="10">
        <v>0</v>
      </c>
      <c r="H879" s="10">
        <v>551</v>
      </c>
      <c r="I879" s="10">
        <v>32</v>
      </c>
      <c r="J879" s="10">
        <v>120</v>
      </c>
      <c r="K879" s="6">
        <f t="shared" si="15"/>
        <v>9955.2800000000007</v>
      </c>
      <c r="M879" t="str">
        <f>VLOOKUP(B879,'[2]TABULADOR ok'!$A$2:$I$424,7,FALSE)</f>
        <v>T7</v>
      </c>
      <c r="N879" t="str">
        <f>VLOOKUP(B879,'[2]TABULADOR ok'!$A$2:$I$424,8,FALSE)</f>
        <v>T09001</v>
      </c>
      <c r="O879">
        <f>VLOOKUP(B879,'[2]TABULADOR ok'!$A$2:$I$424,9,FALSE)</f>
        <v>95</v>
      </c>
    </row>
    <row r="880" spans="1:15" x14ac:dyDescent="0.25">
      <c r="A880" s="7">
        <v>2010</v>
      </c>
      <c r="B880" s="8" t="s">
        <v>154</v>
      </c>
      <c r="C880" s="8" t="s">
        <v>155</v>
      </c>
      <c r="D880" s="8" t="s">
        <v>137</v>
      </c>
      <c r="E880" s="9" t="s">
        <v>156</v>
      </c>
      <c r="F880" s="10">
        <v>9252.2800000000007</v>
      </c>
      <c r="G880" s="10">
        <v>0</v>
      </c>
      <c r="H880" s="10">
        <v>551</v>
      </c>
      <c r="I880" s="10">
        <v>32</v>
      </c>
      <c r="J880" s="10">
        <v>120</v>
      </c>
      <c r="K880" s="6">
        <f t="shared" si="15"/>
        <v>9955.2800000000007</v>
      </c>
      <c r="M880" t="str">
        <f>VLOOKUP(B880,'[2]TABULADOR ok'!$A$2:$I$424,7,FALSE)</f>
        <v>T7</v>
      </c>
      <c r="N880" t="str">
        <f>VLOOKUP(B880,'[2]TABULADOR ok'!$A$2:$I$424,8,FALSE)</f>
        <v>T13817</v>
      </c>
      <c r="O880">
        <f>VLOOKUP(B880,'[2]TABULADOR ok'!$A$2:$I$424,9,FALSE)</f>
        <v>95</v>
      </c>
    </row>
    <row r="881" spans="1:15" x14ac:dyDescent="0.25">
      <c r="A881" s="7">
        <v>2010</v>
      </c>
      <c r="B881" s="8" t="s">
        <v>157</v>
      </c>
      <c r="C881" s="8" t="s">
        <v>158</v>
      </c>
      <c r="D881" s="8" t="s">
        <v>137</v>
      </c>
      <c r="E881" s="9" t="s">
        <v>159</v>
      </c>
      <c r="F881" s="10">
        <v>9252.2800000000007</v>
      </c>
      <c r="G881" s="10">
        <v>0</v>
      </c>
      <c r="H881" s="10">
        <v>551</v>
      </c>
      <c r="I881" s="10">
        <v>32</v>
      </c>
      <c r="J881" s="10">
        <v>120</v>
      </c>
      <c r="K881" s="6">
        <f t="shared" si="15"/>
        <v>9955.2800000000007</v>
      </c>
      <c r="M881" t="str">
        <f>VLOOKUP(B881,'[2]TABULADOR ok'!$A$2:$I$424,7,FALSE)</f>
        <v>T7</v>
      </c>
      <c r="N881" t="str">
        <f>VLOOKUP(B881,'[2]TABULADOR ok'!$A$2:$I$424,8,FALSE)</f>
        <v>T14019</v>
      </c>
      <c r="O881">
        <f>VLOOKUP(B881,'[2]TABULADOR ok'!$A$2:$I$424,9,FALSE)</f>
        <v>95</v>
      </c>
    </row>
    <row r="882" spans="1:15" x14ac:dyDescent="0.25">
      <c r="A882" s="7">
        <v>2010</v>
      </c>
      <c r="B882" s="8" t="s">
        <v>160</v>
      </c>
      <c r="C882" s="8" t="s">
        <v>161</v>
      </c>
      <c r="D882" s="8" t="s">
        <v>137</v>
      </c>
      <c r="E882" s="9" t="s">
        <v>162</v>
      </c>
      <c r="F882" s="10">
        <v>9252.2800000000007</v>
      </c>
      <c r="G882" s="10">
        <v>0</v>
      </c>
      <c r="H882" s="10">
        <v>551</v>
      </c>
      <c r="I882" s="10">
        <v>32</v>
      </c>
      <c r="J882" s="10">
        <v>120</v>
      </c>
      <c r="K882" s="6">
        <f t="shared" si="15"/>
        <v>9955.2800000000007</v>
      </c>
      <c r="M882" t="str">
        <f>VLOOKUP(B882,'[2]TABULADOR ok'!$A$2:$I$424,7,FALSE)</f>
        <v>T7</v>
      </c>
      <c r="N882" t="str">
        <f>VLOOKUP(B882,'[2]TABULADOR ok'!$A$2:$I$424,8,FALSE)</f>
        <v>T16817</v>
      </c>
      <c r="O882">
        <f>VLOOKUP(B882,'[2]TABULADOR ok'!$A$2:$I$424,9,FALSE)</f>
        <v>95</v>
      </c>
    </row>
    <row r="883" spans="1:15" x14ac:dyDescent="0.25">
      <c r="A883" s="7">
        <v>2010</v>
      </c>
      <c r="B883" s="8" t="s">
        <v>163</v>
      </c>
      <c r="C883" s="8" t="s">
        <v>164</v>
      </c>
      <c r="D883" s="8" t="s">
        <v>165</v>
      </c>
      <c r="E883" s="9" t="s">
        <v>166</v>
      </c>
      <c r="F883" s="10">
        <v>10223.18</v>
      </c>
      <c r="G883" s="10">
        <v>0</v>
      </c>
      <c r="H883" s="10">
        <v>551</v>
      </c>
      <c r="I883" s="10">
        <v>32</v>
      </c>
      <c r="J883" s="10">
        <v>120</v>
      </c>
      <c r="K883" s="6">
        <f t="shared" si="15"/>
        <v>10926.18</v>
      </c>
      <c r="M883" t="str">
        <f>VLOOKUP(B883,'[2]TABULADOR ok'!$A$2:$I$424,7,FALSE)</f>
        <v>T8</v>
      </c>
      <c r="N883" t="str">
        <f>VLOOKUP(B883,'[2]TABULADOR ok'!$A$2:$I$424,8,FALSE)</f>
        <v>A01036</v>
      </c>
      <c r="O883">
        <f>VLOOKUP(B883,'[2]TABULADOR ok'!$A$2:$I$424,9,FALSE)</f>
        <v>95</v>
      </c>
    </row>
    <row r="884" spans="1:15" x14ac:dyDescent="0.25">
      <c r="A884" s="7">
        <v>2010</v>
      </c>
      <c r="B884" s="8" t="s">
        <v>167</v>
      </c>
      <c r="C884" s="8" t="s">
        <v>168</v>
      </c>
      <c r="D884" s="8" t="s">
        <v>165</v>
      </c>
      <c r="E884" s="9" t="s">
        <v>169</v>
      </c>
      <c r="F884" s="10">
        <v>10223.18</v>
      </c>
      <c r="G884" s="10">
        <v>0</v>
      </c>
      <c r="H884" s="10">
        <v>551</v>
      </c>
      <c r="I884" s="10">
        <v>32</v>
      </c>
      <c r="J884" s="10">
        <v>120</v>
      </c>
      <c r="K884" s="6">
        <f t="shared" si="15"/>
        <v>10926.18</v>
      </c>
      <c r="M884" t="str">
        <f>VLOOKUP(B884,'[2]TABULADOR ok'!$A$2:$I$424,7,FALSE)</f>
        <v>T8</v>
      </c>
      <c r="N884" t="str">
        <f>VLOOKUP(B884,'[2]TABULADOR ok'!$A$2:$I$424,8,FALSE)</f>
        <v>A06009</v>
      </c>
      <c r="O884">
        <f>VLOOKUP(B884,'[2]TABULADOR ok'!$A$2:$I$424,9,FALSE)</f>
        <v>95</v>
      </c>
    </row>
    <row r="885" spans="1:15" x14ac:dyDescent="0.25">
      <c r="A885" s="7">
        <v>2010</v>
      </c>
      <c r="B885" s="8" t="s">
        <v>170</v>
      </c>
      <c r="C885" s="8" t="s">
        <v>171</v>
      </c>
      <c r="D885" s="8" t="s">
        <v>165</v>
      </c>
      <c r="E885" s="9" t="s">
        <v>172</v>
      </c>
      <c r="F885" s="10">
        <v>10223.18</v>
      </c>
      <c r="G885" s="10">
        <v>0</v>
      </c>
      <c r="H885" s="10">
        <v>551</v>
      </c>
      <c r="I885" s="10">
        <v>32</v>
      </c>
      <c r="J885" s="10">
        <v>120</v>
      </c>
      <c r="K885" s="6">
        <f t="shared" si="15"/>
        <v>10926.18</v>
      </c>
      <c r="M885" t="str">
        <f>VLOOKUP(B885,'[2]TABULADOR ok'!$A$2:$I$424,7,FALSE)</f>
        <v>T8</v>
      </c>
      <c r="N885" t="str">
        <f>VLOOKUP(B885,'[2]TABULADOR ok'!$A$2:$I$424,8,FALSE)</f>
        <v>C01818</v>
      </c>
      <c r="O885">
        <f>VLOOKUP(B885,'[2]TABULADOR ok'!$A$2:$I$424,9,FALSE)</f>
        <v>95</v>
      </c>
    </row>
    <row r="886" spans="1:15" x14ac:dyDescent="0.25">
      <c r="A886" s="7">
        <v>2010</v>
      </c>
      <c r="B886" s="8" t="s">
        <v>173</v>
      </c>
      <c r="C886" s="8" t="s">
        <v>174</v>
      </c>
      <c r="D886" s="8" t="s">
        <v>165</v>
      </c>
      <c r="E886" s="9" t="s">
        <v>175</v>
      </c>
      <c r="F886" s="10">
        <v>10223.18</v>
      </c>
      <c r="G886" s="10">
        <v>0</v>
      </c>
      <c r="H886" s="10">
        <v>551</v>
      </c>
      <c r="I886" s="10">
        <v>32</v>
      </c>
      <c r="J886" s="10">
        <v>120</v>
      </c>
      <c r="K886" s="6">
        <f t="shared" si="15"/>
        <v>10926.18</v>
      </c>
      <c r="M886" t="str">
        <f>VLOOKUP(B886,'[2]TABULADOR ok'!$A$2:$I$424,7,FALSE)</f>
        <v>T8</v>
      </c>
      <c r="N886" t="str">
        <f>VLOOKUP(B886,'[2]TABULADOR ok'!$A$2:$I$424,8,FALSE)</f>
        <v>T03854</v>
      </c>
      <c r="O886">
        <f>VLOOKUP(B886,'[2]TABULADOR ok'!$A$2:$I$424,9,FALSE)</f>
        <v>95</v>
      </c>
    </row>
    <row r="887" spans="1:15" x14ac:dyDescent="0.25">
      <c r="A887" s="7">
        <v>2010</v>
      </c>
      <c r="B887" s="8" t="s">
        <v>176</v>
      </c>
      <c r="C887" s="8" t="s">
        <v>177</v>
      </c>
      <c r="D887" s="8" t="s">
        <v>165</v>
      </c>
      <c r="E887" s="9" t="s">
        <v>178</v>
      </c>
      <c r="F887" s="10">
        <v>10223.18</v>
      </c>
      <c r="G887" s="10">
        <v>0</v>
      </c>
      <c r="H887" s="10">
        <v>551</v>
      </c>
      <c r="I887" s="10">
        <v>32</v>
      </c>
      <c r="J887" s="10">
        <v>120</v>
      </c>
      <c r="K887" s="6">
        <f t="shared" si="15"/>
        <v>10926.18</v>
      </c>
      <c r="M887" t="str">
        <f>VLOOKUP(B887,'[2]TABULADOR ok'!$A$2:$I$424,7,FALSE)</f>
        <v>T8</v>
      </c>
      <c r="N887" t="str">
        <f>VLOOKUP(B887,'[2]TABULADOR ok'!$A$2:$I$424,8,FALSE)</f>
        <v>T04875</v>
      </c>
      <c r="O887">
        <f>VLOOKUP(B887,'[2]TABULADOR ok'!$A$2:$I$424,9,FALSE)</f>
        <v>95</v>
      </c>
    </row>
    <row r="888" spans="1:15" x14ac:dyDescent="0.25">
      <c r="A888" s="7">
        <v>2010</v>
      </c>
      <c r="B888" s="8" t="s">
        <v>179</v>
      </c>
      <c r="C888" s="8" t="s">
        <v>180</v>
      </c>
      <c r="D888" s="8" t="s">
        <v>165</v>
      </c>
      <c r="E888" s="9" t="s">
        <v>181</v>
      </c>
      <c r="F888" s="10">
        <v>10223.18</v>
      </c>
      <c r="G888" s="10">
        <v>0</v>
      </c>
      <c r="H888" s="10">
        <v>551</v>
      </c>
      <c r="I888" s="10">
        <v>32</v>
      </c>
      <c r="J888" s="10">
        <v>120</v>
      </c>
      <c r="K888" s="6">
        <f t="shared" si="15"/>
        <v>10926.18</v>
      </c>
      <c r="M888" t="str">
        <f>VLOOKUP(B888,'[2]TABULADOR ok'!$A$2:$I$424,7,FALSE)</f>
        <v>T8</v>
      </c>
      <c r="N888" t="str">
        <f>VLOOKUP(B888,'[2]TABULADOR ok'!$A$2:$I$424,8,FALSE)</f>
        <v>T08812</v>
      </c>
      <c r="O888">
        <f>VLOOKUP(B888,'[2]TABULADOR ok'!$A$2:$I$424,9,FALSE)</f>
        <v>95</v>
      </c>
    </row>
    <row r="889" spans="1:15" x14ac:dyDescent="0.25">
      <c r="A889" s="7">
        <v>2010</v>
      </c>
      <c r="B889" s="8" t="s">
        <v>182</v>
      </c>
      <c r="C889" s="8" t="s">
        <v>183</v>
      </c>
      <c r="D889" s="8" t="s">
        <v>184</v>
      </c>
      <c r="E889" s="9" t="s">
        <v>185</v>
      </c>
      <c r="F889" s="10">
        <v>11431.72</v>
      </c>
      <c r="G889" s="10">
        <v>0</v>
      </c>
      <c r="H889" s="10">
        <v>551</v>
      </c>
      <c r="I889" s="10">
        <v>32</v>
      </c>
      <c r="J889" s="10">
        <v>120</v>
      </c>
      <c r="K889" s="6">
        <f t="shared" si="15"/>
        <v>12134.72</v>
      </c>
      <c r="M889" t="str">
        <f>VLOOKUP(B889,'[2]TABULADOR ok'!$A$2:$I$424,7,FALSE)</f>
        <v>T9</v>
      </c>
      <c r="N889" t="str">
        <f>VLOOKUP(B889,'[2]TABULADOR ok'!$A$2:$I$424,8,FALSE)</f>
        <v>P02809</v>
      </c>
      <c r="O889">
        <f>VLOOKUP(B889,'[2]TABULADOR ok'!$A$2:$I$424,9,FALSE)</f>
        <v>95</v>
      </c>
    </row>
    <row r="890" spans="1:15" x14ac:dyDescent="0.25">
      <c r="A890" s="7">
        <v>2010</v>
      </c>
      <c r="B890" s="8" t="s">
        <v>186</v>
      </c>
      <c r="C890" s="8" t="s">
        <v>187</v>
      </c>
      <c r="D890" s="8" t="s">
        <v>184</v>
      </c>
      <c r="E890" s="9" t="s">
        <v>188</v>
      </c>
      <c r="F890" s="10">
        <v>11431.72</v>
      </c>
      <c r="G890" s="10">
        <v>0</v>
      </c>
      <c r="H890" s="10">
        <v>551</v>
      </c>
      <c r="I890" s="10">
        <v>32</v>
      </c>
      <c r="J890" s="10">
        <v>120</v>
      </c>
      <c r="K890" s="6">
        <f t="shared" si="15"/>
        <v>12134.72</v>
      </c>
      <c r="M890" t="str">
        <f>VLOOKUP(B890,'[2]TABULADOR ok'!$A$2:$I$424,7,FALSE)</f>
        <v>T9</v>
      </c>
      <c r="N890" t="str">
        <f>VLOOKUP(B890,'[2]TABULADOR ok'!$A$2:$I$424,8,FALSE)</f>
        <v>P04806</v>
      </c>
      <c r="O890">
        <f>VLOOKUP(B890,'[2]TABULADOR ok'!$A$2:$I$424,9,FALSE)</f>
        <v>95</v>
      </c>
    </row>
    <row r="891" spans="1:15" x14ac:dyDescent="0.25">
      <c r="A891" s="7">
        <v>2010</v>
      </c>
      <c r="B891" s="8" t="s">
        <v>189</v>
      </c>
      <c r="C891" s="8" t="s">
        <v>190</v>
      </c>
      <c r="D891" s="8" t="s">
        <v>184</v>
      </c>
      <c r="E891" s="9" t="s">
        <v>191</v>
      </c>
      <c r="F891" s="10">
        <v>11431.72</v>
      </c>
      <c r="G891" s="10">
        <v>0</v>
      </c>
      <c r="H891" s="10">
        <v>551</v>
      </c>
      <c r="I891" s="10">
        <v>32</v>
      </c>
      <c r="J891" s="10">
        <v>120</v>
      </c>
      <c r="K891" s="6">
        <f t="shared" si="15"/>
        <v>12134.72</v>
      </c>
      <c r="M891" t="str">
        <f>VLOOKUP(B891,'[2]TABULADOR ok'!$A$2:$I$424,7,FALSE)</f>
        <v>T9</v>
      </c>
      <c r="N891" t="str">
        <f>VLOOKUP(B891,'[2]TABULADOR ok'!$A$2:$I$424,8,FALSE)</f>
        <v>P05808</v>
      </c>
      <c r="O891">
        <f>VLOOKUP(B891,'[2]TABULADOR ok'!$A$2:$I$424,9,FALSE)</f>
        <v>95</v>
      </c>
    </row>
    <row r="892" spans="1:15" x14ac:dyDescent="0.25">
      <c r="A892" s="7">
        <v>2010</v>
      </c>
      <c r="B892" s="8" t="s">
        <v>192</v>
      </c>
      <c r="C892" s="8" t="s">
        <v>193</v>
      </c>
      <c r="D892" s="8" t="s">
        <v>184</v>
      </c>
      <c r="E892" s="9" t="s">
        <v>194</v>
      </c>
      <c r="F892" s="10">
        <v>11431.72</v>
      </c>
      <c r="G892" s="10">
        <v>0</v>
      </c>
      <c r="H892" s="10">
        <v>551</v>
      </c>
      <c r="I892" s="10">
        <v>32</v>
      </c>
      <c r="J892" s="10">
        <v>120</v>
      </c>
      <c r="K892" s="6">
        <f t="shared" si="15"/>
        <v>12134.72</v>
      </c>
      <c r="M892" t="str">
        <f>VLOOKUP(B892,'[2]TABULADOR ok'!$A$2:$I$424,7,FALSE)</f>
        <v>T9</v>
      </c>
      <c r="N892" t="str">
        <f>VLOOKUP(B892,'[2]TABULADOR ok'!$A$2:$I$424,8,FALSE)</f>
        <v>T03850</v>
      </c>
      <c r="O892">
        <f>VLOOKUP(B892,'[2]TABULADOR ok'!$A$2:$I$424,9,FALSE)</f>
        <v>95</v>
      </c>
    </row>
    <row r="893" spans="1:15" x14ac:dyDescent="0.25">
      <c r="A893" s="7">
        <v>2010</v>
      </c>
      <c r="B893" s="8" t="s">
        <v>195</v>
      </c>
      <c r="C893" s="8" t="s">
        <v>196</v>
      </c>
      <c r="D893" s="8" t="s">
        <v>184</v>
      </c>
      <c r="E893" s="9" t="s">
        <v>197</v>
      </c>
      <c r="F893" s="10">
        <v>11431.72</v>
      </c>
      <c r="G893" s="10">
        <v>0</v>
      </c>
      <c r="H893" s="10">
        <v>551</v>
      </c>
      <c r="I893" s="10">
        <v>32</v>
      </c>
      <c r="J893" s="10">
        <v>120</v>
      </c>
      <c r="K893" s="6">
        <f t="shared" si="15"/>
        <v>12134.72</v>
      </c>
      <c r="M893" t="str">
        <f>VLOOKUP(B893,'[2]TABULADOR ok'!$A$2:$I$424,7,FALSE)</f>
        <v>T9</v>
      </c>
      <c r="N893" t="str">
        <f>VLOOKUP(B893,'[2]TABULADOR ok'!$A$2:$I$424,8,FALSE)</f>
        <v>T03851</v>
      </c>
      <c r="O893">
        <f>VLOOKUP(B893,'[2]TABULADOR ok'!$A$2:$I$424,9,FALSE)</f>
        <v>95</v>
      </c>
    </row>
    <row r="894" spans="1:15" x14ac:dyDescent="0.25">
      <c r="A894" s="7">
        <v>2010</v>
      </c>
      <c r="B894" s="8" t="s">
        <v>198</v>
      </c>
      <c r="C894" s="8" t="s">
        <v>199</v>
      </c>
      <c r="D894" s="8" t="s">
        <v>184</v>
      </c>
      <c r="E894" s="9" t="s">
        <v>200</v>
      </c>
      <c r="F894" s="10">
        <v>11431.72</v>
      </c>
      <c r="G894" s="10">
        <v>0</v>
      </c>
      <c r="H894" s="10">
        <v>551</v>
      </c>
      <c r="I894" s="10">
        <v>32</v>
      </c>
      <c r="J894" s="10">
        <v>120</v>
      </c>
      <c r="K894" s="6">
        <f t="shared" si="15"/>
        <v>12134.72</v>
      </c>
      <c r="M894" t="str">
        <f>VLOOKUP(B894,'[2]TABULADOR ok'!$A$2:$I$424,7,FALSE)</f>
        <v>T9</v>
      </c>
      <c r="N894" t="str">
        <f>VLOOKUP(B894,'[2]TABULADOR ok'!$A$2:$I$424,8,FALSE)</f>
        <v>T03855</v>
      </c>
      <c r="O894">
        <f>VLOOKUP(B894,'[2]TABULADOR ok'!$A$2:$I$424,9,FALSE)</f>
        <v>95</v>
      </c>
    </row>
    <row r="895" spans="1:15" x14ac:dyDescent="0.25">
      <c r="A895" s="7">
        <v>2010</v>
      </c>
      <c r="B895" s="8" t="s">
        <v>201</v>
      </c>
      <c r="C895" s="8" t="s">
        <v>202</v>
      </c>
      <c r="D895" s="8" t="s">
        <v>184</v>
      </c>
      <c r="E895" s="9" t="s">
        <v>203</v>
      </c>
      <c r="F895" s="10">
        <v>11431.72</v>
      </c>
      <c r="G895" s="10">
        <v>0</v>
      </c>
      <c r="H895" s="10">
        <v>551</v>
      </c>
      <c r="I895" s="10">
        <v>32</v>
      </c>
      <c r="J895" s="10">
        <v>120</v>
      </c>
      <c r="K895" s="6">
        <f t="shared" si="15"/>
        <v>12134.72</v>
      </c>
      <c r="M895" t="str">
        <f>VLOOKUP(B895,'[2]TABULADOR ok'!$A$2:$I$424,7,FALSE)</f>
        <v>T9</v>
      </c>
      <c r="N895" t="str">
        <f>VLOOKUP(B895,'[2]TABULADOR ok'!$A$2:$I$424,8,FALSE)</f>
        <v>T04873</v>
      </c>
      <c r="O895">
        <f>VLOOKUP(B895,'[2]TABULADOR ok'!$A$2:$I$424,9,FALSE)</f>
        <v>95</v>
      </c>
    </row>
    <row r="896" spans="1:15" x14ac:dyDescent="0.25">
      <c r="A896" s="7">
        <v>2010</v>
      </c>
      <c r="B896" s="8" t="s">
        <v>204</v>
      </c>
      <c r="C896" s="8" t="s">
        <v>205</v>
      </c>
      <c r="D896" s="8" t="s">
        <v>184</v>
      </c>
      <c r="E896" s="9" t="s">
        <v>206</v>
      </c>
      <c r="F896" s="10">
        <v>11431.72</v>
      </c>
      <c r="G896" s="10">
        <v>0</v>
      </c>
      <c r="H896" s="10">
        <v>551</v>
      </c>
      <c r="I896" s="10">
        <v>32</v>
      </c>
      <c r="J896" s="10">
        <v>120</v>
      </c>
      <c r="K896" s="6">
        <f t="shared" si="15"/>
        <v>12134.72</v>
      </c>
      <c r="M896" t="str">
        <f>VLOOKUP(B896,'[2]TABULADOR ok'!$A$2:$I$424,7,FALSE)</f>
        <v>T9</v>
      </c>
      <c r="N896" t="str">
        <f>VLOOKUP(B896,'[2]TABULADOR ok'!$A$2:$I$424,8,FALSE)</f>
        <v>T14007</v>
      </c>
      <c r="O896">
        <f>VLOOKUP(B896,'[2]TABULADOR ok'!$A$2:$I$424,9,FALSE)</f>
        <v>95</v>
      </c>
    </row>
    <row r="897" spans="1:15" x14ac:dyDescent="0.25">
      <c r="A897" s="7">
        <v>2010</v>
      </c>
      <c r="B897" s="8" t="s">
        <v>207</v>
      </c>
      <c r="C897" s="8" t="s">
        <v>208</v>
      </c>
      <c r="D897" s="8" t="s">
        <v>184</v>
      </c>
      <c r="E897" s="9" t="s">
        <v>209</v>
      </c>
      <c r="F897" s="10">
        <v>11431.72</v>
      </c>
      <c r="G897" s="10">
        <v>0</v>
      </c>
      <c r="H897" s="10">
        <v>551</v>
      </c>
      <c r="I897" s="10">
        <v>32</v>
      </c>
      <c r="J897" s="10">
        <v>120</v>
      </c>
      <c r="K897" s="6">
        <f t="shared" si="15"/>
        <v>12134.72</v>
      </c>
      <c r="M897" t="str">
        <f>VLOOKUP(B897,'[2]TABULADOR ok'!$A$2:$I$424,7,FALSE)</f>
        <v>T9</v>
      </c>
      <c r="N897" t="str">
        <f>VLOOKUP(B897,'[2]TABULADOR ok'!$A$2:$I$424,8,FALSE)</f>
        <v>T26806</v>
      </c>
      <c r="O897">
        <f>VLOOKUP(B897,'[2]TABULADOR ok'!$A$2:$I$424,9,FALSE)</f>
        <v>95</v>
      </c>
    </row>
    <row r="898" spans="1:15" x14ac:dyDescent="0.25">
      <c r="A898" s="4">
        <v>2009</v>
      </c>
      <c r="B898" s="11" t="s">
        <v>10</v>
      </c>
      <c r="C898" s="11" t="s">
        <v>11</v>
      </c>
      <c r="D898" s="11" t="s">
        <v>12</v>
      </c>
      <c r="E898" s="12" t="s">
        <v>13</v>
      </c>
      <c r="F898" s="5">
        <v>5493.17</v>
      </c>
      <c r="G898" s="5">
        <v>0</v>
      </c>
      <c r="H898" s="5">
        <v>551</v>
      </c>
      <c r="I898" s="5">
        <v>32</v>
      </c>
      <c r="J898" s="5">
        <v>120</v>
      </c>
      <c r="K898" s="6">
        <f>SUM(F898:J898)</f>
        <v>6196.17</v>
      </c>
      <c r="M898" t="str">
        <f>VLOOKUP(B898,'[2]TABULADOR ok'!$A$2:$I$424,7,FALSE)</f>
        <v>T1</v>
      </c>
      <c r="N898" t="str">
        <f>VLOOKUP(B898,'[2]TABULADOR ok'!$A$2:$I$424,8,FALSE)</f>
        <v>S01893</v>
      </c>
      <c r="O898">
        <f>VLOOKUP(B898,'[2]TABULADOR ok'!$A$2:$I$424,9,FALSE)</f>
        <v>95</v>
      </c>
    </row>
    <row r="899" spans="1:15" x14ac:dyDescent="0.25">
      <c r="A899" s="4">
        <v>2009</v>
      </c>
      <c r="B899" s="11" t="s">
        <v>14</v>
      </c>
      <c r="C899" s="11" t="s">
        <v>15</v>
      </c>
      <c r="D899" s="11" t="s">
        <v>16</v>
      </c>
      <c r="E899" s="12" t="s">
        <v>17</v>
      </c>
      <c r="F899" s="5">
        <v>5761.25</v>
      </c>
      <c r="G899" s="5">
        <v>0</v>
      </c>
      <c r="H899" s="5">
        <v>551</v>
      </c>
      <c r="I899" s="5">
        <v>32</v>
      </c>
      <c r="J899" s="5">
        <v>120</v>
      </c>
      <c r="K899" s="6">
        <f t="shared" ref="K899:K957" si="16">SUM(F899:J899)</f>
        <v>6464.25</v>
      </c>
      <c r="M899" t="str">
        <f>VLOOKUP(B899,'[2]TABULADOR ok'!$A$2:$I$424,7,FALSE)</f>
        <v>T2</v>
      </c>
      <c r="N899" t="str">
        <f>VLOOKUP(B899,'[2]TABULADOR ok'!$A$2:$I$424,8,FALSE)</f>
        <v>S01891</v>
      </c>
      <c r="O899">
        <f>VLOOKUP(B899,'[2]TABULADOR ok'!$A$2:$I$424,9,FALSE)</f>
        <v>95</v>
      </c>
    </row>
    <row r="900" spans="1:15" x14ac:dyDescent="0.25">
      <c r="A900" s="4">
        <v>2009</v>
      </c>
      <c r="B900" s="11" t="s">
        <v>18</v>
      </c>
      <c r="C900" s="11" t="s">
        <v>19</v>
      </c>
      <c r="D900" s="11" t="s">
        <v>16</v>
      </c>
      <c r="E900" s="12" t="s">
        <v>20</v>
      </c>
      <c r="F900" s="5">
        <v>5761.25</v>
      </c>
      <c r="G900" s="5">
        <v>0</v>
      </c>
      <c r="H900" s="5">
        <v>551</v>
      </c>
      <c r="I900" s="5">
        <v>32</v>
      </c>
      <c r="J900" s="5">
        <v>120</v>
      </c>
      <c r="K900" s="6">
        <f t="shared" si="16"/>
        <v>6464.25</v>
      </c>
      <c r="M900" t="str">
        <f>VLOOKUP(B900,'[2]TABULADOR ok'!$A$2:$I$424,7,FALSE)</f>
        <v>T2</v>
      </c>
      <c r="N900" t="str">
        <f>VLOOKUP(B900,'[2]TABULADOR ok'!$A$2:$I$424,8,FALSE)</f>
        <v>S03833</v>
      </c>
      <c r="O900">
        <f>VLOOKUP(B900,'[2]TABULADOR ok'!$A$2:$I$424,9,FALSE)</f>
        <v>95</v>
      </c>
    </row>
    <row r="901" spans="1:15" x14ac:dyDescent="0.25">
      <c r="A901" s="4">
        <v>2009</v>
      </c>
      <c r="B901" s="11" t="s">
        <v>21</v>
      </c>
      <c r="C901" s="11" t="s">
        <v>22</v>
      </c>
      <c r="D901" s="11" t="s">
        <v>16</v>
      </c>
      <c r="E901" s="12" t="s">
        <v>23</v>
      </c>
      <c r="F901" s="5">
        <v>5761.25</v>
      </c>
      <c r="G901" s="5">
        <v>0</v>
      </c>
      <c r="H901" s="5">
        <v>551</v>
      </c>
      <c r="I901" s="5">
        <v>32</v>
      </c>
      <c r="J901" s="5">
        <v>120</v>
      </c>
      <c r="K901" s="6">
        <f t="shared" si="16"/>
        <v>6464.25</v>
      </c>
      <c r="M901" t="str">
        <f>VLOOKUP(B901,'[2]TABULADOR ok'!$A$2:$I$424,7,FALSE)</f>
        <v>T2</v>
      </c>
      <c r="N901" t="str">
        <f>VLOOKUP(B901,'[2]TABULADOR ok'!$A$2:$I$424,8,FALSE)</f>
        <v>S12091</v>
      </c>
      <c r="O901">
        <f>VLOOKUP(B901,'[2]TABULADOR ok'!$A$2:$I$424,9,FALSE)</f>
        <v>95</v>
      </c>
    </row>
    <row r="902" spans="1:15" x14ac:dyDescent="0.25">
      <c r="A902" s="4">
        <v>2009</v>
      </c>
      <c r="B902" s="11" t="s">
        <v>24</v>
      </c>
      <c r="C902" s="11" t="s">
        <v>24</v>
      </c>
      <c r="D902" s="11" t="s">
        <v>25</v>
      </c>
      <c r="E902" s="12" t="s">
        <v>26</v>
      </c>
      <c r="F902" s="5">
        <v>6029.14</v>
      </c>
      <c r="G902" s="5">
        <v>0</v>
      </c>
      <c r="H902" s="5">
        <v>551</v>
      </c>
      <c r="I902" s="5">
        <v>32</v>
      </c>
      <c r="J902" s="5">
        <v>120</v>
      </c>
      <c r="K902" s="6">
        <f t="shared" si="16"/>
        <v>6732.14</v>
      </c>
      <c r="M902" t="str">
        <f>VLOOKUP(B902,'[2]TABULADOR ok'!$A$2:$I$424,7,FALSE)</f>
        <v>T3</v>
      </c>
      <c r="N902" t="str">
        <f>VLOOKUP(B902,'[2]TABULADOR ok'!$A$2:$I$424,8,FALSE)</f>
        <v>A01023</v>
      </c>
      <c r="O902">
        <f>VLOOKUP(B902,'[2]TABULADOR ok'!$A$2:$I$424,9,FALSE)</f>
        <v>95</v>
      </c>
    </row>
    <row r="903" spans="1:15" x14ac:dyDescent="0.25">
      <c r="A903" s="4">
        <v>2009</v>
      </c>
      <c r="B903" s="11" t="s">
        <v>27</v>
      </c>
      <c r="C903" s="11" t="s">
        <v>28</v>
      </c>
      <c r="D903" s="11" t="s">
        <v>25</v>
      </c>
      <c r="E903" s="12" t="s">
        <v>29</v>
      </c>
      <c r="F903" s="5">
        <v>6029.14</v>
      </c>
      <c r="G903" s="5">
        <v>0</v>
      </c>
      <c r="H903" s="5">
        <v>551</v>
      </c>
      <c r="I903" s="5">
        <v>32</v>
      </c>
      <c r="J903" s="5">
        <v>120</v>
      </c>
      <c r="K903" s="6">
        <f t="shared" si="16"/>
        <v>6732.14</v>
      </c>
      <c r="M903" t="str">
        <f>VLOOKUP(B903,'[2]TABULADOR ok'!$A$2:$I$424,7,FALSE)</f>
        <v>T3</v>
      </c>
      <c r="N903" t="str">
        <f>VLOOKUP(B903,'[2]TABULADOR ok'!$A$2:$I$424,8,FALSE)</f>
        <v>A01040</v>
      </c>
      <c r="O903">
        <f>VLOOKUP(B903,'[2]TABULADOR ok'!$A$2:$I$424,9,FALSE)</f>
        <v>95</v>
      </c>
    </row>
    <row r="904" spans="1:15" x14ac:dyDescent="0.25">
      <c r="A904" s="4">
        <v>2009</v>
      </c>
      <c r="B904" s="11" t="s">
        <v>30</v>
      </c>
      <c r="C904" s="11" t="s">
        <v>31</v>
      </c>
      <c r="D904" s="11" t="s">
        <v>25</v>
      </c>
      <c r="E904" s="12" t="s">
        <v>32</v>
      </c>
      <c r="F904" s="5">
        <v>6029.14</v>
      </c>
      <c r="G904" s="5">
        <v>0</v>
      </c>
      <c r="H904" s="5">
        <v>551</v>
      </c>
      <c r="I904" s="5">
        <v>32</v>
      </c>
      <c r="J904" s="5">
        <v>120</v>
      </c>
      <c r="K904" s="6">
        <f t="shared" si="16"/>
        <v>6732.14</v>
      </c>
      <c r="M904" t="str">
        <f>VLOOKUP(B904,'[2]TABULADOR ok'!$A$2:$I$424,7,FALSE)</f>
        <v>T3</v>
      </c>
      <c r="N904" t="str">
        <f>VLOOKUP(B904,'[2]TABULADOR ok'!$A$2:$I$424,8,FALSE)</f>
        <v>A02813</v>
      </c>
      <c r="O904">
        <f>VLOOKUP(B904,'[2]TABULADOR ok'!$A$2:$I$424,9,FALSE)</f>
        <v>95</v>
      </c>
    </row>
    <row r="905" spans="1:15" x14ac:dyDescent="0.25">
      <c r="A905" s="4">
        <v>2009</v>
      </c>
      <c r="B905" s="11" t="s">
        <v>33</v>
      </c>
      <c r="C905" s="11" t="s">
        <v>34</v>
      </c>
      <c r="D905" s="11" t="s">
        <v>25</v>
      </c>
      <c r="E905" s="12" t="s">
        <v>285</v>
      </c>
      <c r="F905" s="5">
        <v>6029.14</v>
      </c>
      <c r="G905" s="5">
        <v>0</v>
      </c>
      <c r="H905" s="5">
        <v>551</v>
      </c>
      <c r="I905" s="5">
        <v>32</v>
      </c>
      <c r="J905" s="5">
        <v>120</v>
      </c>
      <c r="K905" s="6">
        <f t="shared" si="16"/>
        <v>6732.14</v>
      </c>
      <c r="M905" t="str">
        <f>VLOOKUP(B905,'[2]TABULADOR ok'!$A$2:$I$424,7,FALSE)</f>
        <v>T3</v>
      </c>
      <c r="N905" t="str">
        <f>VLOOKUP(B905,'[2]TABULADOR ok'!$A$2:$I$424,8,FALSE)</f>
        <v>A03832</v>
      </c>
      <c r="O905">
        <f>VLOOKUP(B905,'[2]TABULADOR ok'!$A$2:$I$424,9,FALSE)</f>
        <v>95</v>
      </c>
    </row>
    <row r="906" spans="1:15" x14ac:dyDescent="0.25">
      <c r="A906" s="4">
        <v>2009</v>
      </c>
      <c r="B906" s="11" t="s">
        <v>36</v>
      </c>
      <c r="C906" s="11" t="s">
        <v>37</v>
      </c>
      <c r="D906" s="11" t="s">
        <v>25</v>
      </c>
      <c r="E906" s="12" t="s">
        <v>38</v>
      </c>
      <c r="F906" s="5">
        <v>6029.14</v>
      </c>
      <c r="G906" s="5">
        <v>0</v>
      </c>
      <c r="H906" s="5">
        <v>551</v>
      </c>
      <c r="I906" s="5">
        <v>32</v>
      </c>
      <c r="J906" s="5">
        <v>120</v>
      </c>
      <c r="K906" s="6">
        <f t="shared" si="16"/>
        <v>6732.14</v>
      </c>
      <c r="M906" t="str">
        <f>VLOOKUP(B906,'[2]TABULADOR ok'!$A$2:$I$424,7,FALSE)</f>
        <v>T3</v>
      </c>
      <c r="N906" t="str">
        <f>VLOOKUP(B906,'[2]TABULADOR ok'!$A$2:$I$424,8,FALSE)</f>
        <v>A05012</v>
      </c>
      <c r="O906">
        <f>VLOOKUP(B906,'[2]TABULADOR ok'!$A$2:$I$424,9,FALSE)</f>
        <v>95</v>
      </c>
    </row>
    <row r="907" spans="1:15" x14ac:dyDescent="0.25">
      <c r="A907" s="4">
        <v>2009</v>
      </c>
      <c r="B907" s="11" t="s">
        <v>39</v>
      </c>
      <c r="C907" s="11" t="s">
        <v>40</v>
      </c>
      <c r="D907" s="11" t="s">
        <v>25</v>
      </c>
      <c r="E907" s="12" t="s">
        <v>41</v>
      </c>
      <c r="F907" s="5">
        <v>6029.14</v>
      </c>
      <c r="G907" s="5">
        <v>0</v>
      </c>
      <c r="H907" s="5">
        <v>551</v>
      </c>
      <c r="I907" s="5">
        <v>32</v>
      </c>
      <c r="J907" s="5">
        <v>120</v>
      </c>
      <c r="K907" s="6">
        <f t="shared" si="16"/>
        <v>6732.14</v>
      </c>
      <c r="M907" t="str">
        <f>VLOOKUP(B907,'[2]TABULADOR ok'!$A$2:$I$424,7,FALSE)</f>
        <v>T3</v>
      </c>
      <c r="N907" t="str">
        <f>VLOOKUP(B907,'[2]TABULADOR ok'!$A$2:$I$424,8,FALSE)</f>
        <v>S01890</v>
      </c>
      <c r="O907">
        <f>VLOOKUP(B907,'[2]TABULADOR ok'!$A$2:$I$424,9,FALSE)</f>
        <v>95</v>
      </c>
    </row>
    <row r="908" spans="1:15" x14ac:dyDescent="0.25">
      <c r="A908" s="4">
        <v>2009</v>
      </c>
      <c r="B908" s="11" t="s">
        <v>42</v>
      </c>
      <c r="C908" s="11" t="s">
        <v>43</v>
      </c>
      <c r="D908" s="11" t="s">
        <v>25</v>
      </c>
      <c r="E908" s="12" t="s">
        <v>44</v>
      </c>
      <c r="F908" s="5">
        <v>6029.14</v>
      </c>
      <c r="G908" s="5">
        <v>0</v>
      </c>
      <c r="H908" s="5">
        <v>551</v>
      </c>
      <c r="I908" s="5">
        <v>32</v>
      </c>
      <c r="J908" s="5">
        <v>120</v>
      </c>
      <c r="K908" s="6">
        <f t="shared" si="16"/>
        <v>6732.14</v>
      </c>
      <c r="M908" t="str">
        <f>VLOOKUP(B908,'[2]TABULADOR ok'!$A$2:$I$424,7,FALSE)</f>
        <v>T3</v>
      </c>
      <c r="N908" t="str">
        <f>VLOOKUP(B908,'[2]TABULADOR ok'!$A$2:$I$424,8,FALSE)</f>
        <v>S01894</v>
      </c>
      <c r="O908">
        <f>VLOOKUP(B908,'[2]TABULADOR ok'!$A$2:$I$424,9,FALSE)</f>
        <v>95</v>
      </c>
    </row>
    <row r="909" spans="1:15" x14ac:dyDescent="0.25">
      <c r="A909" s="4">
        <v>2009</v>
      </c>
      <c r="B909" s="11" t="s">
        <v>45</v>
      </c>
      <c r="C909" s="11" t="s">
        <v>46</v>
      </c>
      <c r="D909" s="11" t="s">
        <v>47</v>
      </c>
      <c r="E909" s="12" t="s">
        <v>48</v>
      </c>
      <c r="F909" s="5">
        <v>6618.23</v>
      </c>
      <c r="G909" s="5">
        <v>0</v>
      </c>
      <c r="H909" s="5">
        <v>551</v>
      </c>
      <c r="I909" s="5">
        <v>32</v>
      </c>
      <c r="J909" s="5">
        <v>120</v>
      </c>
      <c r="K909" s="6">
        <f t="shared" si="16"/>
        <v>7321.23</v>
      </c>
      <c r="M909" t="str">
        <f>VLOOKUP(B909,'[2]TABULADOR ok'!$A$2:$I$424,7,FALSE)</f>
        <v>T4</v>
      </c>
      <c r="N909" t="str">
        <f>VLOOKUP(B909,'[2]TABULADOR ok'!$A$2:$I$424,8,FALSE)</f>
        <v>A03841</v>
      </c>
      <c r="O909">
        <f>VLOOKUP(B909,'[2]TABULADOR ok'!$A$2:$I$424,9,FALSE)</f>
        <v>95</v>
      </c>
    </row>
    <row r="910" spans="1:15" x14ac:dyDescent="0.25">
      <c r="A910" s="4">
        <v>2009</v>
      </c>
      <c r="B910" s="11" t="s">
        <v>49</v>
      </c>
      <c r="C910" s="11" t="s">
        <v>50</v>
      </c>
      <c r="D910" s="11" t="s">
        <v>47</v>
      </c>
      <c r="E910" s="12" t="s">
        <v>51</v>
      </c>
      <c r="F910" s="5">
        <v>6618.23</v>
      </c>
      <c r="G910" s="5">
        <v>0</v>
      </c>
      <c r="H910" s="5">
        <v>551</v>
      </c>
      <c r="I910" s="5">
        <v>32</v>
      </c>
      <c r="J910" s="5">
        <v>120</v>
      </c>
      <c r="K910" s="6">
        <f t="shared" si="16"/>
        <v>7321.23</v>
      </c>
      <c r="M910" t="str">
        <f>VLOOKUP(B910,'[2]TABULADOR ok'!$A$2:$I$424,7,FALSE)</f>
        <v>T4</v>
      </c>
      <c r="N910" t="str">
        <f>VLOOKUP(B910,'[2]TABULADOR ok'!$A$2:$I$424,8,FALSE)</f>
        <v>C02810</v>
      </c>
      <c r="O910">
        <f>VLOOKUP(B910,'[2]TABULADOR ok'!$A$2:$I$424,9,FALSE)</f>
        <v>95</v>
      </c>
    </row>
    <row r="911" spans="1:15" x14ac:dyDescent="0.25">
      <c r="A911" s="4">
        <v>2009</v>
      </c>
      <c r="B911" s="11" t="s">
        <v>52</v>
      </c>
      <c r="C911" s="11" t="s">
        <v>53</v>
      </c>
      <c r="D911" s="11" t="s">
        <v>47</v>
      </c>
      <c r="E911" s="12" t="s">
        <v>54</v>
      </c>
      <c r="F911" s="5">
        <v>6618.23</v>
      </c>
      <c r="G911" s="5">
        <v>0</v>
      </c>
      <c r="H911" s="5">
        <v>551</v>
      </c>
      <c r="I911" s="5">
        <v>32</v>
      </c>
      <c r="J911" s="5">
        <v>120</v>
      </c>
      <c r="K911" s="6">
        <f t="shared" si="16"/>
        <v>7321.23</v>
      </c>
      <c r="M911" t="str">
        <f>VLOOKUP(B911,'[2]TABULADOR ok'!$A$2:$I$424,7,FALSE)</f>
        <v>T4</v>
      </c>
      <c r="N911" t="str">
        <f>VLOOKUP(B911,'[2]TABULADOR ok'!$A$2:$I$424,8,FALSE)</f>
        <v>S01889</v>
      </c>
      <c r="O911">
        <f>VLOOKUP(B911,'[2]TABULADOR ok'!$A$2:$I$424,9,FALSE)</f>
        <v>95</v>
      </c>
    </row>
    <row r="912" spans="1:15" x14ac:dyDescent="0.25">
      <c r="A912" s="4">
        <v>2009</v>
      </c>
      <c r="B912" s="11" t="s">
        <v>55</v>
      </c>
      <c r="C912" s="11" t="s">
        <v>56</v>
      </c>
      <c r="D912" s="11" t="s">
        <v>47</v>
      </c>
      <c r="E912" s="12" t="s">
        <v>57</v>
      </c>
      <c r="F912" s="5">
        <v>6618.23</v>
      </c>
      <c r="G912" s="5">
        <v>0</v>
      </c>
      <c r="H912" s="5">
        <v>551</v>
      </c>
      <c r="I912" s="5">
        <v>32</v>
      </c>
      <c r="J912" s="5">
        <v>120</v>
      </c>
      <c r="K912" s="6">
        <f t="shared" si="16"/>
        <v>7321.23</v>
      </c>
      <c r="M912" t="str">
        <f>VLOOKUP(B912,'[2]TABULADOR ok'!$A$2:$I$424,7,FALSE)</f>
        <v>T4</v>
      </c>
      <c r="N912" t="str">
        <f>VLOOKUP(B912,'[2]TABULADOR ok'!$A$2:$I$424,8,FALSE)</f>
        <v>S01895</v>
      </c>
      <c r="O912">
        <f>VLOOKUP(B912,'[2]TABULADOR ok'!$A$2:$I$424,9,FALSE)</f>
        <v>95</v>
      </c>
    </row>
    <row r="913" spans="1:15" x14ac:dyDescent="0.25">
      <c r="A913" s="4">
        <v>2009</v>
      </c>
      <c r="B913" s="11" t="s">
        <v>58</v>
      </c>
      <c r="C913" s="11" t="s">
        <v>59</v>
      </c>
      <c r="D913" s="11" t="s">
        <v>47</v>
      </c>
      <c r="E913" s="12" t="s">
        <v>60</v>
      </c>
      <c r="F913" s="5">
        <v>6618.23</v>
      </c>
      <c r="G913" s="5">
        <v>0</v>
      </c>
      <c r="H913" s="5">
        <v>551</v>
      </c>
      <c r="I913" s="5">
        <v>32</v>
      </c>
      <c r="J913" s="5">
        <v>120</v>
      </c>
      <c r="K913" s="6">
        <f t="shared" si="16"/>
        <v>7321.23</v>
      </c>
      <c r="M913" t="str">
        <f>VLOOKUP(B913,'[2]TABULADOR ok'!$A$2:$I$424,7,FALSE)</f>
        <v>T4</v>
      </c>
      <c r="N913" t="str">
        <f>VLOOKUP(B913,'[2]TABULADOR ok'!$A$2:$I$424,8,FALSE)</f>
        <v>S03834</v>
      </c>
      <c r="O913">
        <f>VLOOKUP(B913,'[2]TABULADOR ok'!$A$2:$I$424,9,FALSE)</f>
        <v>95</v>
      </c>
    </row>
    <row r="914" spans="1:15" x14ac:dyDescent="0.25">
      <c r="A914" s="4">
        <v>2009</v>
      </c>
      <c r="B914" s="11" t="s">
        <v>61</v>
      </c>
      <c r="C914" s="11" t="s">
        <v>62</v>
      </c>
      <c r="D914" s="11" t="s">
        <v>47</v>
      </c>
      <c r="E914" s="12" t="s">
        <v>63</v>
      </c>
      <c r="F914" s="5">
        <v>6618.23</v>
      </c>
      <c r="G914" s="5">
        <v>0</v>
      </c>
      <c r="H914" s="5">
        <v>551</v>
      </c>
      <c r="I914" s="5">
        <v>32</v>
      </c>
      <c r="J914" s="5">
        <v>120</v>
      </c>
      <c r="K914" s="6">
        <f t="shared" si="16"/>
        <v>7321.23</v>
      </c>
      <c r="M914" t="str">
        <f>VLOOKUP(B914,'[2]TABULADOR ok'!$A$2:$I$424,7,FALSE)</f>
        <v>T4</v>
      </c>
      <c r="N914" t="str">
        <f>VLOOKUP(B914,'[2]TABULADOR ok'!$A$2:$I$424,8,FALSE)</f>
        <v>S12020</v>
      </c>
      <c r="O914">
        <f>VLOOKUP(B914,'[2]TABULADOR ok'!$A$2:$I$424,9,FALSE)</f>
        <v>95</v>
      </c>
    </row>
    <row r="915" spans="1:15" x14ac:dyDescent="0.25">
      <c r="A915" s="4">
        <v>2009</v>
      </c>
      <c r="B915" s="11" t="s">
        <v>64</v>
      </c>
      <c r="C915" s="11" t="s">
        <v>65</v>
      </c>
      <c r="D915" s="11" t="s">
        <v>47</v>
      </c>
      <c r="E915" s="12" t="s">
        <v>66</v>
      </c>
      <c r="F915" s="5">
        <v>6618.23</v>
      </c>
      <c r="G915" s="5">
        <v>0</v>
      </c>
      <c r="H915" s="5">
        <v>551</v>
      </c>
      <c r="I915" s="5">
        <v>32</v>
      </c>
      <c r="J915" s="5">
        <v>120</v>
      </c>
      <c r="K915" s="6">
        <f t="shared" si="16"/>
        <v>7321.23</v>
      </c>
      <c r="M915" t="str">
        <f>VLOOKUP(B915,'[2]TABULADOR ok'!$A$2:$I$424,7,FALSE)</f>
        <v>T4</v>
      </c>
      <c r="N915" t="str">
        <f>VLOOKUP(B915,'[2]TABULADOR ok'!$A$2:$I$424,8,FALSE)</f>
        <v>S12092</v>
      </c>
      <c r="O915">
        <f>VLOOKUP(B915,'[2]TABULADOR ok'!$A$2:$I$424,9,FALSE)</f>
        <v>95</v>
      </c>
    </row>
    <row r="916" spans="1:15" x14ac:dyDescent="0.25">
      <c r="A916" s="4">
        <v>2009</v>
      </c>
      <c r="B916" s="11" t="s">
        <v>67</v>
      </c>
      <c r="C916" s="11" t="s">
        <v>68</v>
      </c>
      <c r="D916" s="11" t="s">
        <v>47</v>
      </c>
      <c r="E916" s="12" t="s">
        <v>69</v>
      </c>
      <c r="F916" s="5">
        <v>6618.23</v>
      </c>
      <c r="G916" s="5">
        <v>0</v>
      </c>
      <c r="H916" s="5">
        <v>551</v>
      </c>
      <c r="I916" s="5">
        <v>32</v>
      </c>
      <c r="J916" s="5">
        <v>120</v>
      </c>
      <c r="K916" s="6">
        <f t="shared" si="16"/>
        <v>7321.23</v>
      </c>
      <c r="M916" t="str">
        <f>VLOOKUP(B916,'[2]TABULADOR ok'!$A$2:$I$424,7,FALSE)</f>
        <v>T4</v>
      </c>
      <c r="N916" t="str">
        <f>VLOOKUP(B916,'[2]TABULADOR ok'!$A$2:$I$424,8,FALSE)</f>
        <v>S12093</v>
      </c>
      <c r="O916">
        <f>VLOOKUP(B916,'[2]TABULADOR ok'!$A$2:$I$424,9,FALSE)</f>
        <v>95</v>
      </c>
    </row>
    <row r="917" spans="1:15" x14ac:dyDescent="0.25">
      <c r="A917" s="4">
        <v>2009</v>
      </c>
      <c r="B917" s="11" t="s">
        <v>70</v>
      </c>
      <c r="C917" s="11" t="s">
        <v>71</v>
      </c>
      <c r="D917" s="11" t="s">
        <v>47</v>
      </c>
      <c r="E917" s="12" t="s">
        <v>72</v>
      </c>
      <c r="F917" s="5">
        <v>6618.23</v>
      </c>
      <c r="G917" s="5">
        <v>0</v>
      </c>
      <c r="H917" s="5">
        <v>551</v>
      </c>
      <c r="I917" s="5">
        <v>32</v>
      </c>
      <c r="J917" s="5">
        <v>120</v>
      </c>
      <c r="K917" s="6">
        <f t="shared" si="16"/>
        <v>7321.23</v>
      </c>
      <c r="M917" t="str">
        <f>VLOOKUP(B917,'[2]TABULADOR ok'!$A$2:$I$424,7,FALSE)</f>
        <v>T4</v>
      </c>
      <c r="N917" t="str">
        <f>VLOOKUP(B917,'[2]TABULADOR ok'!$A$2:$I$424,8,FALSE)</f>
        <v>S12096</v>
      </c>
      <c r="O917">
        <f>VLOOKUP(B917,'[2]TABULADOR ok'!$A$2:$I$424,9,FALSE)</f>
        <v>95</v>
      </c>
    </row>
    <row r="918" spans="1:15" x14ac:dyDescent="0.25">
      <c r="A918" s="4">
        <v>2009</v>
      </c>
      <c r="B918" s="11" t="s">
        <v>73</v>
      </c>
      <c r="C918" s="11" t="s">
        <v>74</v>
      </c>
      <c r="D918" s="11" t="s">
        <v>47</v>
      </c>
      <c r="E918" s="12" t="s">
        <v>75</v>
      </c>
      <c r="F918" s="5">
        <v>6618.23</v>
      </c>
      <c r="G918" s="5">
        <v>0</v>
      </c>
      <c r="H918" s="5">
        <v>551</v>
      </c>
      <c r="I918" s="5">
        <v>32</v>
      </c>
      <c r="J918" s="5">
        <v>120</v>
      </c>
      <c r="K918" s="6">
        <f t="shared" si="16"/>
        <v>7321.23</v>
      </c>
      <c r="M918" t="str">
        <f>VLOOKUP(B918,'[2]TABULADOR ok'!$A$2:$I$424,7,FALSE)</f>
        <v>T4</v>
      </c>
      <c r="N918" t="str">
        <f>VLOOKUP(B918,'[2]TABULADOR ok'!$A$2:$I$424,8,FALSE)</f>
        <v>S12097</v>
      </c>
      <c r="O918">
        <f>VLOOKUP(B918,'[2]TABULADOR ok'!$A$2:$I$424,9,FALSE)</f>
        <v>95</v>
      </c>
    </row>
    <row r="919" spans="1:15" x14ac:dyDescent="0.25">
      <c r="A919" s="4">
        <v>2009</v>
      </c>
      <c r="B919" s="11" t="s">
        <v>76</v>
      </c>
      <c r="C919" s="11" t="s">
        <v>77</v>
      </c>
      <c r="D919" s="11" t="s">
        <v>47</v>
      </c>
      <c r="E919" s="12" t="s">
        <v>78</v>
      </c>
      <c r="F919" s="5">
        <v>6618.23</v>
      </c>
      <c r="G919" s="5">
        <v>0</v>
      </c>
      <c r="H919" s="5">
        <v>551</v>
      </c>
      <c r="I919" s="5">
        <v>32</v>
      </c>
      <c r="J919" s="5">
        <v>120</v>
      </c>
      <c r="K919" s="6">
        <f t="shared" si="16"/>
        <v>7321.23</v>
      </c>
      <c r="M919" t="str">
        <f>VLOOKUP(B919,'[2]TABULADOR ok'!$A$2:$I$424,7,FALSE)</f>
        <v>T4</v>
      </c>
      <c r="N919" t="str">
        <f>VLOOKUP(B919,'[2]TABULADOR ok'!$A$2:$I$424,8,FALSE)</f>
        <v>S12098</v>
      </c>
      <c r="O919">
        <f>VLOOKUP(B919,'[2]TABULADOR ok'!$A$2:$I$424,9,FALSE)</f>
        <v>95</v>
      </c>
    </row>
    <row r="920" spans="1:15" x14ac:dyDescent="0.25">
      <c r="A920" s="4">
        <v>2009</v>
      </c>
      <c r="B920" s="11" t="s">
        <v>79</v>
      </c>
      <c r="C920" s="11" t="s">
        <v>80</v>
      </c>
      <c r="D920" s="11" t="s">
        <v>47</v>
      </c>
      <c r="E920" s="12" t="s">
        <v>81</v>
      </c>
      <c r="F920" s="5">
        <v>6618.23</v>
      </c>
      <c r="G920" s="5">
        <v>0</v>
      </c>
      <c r="H920" s="5">
        <v>551</v>
      </c>
      <c r="I920" s="5">
        <v>32</v>
      </c>
      <c r="J920" s="5">
        <v>120</v>
      </c>
      <c r="K920" s="6">
        <f t="shared" si="16"/>
        <v>7321.23</v>
      </c>
      <c r="M920" t="str">
        <f>VLOOKUP(B920,'[2]TABULADOR ok'!$A$2:$I$424,7,FALSE)</f>
        <v>T4</v>
      </c>
      <c r="N920" t="str">
        <f>VLOOKUP(B920,'[2]TABULADOR ok'!$A$2:$I$424,8,FALSE)</f>
        <v>T06824</v>
      </c>
      <c r="O920">
        <f>VLOOKUP(B920,'[2]TABULADOR ok'!$A$2:$I$424,9,FALSE)</f>
        <v>95</v>
      </c>
    </row>
    <row r="921" spans="1:15" x14ac:dyDescent="0.25">
      <c r="A921" s="4">
        <v>2009</v>
      </c>
      <c r="B921" s="11" t="s">
        <v>82</v>
      </c>
      <c r="C921" s="11" t="s">
        <v>83</v>
      </c>
      <c r="D921" s="11" t="s">
        <v>84</v>
      </c>
      <c r="E921" s="12" t="s">
        <v>85</v>
      </c>
      <c r="F921" s="5">
        <v>7283.12</v>
      </c>
      <c r="G921" s="5">
        <v>0</v>
      </c>
      <c r="H921" s="5">
        <v>551</v>
      </c>
      <c r="I921" s="5">
        <v>32</v>
      </c>
      <c r="J921" s="5">
        <v>120</v>
      </c>
      <c r="K921" s="6">
        <f t="shared" si="16"/>
        <v>7986.12</v>
      </c>
      <c r="M921" t="str">
        <f>VLOOKUP(B921,'[2]TABULADOR ok'!$A$2:$I$424,7,FALSE)</f>
        <v>T5</v>
      </c>
      <c r="N921" t="str">
        <f>VLOOKUP(B921,'[2]TABULADOR ok'!$A$2:$I$424,8,FALSE)</f>
        <v>A01038</v>
      </c>
      <c r="O921">
        <f>VLOOKUP(B921,'[2]TABULADOR ok'!$A$2:$I$424,9,FALSE)</f>
        <v>95</v>
      </c>
    </row>
    <row r="922" spans="1:15" x14ac:dyDescent="0.25">
      <c r="A922" s="4">
        <v>2009</v>
      </c>
      <c r="B922" s="11" t="s">
        <v>86</v>
      </c>
      <c r="C922" s="11" t="s">
        <v>87</v>
      </c>
      <c r="D922" s="11" t="s">
        <v>84</v>
      </c>
      <c r="E922" s="12" t="s">
        <v>88</v>
      </c>
      <c r="F922" s="5">
        <v>7283.12</v>
      </c>
      <c r="G922" s="5">
        <v>0</v>
      </c>
      <c r="H922" s="5">
        <v>551</v>
      </c>
      <c r="I922" s="5">
        <v>32</v>
      </c>
      <c r="J922" s="5">
        <v>120</v>
      </c>
      <c r="K922" s="6">
        <f t="shared" si="16"/>
        <v>7986.12</v>
      </c>
      <c r="M922" t="str">
        <f>VLOOKUP(B922,'[2]TABULADOR ok'!$A$2:$I$424,7,FALSE)</f>
        <v>T5</v>
      </c>
      <c r="N922" t="str">
        <f>VLOOKUP(B922,'[2]TABULADOR ok'!$A$2:$I$424,8,FALSE)</f>
        <v>A03840</v>
      </c>
      <c r="O922">
        <f>VLOOKUP(B922,'[2]TABULADOR ok'!$A$2:$I$424,9,FALSE)</f>
        <v>95</v>
      </c>
    </row>
    <row r="923" spans="1:15" x14ac:dyDescent="0.25">
      <c r="A923" s="4">
        <v>2009</v>
      </c>
      <c r="B923" s="11" t="s">
        <v>89</v>
      </c>
      <c r="C923" s="11" t="s">
        <v>90</v>
      </c>
      <c r="D923" s="11" t="s">
        <v>84</v>
      </c>
      <c r="E923" s="12" t="s">
        <v>91</v>
      </c>
      <c r="F923" s="5">
        <v>7283.12</v>
      </c>
      <c r="G923" s="5">
        <v>0</v>
      </c>
      <c r="H923" s="5">
        <v>551</v>
      </c>
      <c r="I923" s="5">
        <v>32</v>
      </c>
      <c r="J923" s="5">
        <v>120</v>
      </c>
      <c r="K923" s="6">
        <f t="shared" si="16"/>
        <v>7986.12</v>
      </c>
      <c r="M923" t="str">
        <f>VLOOKUP(B923,'[2]TABULADOR ok'!$A$2:$I$424,7,FALSE)</f>
        <v>T5</v>
      </c>
      <c r="N923" t="str">
        <f>VLOOKUP(B923,'[2]TABULADOR ok'!$A$2:$I$424,8,FALSE)</f>
        <v>A05011</v>
      </c>
      <c r="O923">
        <f>VLOOKUP(B923,'[2]TABULADOR ok'!$A$2:$I$424,9,FALSE)</f>
        <v>95</v>
      </c>
    </row>
    <row r="924" spans="1:15" x14ac:dyDescent="0.25">
      <c r="A924" s="4">
        <v>2009</v>
      </c>
      <c r="B924" s="11" t="s">
        <v>92</v>
      </c>
      <c r="C924" s="11" t="s">
        <v>93</v>
      </c>
      <c r="D924" s="11" t="s">
        <v>84</v>
      </c>
      <c r="E924" s="12" t="s">
        <v>94</v>
      </c>
      <c r="F924" s="5">
        <v>7283.12</v>
      </c>
      <c r="G924" s="5">
        <v>0</v>
      </c>
      <c r="H924" s="5">
        <v>551</v>
      </c>
      <c r="I924" s="5">
        <v>32</v>
      </c>
      <c r="J924" s="5">
        <v>120</v>
      </c>
      <c r="K924" s="6">
        <f t="shared" si="16"/>
        <v>7986.12</v>
      </c>
      <c r="M924" t="str">
        <f>VLOOKUP(B924,'[2]TABULADOR ok'!$A$2:$I$424,7,FALSE)</f>
        <v>T5</v>
      </c>
      <c r="N924" t="str">
        <f>VLOOKUP(B924,'[2]TABULADOR ok'!$A$2:$I$424,8,FALSE)</f>
        <v>S01892</v>
      </c>
      <c r="O924">
        <f>VLOOKUP(B924,'[2]TABULADOR ok'!$A$2:$I$424,9,FALSE)</f>
        <v>95</v>
      </c>
    </row>
    <row r="925" spans="1:15" x14ac:dyDescent="0.25">
      <c r="A925" s="4">
        <v>2009</v>
      </c>
      <c r="B925" s="11" t="s">
        <v>95</v>
      </c>
      <c r="C925" s="11" t="s">
        <v>96</v>
      </c>
      <c r="D925" s="11" t="s">
        <v>84</v>
      </c>
      <c r="E925" s="12" t="s">
        <v>97</v>
      </c>
      <c r="F925" s="5">
        <v>7283.12</v>
      </c>
      <c r="G925" s="5">
        <v>0</v>
      </c>
      <c r="H925" s="5">
        <v>551</v>
      </c>
      <c r="I925" s="5">
        <v>32</v>
      </c>
      <c r="J925" s="5">
        <v>120</v>
      </c>
      <c r="K925" s="6">
        <f t="shared" si="16"/>
        <v>7986.12</v>
      </c>
      <c r="M925" t="str">
        <f>VLOOKUP(B925,'[2]TABULADOR ok'!$A$2:$I$424,7,FALSE)</f>
        <v>T5</v>
      </c>
      <c r="N925" t="str">
        <f>VLOOKUP(B925,'[2]TABULADOR ok'!$A$2:$I$424,8,FALSE)</f>
        <v>S01896</v>
      </c>
      <c r="O925">
        <f>VLOOKUP(B925,'[2]TABULADOR ok'!$A$2:$I$424,9,FALSE)</f>
        <v>95</v>
      </c>
    </row>
    <row r="926" spans="1:15" x14ac:dyDescent="0.25">
      <c r="A926" s="4">
        <v>2009</v>
      </c>
      <c r="B926" s="11" t="s">
        <v>98</v>
      </c>
      <c r="C926" s="11" t="s">
        <v>99</v>
      </c>
      <c r="D926" s="11" t="s">
        <v>84</v>
      </c>
      <c r="E926" s="12" t="s">
        <v>100</v>
      </c>
      <c r="F926" s="5">
        <v>7283.12</v>
      </c>
      <c r="G926" s="5">
        <v>0</v>
      </c>
      <c r="H926" s="5">
        <v>551</v>
      </c>
      <c r="I926" s="5">
        <v>32</v>
      </c>
      <c r="J926" s="5">
        <v>120</v>
      </c>
      <c r="K926" s="6">
        <f t="shared" si="16"/>
        <v>7986.12</v>
      </c>
      <c r="M926" t="str">
        <f>VLOOKUP(B926,'[2]TABULADOR ok'!$A$2:$I$424,7,FALSE)</f>
        <v>T5</v>
      </c>
      <c r="N926" t="str">
        <f>VLOOKUP(B926,'[2]TABULADOR ok'!$A$2:$I$424,8,FALSE)</f>
        <v>S12011</v>
      </c>
      <c r="O926">
        <f>VLOOKUP(B926,'[2]TABULADOR ok'!$A$2:$I$424,9,FALSE)</f>
        <v>95</v>
      </c>
    </row>
    <row r="927" spans="1:15" x14ac:dyDescent="0.25">
      <c r="A927" s="4">
        <v>2009</v>
      </c>
      <c r="B927" s="11" t="s">
        <v>101</v>
      </c>
      <c r="C927" s="11" t="s">
        <v>102</v>
      </c>
      <c r="D927" s="11" t="s">
        <v>84</v>
      </c>
      <c r="E927" s="12" t="s">
        <v>103</v>
      </c>
      <c r="F927" s="5">
        <v>7283.12</v>
      </c>
      <c r="G927" s="5">
        <v>0</v>
      </c>
      <c r="H927" s="5">
        <v>551</v>
      </c>
      <c r="I927" s="5">
        <v>32</v>
      </c>
      <c r="J927" s="5">
        <v>120</v>
      </c>
      <c r="K927" s="6">
        <f t="shared" si="16"/>
        <v>7986.12</v>
      </c>
      <c r="M927" t="str">
        <f>VLOOKUP(B927,'[2]TABULADOR ok'!$A$2:$I$424,7,FALSE)</f>
        <v>T5</v>
      </c>
      <c r="N927" t="str">
        <f>VLOOKUP(B927,'[2]TABULADOR ok'!$A$2:$I$424,8,FALSE)</f>
        <v>S12094</v>
      </c>
      <c r="O927">
        <f>VLOOKUP(B927,'[2]TABULADOR ok'!$A$2:$I$424,9,FALSE)</f>
        <v>95</v>
      </c>
    </row>
    <row r="928" spans="1:15" x14ac:dyDescent="0.25">
      <c r="A928" s="4">
        <v>2009</v>
      </c>
      <c r="B928" s="11" t="s">
        <v>104</v>
      </c>
      <c r="C928" s="11" t="s">
        <v>105</v>
      </c>
      <c r="D928" s="11" t="s">
        <v>84</v>
      </c>
      <c r="E928" s="12" t="s">
        <v>106</v>
      </c>
      <c r="F928" s="5">
        <v>7283.12</v>
      </c>
      <c r="G928" s="5">
        <v>0</v>
      </c>
      <c r="H928" s="5">
        <v>551</v>
      </c>
      <c r="I928" s="5">
        <v>32</v>
      </c>
      <c r="J928" s="5">
        <v>120</v>
      </c>
      <c r="K928" s="6">
        <f t="shared" si="16"/>
        <v>7986.12</v>
      </c>
      <c r="M928" t="str">
        <f>VLOOKUP(B928,'[2]TABULADOR ok'!$A$2:$I$424,7,FALSE)</f>
        <v>T5</v>
      </c>
      <c r="N928" t="str">
        <f>VLOOKUP(B928,'[2]TABULADOR ok'!$A$2:$I$424,8,FALSE)</f>
        <v>T03853</v>
      </c>
      <c r="O928">
        <f>VLOOKUP(B928,'[2]TABULADOR ok'!$A$2:$I$424,9,FALSE)</f>
        <v>95</v>
      </c>
    </row>
    <row r="929" spans="1:15" x14ac:dyDescent="0.25">
      <c r="A929" s="4">
        <v>2009</v>
      </c>
      <c r="B929" s="11" t="s">
        <v>107</v>
      </c>
      <c r="C929" s="11" t="s">
        <v>108</v>
      </c>
      <c r="D929" s="11" t="s">
        <v>84</v>
      </c>
      <c r="E929" s="12" t="s">
        <v>109</v>
      </c>
      <c r="F929" s="5">
        <v>7283.12</v>
      </c>
      <c r="G929" s="5">
        <v>0</v>
      </c>
      <c r="H929" s="5">
        <v>551</v>
      </c>
      <c r="I929" s="5">
        <v>32</v>
      </c>
      <c r="J929" s="5">
        <v>120</v>
      </c>
      <c r="K929" s="6">
        <f t="shared" si="16"/>
        <v>7986.12</v>
      </c>
      <c r="M929" t="str">
        <f>VLOOKUP(B929,'[2]TABULADOR ok'!$A$2:$I$424,7,FALSE)</f>
        <v>T5</v>
      </c>
      <c r="N929" t="str">
        <f>VLOOKUP(B929,'[2]TABULADOR ok'!$A$2:$I$424,8,FALSE)</f>
        <v>T13818</v>
      </c>
      <c r="O929">
        <f>VLOOKUP(B929,'[2]TABULADOR ok'!$A$2:$I$424,9,FALSE)</f>
        <v>95</v>
      </c>
    </row>
    <row r="930" spans="1:15" x14ac:dyDescent="0.25">
      <c r="A930" s="4">
        <v>2009</v>
      </c>
      <c r="B930" s="11" t="s">
        <v>110</v>
      </c>
      <c r="C930" s="11" t="s">
        <v>111</v>
      </c>
      <c r="D930" s="11" t="s">
        <v>84</v>
      </c>
      <c r="E930" s="12" t="s">
        <v>112</v>
      </c>
      <c r="F930" s="5">
        <v>7283.12</v>
      </c>
      <c r="G930" s="5">
        <v>0</v>
      </c>
      <c r="H930" s="5">
        <v>551</v>
      </c>
      <c r="I930" s="5">
        <v>32</v>
      </c>
      <c r="J930" s="5">
        <v>120</v>
      </c>
      <c r="K930" s="6">
        <f t="shared" si="16"/>
        <v>7986.12</v>
      </c>
      <c r="M930" t="str">
        <f>VLOOKUP(B930,'[2]TABULADOR ok'!$A$2:$I$424,7,FALSE)</f>
        <v>T5</v>
      </c>
      <c r="N930" t="str">
        <f>VLOOKUP(B930,'[2]TABULADOR ok'!$A$2:$I$424,8,FALSE)</f>
        <v>T14034</v>
      </c>
      <c r="O930">
        <f>VLOOKUP(B930,'[2]TABULADOR ok'!$A$2:$I$424,9,FALSE)</f>
        <v>95</v>
      </c>
    </row>
    <row r="931" spans="1:15" x14ac:dyDescent="0.25">
      <c r="A931" s="4">
        <v>2009</v>
      </c>
      <c r="B931" s="11" t="s">
        <v>113</v>
      </c>
      <c r="C931" s="11" t="s">
        <v>114</v>
      </c>
      <c r="D931" s="11" t="s">
        <v>115</v>
      </c>
      <c r="E931" s="12" t="s">
        <v>116</v>
      </c>
      <c r="F931" s="5">
        <v>8102.76</v>
      </c>
      <c r="G931" s="5">
        <v>0</v>
      </c>
      <c r="H931" s="5">
        <v>551</v>
      </c>
      <c r="I931" s="5">
        <v>32</v>
      </c>
      <c r="J931" s="5">
        <v>120</v>
      </c>
      <c r="K931" s="6">
        <f t="shared" si="16"/>
        <v>8805.76</v>
      </c>
      <c r="M931" t="str">
        <f>VLOOKUP(B931,'[2]TABULADOR ok'!$A$2:$I$424,7,FALSE)</f>
        <v>T6</v>
      </c>
      <c r="N931" t="str">
        <f>VLOOKUP(B931,'[2]TABULADOR ok'!$A$2:$I$424,8,FALSE)</f>
        <v>A03839</v>
      </c>
      <c r="O931">
        <f>VLOOKUP(B931,'[2]TABULADOR ok'!$A$2:$I$424,9,FALSE)</f>
        <v>95</v>
      </c>
    </row>
    <row r="932" spans="1:15" x14ac:dyDescent="0.25">
      <c r="A932" s="4">
        <v>2009</v>
      </c>
      <c r="B932" s="11" t="s">
        <v>117</v>
      </c>
      <c r="C932" s="11" t="s">
        <v>118</v>
      </c>
      <c r="D932" s="11" t="s">
        <v>115</v>
      </c>
      <c r="E932" s="12" t="s">
        <v>119</v>
      </c>
      <c r="F932" s="5">
        <v>8102.76</v>
      </c>
      <c r="G932" s="5">
        <v>0</v>
      </c>
      <c r="H932" s="5">
        <v>551</v>
      </c>
      <c r="I932" s="5">
        <v>32</v>
      </c>
      <c r="J932" s="5">
        <v>120</v>
      </c>
      <c r="K932" s="6">
        <f t="shared" si="16"/>
        <v>8805.76</v>
      </c>
      <c r="M932" t="str">
        <f>VLOOKUP(B932,'[2]TABULADOR ok'!$A$2:$I$424,7,FALSE)</f>
        <v>T6</v>
      </c>
      <c r="N932" t="str">
        <f>VLOOKUP(B932,'[2]TABULADOR ok'!$A$2:$I$424,8,FALSE)</f>
        <v>P07027</v>
      </c>
      <c r="O932">
        <f>VLOOKUP(B932,'[2]TABULADOR ok'!$A$2:$I$424,9,FALSE)</f>
        <v>95</v>
      </c>
    </row>
    <row r="933" spans="1:15" x14ac:dyDescent="0.25">
      <c r="A933" s="4">
        <v>2009</v>
      </c>
      <c r="B933" s="11" t="s">
        <v>120</v>
      </c>
      <c r="C933" s="11" t="s">
        <v>121</v>
      </c>
      <c r="D933" s="11" t="s">
        <v>115</v>
      </c>
      <c r="E933" s="12" t="s">
        <v>122</v>
      </c>
      <c r="F933" s="5">
        <v>8102.76</v>
      </c>
      <c r="G933" s="5">
        <v>0</v>
      </c>
      <c r="H933" s="5">
        <v>551</v>
      </c>
      <c r="I933" s="5">
        <v>32</v>
      </c>
      <c r="J933" s="5">
        <v>120</v>
      </c>
      <c r="K933" s="6">
        <f t="shared" si="16"/>
        <v>8805.76</v>
      </c>
      <c r="M933" t="str">
        <f>VLOOKUP(B933,'[2]TABULADOR ok'!$A$2:$I$424,7,FALSE)</f>
        <v>T6</v>
      </c>
      <c r="N933" t="str">
        <f>VLOOKUP(B933,'[2]TABULADOR ok'!$A$2:$I$424,8,FALSE)</f>
        <v>S03830</v>
      </c>
      <c r="O933">
        <f>VLOOKUP(B933,'[2]TABULADOR ok'!$A$2:$I$424,9,FALSE)</f>
        <v>95</v>
      </c>
    </row>
    <row r="934" spans="1:15" x14ac:dyDescent="0.25">
      <c r="A934" s="4">
        <v>2009</v>
      </c>
      <c r="B934" s="11" t="s">
        <v>123</v>
      </c>
      <c r="C934" s="11" t="s">
        <v>124</v>
      </c>
      <c r="D934" s="11" t="s">
        <v>115</v>
      </c>
      <c r="E934" s="12" t="s">
        <v>125</v>
      </c>
      <c r="F934" s="5">
        <v>8102.76</v>
      </c>
      <c r="G934" s="5">
        <v>0</v>
      </c>
      <c r="H934" s="5">
        <v>551</v>
      </c>
      <c r="I934" s="5">
        <v>32</v>
      </c>
      <c r="J934" s="5">
        <v>120</v>
      </c>
      <c r="K934" s="6">
        <f t="shared" si="16"/>
        <v>8805.76</v>
      </c>
      <c r="M934" t="str">
        <f>VLOOKUP(B934,'[2]TABULADOR ok'!$A$2:$I$424,7,FALSE)</f>
        <v>T6</v>
      </c>
      <c r="N934" t="str">
        <f>VLOOKUP(B934,'[2]TABULADOR ok'!$A$2:$I$424,8,FALSE)</f>
        <v>S03831</v>
      </c>
      <c r="O934">
        <f>VLOOKUP(B934,'[2]TABULADOR ok'!$A$2:$I$424,9,FALSE)</f>
        <v>95</v>
      </c>
    </row>
    <row r="935" spans="1:15" x14ac:dyDescent="0.25">
      <c r="A935" s="4">
        <v>2009</v>
      </c>
      <c r="B935" s="11" t="s">
        <v>126</v>
      </c>
      <c r="C935" s="11" t="s">
        <v>127</v>
      </c>
      <c r="D935" s="11" t="s">
        <v>115</v>
      </c>
      <c r="E935" s="12" t="s">
        <v>128</v>
      </c>
      <c r="F935" s="5">
        <v>8102.76</v>
      </c>
      <c r="G935" s="5">
        <v>0</v>
      </c>
      <c r="H935" s="5">
        <v>551</v>
      </c>
      <c r="I935" s="5">
        <v>32</v>
      </c>
      <c r="J935" s="5">
        <v>120</v>
      </c>
      <c r="K935" s="6">
        <f t="shared" si="16"/>
        <v>8805.76</v>
      </c>
      <c r="M935" t="str">
        <f>VLOOKUP(B935,'[2]TABULADOR ok'!$A$2:$I$424,7,FALSE)</f>
        <v>T6</v>
      </c>
      <c r="N935" t="str">
        <f>VLOOKUP(B935,'[2]TABULADOR ok'!$A$2:$I$424,8,FALSE)</f>
        <v>S09807</v>
      </c>
      <c r="O935">
        <f>VLOOKUP(B935,'[2]TABULADOR ok'!$A$2:$I$424,9,FALSE)</f>
        <v>95</v>
      </c>
    </row>
    <row r="936" spans="1:15" x14ac:dyDescent="0.25">
      <c r="A936" s="4">
        <v>2009</v>
      </c>
      <c r="B936" s="11" t="s">
        <v>129</v>
      </c>
      <c r="C936" s="11" t="s">
        <v>130</v>
      </c>
      <c r="D936" s="11" t="s">
        <v>115</v>
      </c>
      <c r="E936" s="12" t="s">
        <v>131</v>
      </c>
      <c r="F936" s="5">
        <v>8102.76</v>
      </c>
      <c r="G936" s="5">
        <v>0</v>
      </c>
      <c r="H936" s="5">
        <v>551</v>
      </c>
      <c r="I936" s="5">
        <v>32</v>
      </c>
      <c r="J936" s="5">
        <v>120</v>
      </c>
      <c r="K936" s="6">
        <f t="shared" si="16"/>
        <v>8805.76</v>
      </c>
      <c r="M936" t="str">
        <f>VLOOKUP(B936,'[2]TABULADOR ok'!$A$2:$I$424,7,FALSE)</f>
        <v>T6</v>
      </c>
      <c r="N936" t="str">
        <f>VLOOKUP(B936,'[2]TABULADOR ok'!$A$2:$I$424,8,FALSE)</f>
        <v>T06823</v>
      </c>
      <c r="O936">
        <f>VLOOKUP(B936,'[2]TABULADOR ok'!$A$2:$I$424,9,FALSE)</f>
        <v>95</v>
      </c>
    </row>
    <row r="937" spans="1:15" x14ac:dyDescent="0.25">
      <c r="A937" s="4">
        <v>2009</v>
      </c>
      <c r="B937" s="11" t="s">
        <v>132</v>
      </c>
      <c r="C937" s="11" t="s">
        <v>133</v>
      </c>
      <c r="D937" s="11" t="s">
        <v>115</v>
      </c>
      <c r="E937" s="12" t="s">
        <v>134</v>
      </c>
      <c r="F937" s="5">
        <v>8102.76</v>
      </c>
      <c r="G937" s="5">
        <v>0</v>
      </c>
      <c r="H937" s="5">
        <v>551</v>
      </c>
      <c r="I937" s="5">
        <v>32</v>
      </c>
      <c r="J937" s="5">
        <v>120</v>
      </c>
      <c r="K937" s="6">
        <f t="shared" si="16"/>
        <v>8805.76</v>
      </c>
      <c r="M937" t="str">
        <f>VLOOKUP(B937,'[2]TABULADOR ok'!$A$2:$I$424,7,FALSE)</f>
        <v>T6</v>
      </c>
      <c r="N937" t="str">
        <f>VLOOKUP(B937,'[2]TABULADOR ok'!$A$2:$I$424,8,FALSE)</f>
        <v>T08813</v>
      </c>
      <c r="O937">
        <f>VLOOKUP(B937,'[2]TABULADOR ok'!$A$2:$I$424,9,FALSE)</f>
        <v>95</v>
      </c>
    </row>
    <row r="938" spans="1:15" x14ac:dyDescent="0.25">
      <c r="A938" s="4">
        <v>2009</v>
      </c>
      <c r="B938" s="11" t="s">
        <v>135</v>
      </c>
      <c r="C938" s="11" t="s">
        <v>136</v>
      </c>
      <c r="D938" s="11" t="s">
        <v>137</v>
      </c>
      <c r="E938" s="12" t="s">
        <v>138</v>
      </c>
      <c r="F938" s="5">
        <v>8896.42</v>
      </c>
      <c r="G938" s="5">
        <v>0</v>
      </c>
      <c r="H938" s="5">
        <v>551</v>
      </c>
      <c r="I938" s="5">
        <v>32</v>
      </c>
      <c r="J938" s="5">
        <v>120</v>
      </c>
      <c r="K938" s="6">
        <f t="shared" si="16"/>
        <v>9599.42</v>
      </c>
      <c r="M938" t="str">
        <f>VLOOKUP(B938,'[2]TABULADOR ok'!$A$2:$I$424,7,FALSE)</f>
        <v>T7</v>
      </c>
      <c r="N938" t="str">
        <f>VLOOKUP(B938,'[2]TABULADOR ok'!$A$2:$I$424,8,FALSE)</f>
        <v>A01037</v>
      </c>
      <c r="O938">
        <f>VLOOKUP(B938,'[2]TABULADOR ok'!$A$2:$I$424,9,FALSE)</f>
        <v>95</v>
      </c>
    </row>
    <row r="939" spans="1:15" x14ac:dyDescent="0.25">
      <c r="A939" s="4">
        <v>2009</v>
      </c>
      <c r="B939" s="11" t="s">
        <v>139</v>
      </c>
      <c r="C939" s="11" t="s">
        <v>140</v>
      </c>
      <c r="D939" s="11" t="s">
        <v>137</v>
      </c>
      <c r="E939" s="12" t="s">
        <v>141</v>
      </c>
      <c r="F939" s="5">
        <v>8896.42</v>
      </c>
      <c r="G939" s="5">
        <v>0</v>
      </c>
      <c r="H939" s="5">
        <v>551</v>
      </c>
      <c r="I939" s="5">
        <v>32</v>
      </c>
      <c r="J939" s="5">
        <v>120</v>
      </c>
      <c r="K939" s="6">
        <f t="shared" si="16"/>
        <v>9599.42</v>
      </c>
      <c r="M939" t="str">
        <f>VLOOKUP(B939,'[2]TABULADOR ok'!$A$2:$I$424,7,FALSE)</f>
        <v>T7</v>
      </c>
      <c r="N939" t="str">
        <f>VLOOKUP(B939,'[2]TABULADOR ok'!$A$2:$I$424,8,FALSE)</f>
        <v>A02815</v>
      </c>
      <c r="O939">
        <f>VLOOKUP(B939,'[2]TABULADOR ok'!$A$2:$I$424,9,FALSE)</f>
        <v>95</v>
      </c>
    </row>
    <row r="940" spans="1:15" x14ac:dyDescent="0.25">
      <c r="A940" s="4">
        <v>2009</v>
      </c>
      <c r="B940" s="11" t="s">
        <v>142</v>
      </c>
      <c r="C940" s="11" t="s">
        <v>143</v>
      </c>
      <c r="D940" s="11" t="s">
        <v>137</v>
      </c>
      <c r="E940" s="12" t="s">
        <v>144</v>
      </c>
      <c r="F940" s="5">
        <v>8896.42</v>
      </c>
      <c r="G940" s="5">
        <v>0</v>
      </c>
      <c r="H940" s="5">
        <v>551</v>
      </c>
      <c r="I940" s="5">
        <v>32</v>
      </c>
      <c r="J940" s="5">
        <v>120</v>
      </c>
      <c r="K940" s="6">
        <f t="shared" si="16"/>
        <v>9599.42</v>
      </c>
      <c r="M940" t="str">
        <f>VLOOKUP(B940,'[2]TABULADOR ok'!$A$2:$I$424,7,FALSE)</f>
        <v>T7</v>
      </c>
      <c r="N940" t="str">
        <f>VLOOKUP(B940,'[2]TABULADOR ok'!$A$2:$I$424,8,FALSE)</f>
        <v>C01817</v>
      </c>
      <c r="O940">
        <f>VLOOKUP(B940,'[2]TABULADOR ok'!$A$2:$I$424,9,FALSE)</f>
        <v>95</v>
      </c>
    </row>
    <row r="941" spans="1:15" x14ac:dyDescent="0.25">
      <c r="A941" s="4">
        <v>2009</v>
      </c>
      <c r="B941" s="11" t="s">
        <v>145</v>
      </c>
      <c r="C941" s="11" t="s">
        <v>146</v>
      </c>
      <c r="D941" s="11" t="s">
        <v>137</v>
      </c>
      <c r="E941" s="12" t="s">
        <v>147</v>
      </c>
      <c r="F941" s="5">
        <v>8896.42</v>
      </c>
      <c r="G941" s="5">
        <v>0</v>
      </c>
      <c r="H941" s="5">
        <v>551</v>
      </c>
      <c r="I941" s="5">
        <v>32</v>
      </c>
      <c r="J941" s="5">
        <v>120</v>
      </c>
      <c r="K941" s="6">
        <f t="shared" si="16"/>
        <v>9599.42</v>
      </c>
      <c r="M941" t="str">
        <f>VLOOKUP(B941,'[2]TABULADOR ok'!$A$2:$I$424,7,FALSE)</f>
        <v>T7</v>
      </c>
      <c r="N941" t="str">
        <f>VLOOKUP(B941,'[2]TABULADOR ok'!$A$2:$I$424,8,FALSE)</f>
        <v>P07026</v>
      </c>
      <c r="O941">
        <f>VLOOKUP(B941,'[2]TABULADOR ok'!$A$2:$I$424,9,FALSE)</f>
        <v>95</v>
      </c>
    </row>
    <row r="942" spans="1:15" x14ac:dyDescent="0.25">
      <c r="A942" s="4">
        <v>2009</v>
      </c>
      <c r="B942" s="11" t="s">
        <v>148</v>
      </c>
      <c r="C942" s="11" t="s">
        <v>149</v>
      </c>
      <c r="D942" s="11" t="s">
        <v>137</v>
      </c>
      <c r="E942" s="12" t="s">
        <v>150</v>
      </c>
      <c r="F942" s="5">
        <v>8896.42</v>
      </c>
      <c r="G942" s="5">
        <v>0</v>
      </c>
      <c r="H942" s="5">
        <v>551</v>
      </c>
      <c r="I942" s="5">
        <v>32</v>
      </c>
      <c r="J942" s="5">
        <v>120</v>
      </c>
      <c r="K942" s="6">
        <f t="shared" si="16"/>
        <v>9599.42</v>
      </c>
      <c r="M942" t="str">
        <f>VLOOKUP(B942,'[2]TABULADOR ok'!$A$2:$I$424,7,FALSE)</f>
        <v>T7</v>
      </c>
      <c r="N942" t="str">
        <f>VLOOKUP(B942,'[2]TABULADOR ok'!$A$2:$I$424,8,FALSE)</f>
        <v>T05822</v>
      </c>
      <c r="O942">
        <f>VLOOKUP(B942,'[2]TABULADOR ok'!$A$2:$I$424,9,FALSE)</f>
        <v>95</v>
      </c>
    </row>
    <row r="943" spans="1:15" x14ac:dyDescent="0.25">
      <c r="A943" s="4">
        <v>2009</v>
      </c>
      <c r="B943" s="11" t="s">
        <v>151</v>
      </c>
      <c r="C943" s="11" t="s">
        <v>152</v>
      </c>
      <c r="D943" s="11" t="s">
        <v>137</v>
      </c>
      <c r="E943" s="12" t="s">
        <v>153</v>
      </c>
      <c r="F943" s="5">
        <v>8896.42</v>
      </c>
      <c r="G943" s="5">
        <v>0</v>
      </c>
      <c r="H943" s="5">
        <v>551</v>
      </c>
      <c r="I943" s="5">
        <v>32</v>
      </c>
      <c r="J943" s="5">
        <v>120</v>
      </c>
      <c r="K943" s="6">
        <f t="shared" si="16"/>
        <v>9599.42</v>
      </c>
      <c r="M943" t="str">
        <f>VLOOKUP(B943,'[2]TABULADOR ok'!$A$2:$I$424,7,FALSE)</f>
        <v>T7</v>
      </c>
      <c r="N943" t="str">
        <f>VLOOKUP(B943,'[2]TABULADOR ok'!$A$2:$I$424,8,FALSE)</f>
        <v>T09001</v>
      </c>
      <c r="O943">
        <f>VLOOKUP(B943,'[2]TABULADOR ok'!$A$2:$I$424,9,FALSE)</f>
        <v>95</v>
      </c>
    </row>
    <row r="944" spans="1:15" x14ac:dyDescent="0.25">
      <c r="A944" s="4">
        <v>2009</v>
      </c>
      <c r="B944" s="11" t="s">
        <v>154</v>
      </c>
      <c r="C944" s="11" t="s">
        <v>155</v>
      </c>
      <c r="D944" s="11" t="s">
        <v>137</v>
      </c>
      <c r="E944" s="12" t="s">
        <v>156</v>
      </c>
      <c r="F944" s="5">
        <v>8896.42</v>
      </c>
      <c r="G944" s="5">
        <v>0</v>
      </c>
      <c r="H944" s="5">
        <v>551</v>
      </c>
      <c r="I944" s="5">
        <v>32</v>
      </c>
      <c r="J944" s="5">
        <v>120</v>
      </c>
      <c r="K944" s="6">
        <f t="shared" si="16"/>
        <v>9599.42</v>
      </c>
      <c r="M944" t="str">
        <f>VLOOKUP(B944,'[2]TABULADOR ok'!$A$2:$I$424,7,FALSE)</f>
        <v>T7</v>
      </c>
      <c r="N944" t="str">
        <f>VLOOKUP(B944,'[2]TABULADOR ok'!$A$2:$I$424,8,FALSE)</f>
        <v>T13817</v>
      </c>
      <c r="O944">
        <f>VLOOKUP(B944,'[2]TABULADOR ok'!$A$2:$I$424,9,FALSE)</f>
        <v>95</v>
      </c>
    </row>
    <row r="945" spans="1:15" x14ac:dyDescent="0.25">
      <c r="A945" s="4">
        <v>2009</v>
      </c>
      <c r="B945" s="11" t="s">
        <v>157</v>
      </c>
      <c r="C945" s="11" t="s">
        <v>158</v>
      </c>
      <c r="D945" s="11" t="s">
        <v>137</v>
      </c>
      <c r="E945" s="12" t="s">
        <v>159</v>
      </c>
      <c r="F945" s="5">
        <v>8896.42</v>
      </c>
      <c r="G945" s="5">
        <v>0</v>
      </c>
      <c r="H945" s="5">
        <v>551</v>
      </c>
      <c r="I945" s="5">
        <v>32</v>
      </c>
      <c r="J945" s="5">
        <v>120</v>
      </c>
      <c r="K945" s="6">
        <f t="shared" si="16"/>
        <v>9599.42</v>
      </c>
      <c r="M945" t="str">
        <f>VLOOKUP(B945,'[2]TABULADOR ok'!$A$2:$I$424,7,FALSE)</f>
        <v>T7</v>
      </c>
      <c r="N945" t="str">
        <f>VLOOKUP(B945,'[2]TABULADOR ok'!$A$2:$I$424,8,FALSE)</f>
        <v>T14019</v>
      </c>
      <c r="O945">
        <f>VLOOKUP(B945,'[2]TABULADOR ok'!$A$2:$I$424,9,FALSE)</f>
        <v>95</v>
      </c>
    </row>
    <row r="946" spans="1:15" x14ac:dyDescent="0.25">
      <c r="A946" s="4">
        <v>2009</v>
      </c>
      <c r="B946" s="11" t="s">
        <v>160</v>
      </c>
      <c r="C946" s="11" t="s">
        <v>161</v>
      </c>
      <c r="D946" s="11" t="s">
        <v>137</v>
      </c>
      <c r="E946" s="12" t="s">
        <v>162</v>
      </c>
      <c r="F946" s="5">
        <v>8896.42</v>
      </c>
      <c r="G946" s="5">
        <v>0</v>
      </c>
      <c r="H946" s="5">
        <v>551</v>
      </c>
      <c r="I946" s="5">
        <v>32</v>
      </c>
      <c r="J946" s="5">
        <v>120</v>
      </c>
      <c r="K946" s="6">
        <f t="shared" si="16"/>
        <v>9599.42</v>
      </c>
      <c r="M946" t="str">
        <f>VLOOKUP(B946,'[2]TABULADOR ok'!$A$2:$I$424,7,FALSE)</f>
        <v>T7</v>
      </c>
      <c r="N946" t="str">
        <f>VLOOKUP(B946,'[2]TABULADOR ok'!$A$2:$I$424,8,FALSE)</f>
        <v>T16817</v>
      </c>
      <c r="O946">
        <f>VLOOKUP(B946,'[2]TABULADOR ok'!$A$2:$I$424,9,FALSE)</f>
        <v>95</v>
      </c>
    </row>
    <row r="947" spans="1:15" x14ac:dyDescent="0.25">
      <c r="A947" s="4">
        <v>2009</v>
      </c>
      <c r="B947" s="11" t="s">
        <v>163</v>
      </c>
      <c r="C947" s="11" t="s">
        <v>164</v>
      </c>
      <c r="D947" s="11" t="s">
        <v>165</v>
      </c>
      <c r="E947" s="12" t="s">
        <v>166</v>
      </c>
      <c r="F947" s="5">
        <v>9829.98</v>
      </c>
      <c r="G947" s="5">
        <v>0</v>
      </c>
      <c r="H947" s="5">
        <v>551</v>
      </c>
      <c r="I947" s="5">
        <v>32</v>
      </c>
      <c r="J947" s="5">
        <v>120</v>
      </c>
      <c r="K947" s="6">
        <f t="shared" si="16"/>
        <v>10532.98</v>
      </c>
      <c r="M947" t="str">
        <f>VLOOKUP(B947,'[2]TABULADOR ok'!$A$2:$I$424,7,FALSE)</f>
        <v>T8</v>
      </c>
      <c r="N947" t="str">
        <f>VLOOKUP(B947,'[2]TABULADOR ok'!$A$2:$I$424,8,FALSE)</f>
        <v>A01036</v>
      </c>
      <c r="O947">
        <f>VLOOKUP(B947,'[2]TABULADOR ok'!$A$2:$I$424,9,FALSE)</f>
        <v>95</v>
      </c>
    </row>
    <row r="948" spans="1:15" x14ac:dyDescent="0.25">
      <c r="A948" s="4">
        <v>2009</v>
      </c>
      <c r="B948" s="11" t="s">
        <v>167</v>
      </c>
      <c r="C948" s="11" t="s">
        <v>168</v>
      </c>
      <c r="D948" s="11" t="s">
        <v>165</v>
      </c>
      <c r="E948" s="12" t="s">
        <v>169</v>
      </c>
      <c r="F948" s="5">
        <v>9829.98</v>
      </c>
      <c r="G948" s="5">
        <v>0</v>
      </c>
      <c r="H948" s="5">
        <v>551</v>
      </c>
      <c r="I948" s="5">
        <v>32</v>
      </c>
      <c r="J948" s="5">
        <v>120</v>
      </c>
      <c r="K948" s="6">
        <f t="shared" si="16"/>
        <v>10532.98</v>
      </c>
      <c r="M948" t="str">
        <f>VLOOKUP(B948,'[2]TABULADOR ok'!$A$2:$I$424,7,FALSE)</f>
        <v>T8</v>
      </c>
      <c r="N948" t="str">
        <f>VLOOKUP(B948,'[2]TABULADOR ok'!$A$2:$I$424,8,FALSE)</f>
        <v>A06009</v>
      </c>
      <c r="O948">
        <f>VLOOKUP(B948,'[2]TABULADOR ok'!$A$2:$I$424,9,FALSE)</f>
        <v>95</v>
      </c>
    </row>
    <row r="949" spans="1:15" x14ac:dyDescent="0.25">
      <c r="A949" s="4">
        <v>2009</v>
      </c>
      <c r="B949" s="11" t="s">
        <v>170</v>
      </c>
      <c r="C949" s="11" t="s">
        <v>171</v>
      </c>
      <c r="D949" s="11" t="s">
        <v>165</v>
      </c>
      <c r="E949" s="12" t="s">
        <v>172</v>
      </c>
      <c r="F949" s="5">
        <v>9829.98</v>
      </c>
      <c r="G949" s="5">
        <v>0</v>
      </c>
      <c r="H949" s="5">
        <v>551</v>
      </c>
      <c r="I949" s="5">
        <v>32</v>
      </c>
      <c r="J949" s="5">
        <v>120</v>
      </c>
      <c r="K949" s="6">
        <f t="shared" si="16"/>
        <v>10532.98</v>
      </c>
      <c r="M949" t="str">
        <f>VLOOKUP(B949,'[2]TABULADOR ok'!$A$2:$I$424,7,FALSE)</f>
        <v>T8</v>
      </c>
      <c r="N949" t="str">
        <f>VLOOKUP(B949,'[2]TABULADOR ok'!$A$2:$I$424,8,FALSE)</f>
        <v>C01818</v>
      </c>
      <c r="O949">
        <f>VLOOKUP(B949,'[2]TABULADOR ok'!$A$2:$I$424,9,FALSE)</f>
        <v>95</v>
      </c>
    </row>
    <row r="950" spans="1:15" x14ac:dyDescent="0.25">
      <c r="A950" s="4">
        <v>2009</v>
      </c>
      <c r="B950" s="11" t="s">
        <v>173</v>
      </c>
      <c r="C950" s="11" t="s">
        <v>174</v>
      </c>
      <c r="D950" s="11" t="s">
        <v>165</v>
      </c>
      <c r="E950" s="12" t="s">
        <v>175</v>
      </c>
      <c r="F950" s="5">
        <v>9829.98</v>
      </c>
      <c r="G950" s="5">
        <v>0</v>
      </c>
      <c r="H950" s="5">
        <v>551</v>
      </c>
      <c r="I950" s="5">
        <v>32</v>
      </c>
      <c r="J950" s="5">
        <v>120</v>
      </c>
      <c r="K950" s="6">
        <f t="shared" si="16"/>
        <v>10532.98</v>
      </c>
      <c r="M950" t="str">
        <f>VLOOKUP(B950,'[2]TABULADOR ok'!$A$2:$I$424,7,FALSE)</f>
        <v>T8</v>
      </c>
      <c r="N950" t="str">
        <f>VLOOKUP(B950,'[2]TABULADOR ok'!$A$2:$I$424,8,FALSE)</f>
        <v>T03854</v>
      </c>
      <c r="O950">
        <f>VLOOKUP(B950,'[2]TABULADOR ok'!$A$2:$I$424,9,FALSE)</f>
        <v>95</v>
      </c>
    </row>
    <row r="951" spans="1:15" x14ac:dyDescent="0.25">
      <c r="A951" s="4">
        <v>2009</v>
      </c>
      <c r="B951" s="11" t="s">
        <v>176</v>
      </c>
      <c r="C951" s="11" t="s">
        <v>177</v>
      </c>
      <c r="D951" s="11" t="s">
        <v>165</v>
      </c>
      <c r="E951" s="12" t="s">
        <v>178</v>
      </c>
      <c r="F951" s="5">
        <v>9829.98</v>
      </c>
      <c r="G951" s="5">
        <v>0</v>
      </c>
      <c r="H951" s="5">
        <v>551</v>
      </c>
      <c r="I951" s="5">
        <v>32</v>
      </c>
      <c r="J951" s="5">
        <v>120</v>
      </c>
      <c r="K951" s="6">
        <f t="shared" si="16"/>
        <v>10532.98</v>
      </c>
      <c r="M951" t="str">
        <f>VLOOKUP(B951,'[2]TABULADOR ok'!$A$2:$I$424,7,FALSE)</f>
        <v>T8</v>
      </c>
      <c r="N951" t="str">
        <f>VLOOKUP(B951,'[2]TABULADOR ok'!$A$2:$I$424,8,FALSE)</f>
        <v>T04875</v>
      </c>
      <c r="O951">
        <f>VLOOKUP(B951,'[2]TABULADOR ok'!$A$2:$I$424,9,FALSE)</f>
        <v>95</v>
      </c>
    </row>
    <row r="952" spans="1:15" x14ac:dyDescent="0.25">
      <c r="A952" s="4">
        <v>2009</v>
      </c>
      <c r="B952" s="11" t="s">
        <v>179</v>
      </c>
      <c r="C952" s="11" t="s">
        <v>180</v>
      </c>
      <c r="D952" s="11" t="s">
        <v>165</v>
      </c>
      <c r="E952" s="12" t="s">
        <v>181</v>
      </c>
      <c r="F952" s="5">
        <v>9829.98</v>
      </c>
      <c r="G952" s="5">
        <v>0</v>
      </c>
      <c r="H952" s="5">
        <v>551</v>
      </c>
      <c r="I952" s="5">
        <v>32</v>
      </c>
      <c r="J952" s="5">
        <v>120</v>
      </c>
      <c r="K952" s="6">
        <f t="shared" si="16"/>
        <v>10532.98</v>
      </c>
      <c r="M952" t="str">
        <f>VLOOKUP(B952,'[2]TABULADOR ok'!$A$2:$I$424,7,FALSE)</f>
        <v>T8</v>
      </c>
      <c r="N952" t="str">
        <f>VLOOKUP(B952,'[2]TABULADOR ok'!$A$2:$I$424,8,FALSE)</f>
        <v>T08812</v>
      </c>
      <c r="O952">
        <f>VLOOKUP(B952,'[2]TABULADOR ok'!$A$2:$I$424,9,FALSE)</f>
        <v>95</v>
      </c>
    </row>
    <row r="953" spans="1:15" x14ac:dyDescent="0.25">
      <c r="A953" s="4">
        <v>2009</v>
      </c>
      <c r="B953" s="11" t="s">
        <v>182</v>
      </c>
      <c r="C953" s="11" t="s">
        <v>183</v>
      </c>
      <c r="D953" s="11" t="s">
        <v>184</v>
      </c>
      <c r="E953" s="12" t="s">
        <v>185</v>
      </c>
      <c r="F953" s="5">
        <v>10992.04</v>
      </c>
      <c r="G953" s="5">
        <v>0</v>
      </c>
      <c r="H953" s="5">
        <v>551</v>
      </c>
      <c r="I953" s="5">
        <v>32</v>
      </c>
      <c r="J953" s="5">
        <v>120</v>
      </c>
      <c r="K953" s="6">
        <f t="shared" si="16"/>
        <v>11695.04</v>
      </c>
      <c r="M953" t="str">
        <f>VLOOKUP(B953,'[2]TABULADOR ok'!$A$2:$I$424,7,FALSE)</f>
        <v>T9</v>
      </c>
      <c r="N953" t="str">
        <f>VLOOKUP(B953,'[2]TABULADOR ok'!$A$2:$I$424,8,FALSE)</f>
        <v>P02809</v>
      </c>
      <c r="O953">
        <f>VLOOKUP(B953,'[2]TABULADOR ok'!$A$2:$I$424,9,FALSE)</f>
        <v>95</v>
      </c>
    </row>
    <row r="954" spans="1:15" x14ac:dyDescent="0.25">
      <c r="A954" s="4">
        <v>2009</v>
      </c>
      <c r="B954" s="11" t="s">
        <v>186</v>
      </c>
      <c r="C954" s="11" t="s">
        <v>187</v>
      </c>
      <c r="D954" s="11" t="s">
        <v>184</v>
      </c>
      <c r="E954" s="12" t="s">
        <v>188</v>
      </c>
      <c r="F954" s="5">
        <v>10992.04</v>
      </c>
      <c r="G954" s="5">
        <v>0</v>
      </c>
      <c r="H954" s="5">
        <v>551</v>
      </c>
      <c r="I954" s="5">
        <v>32</v>
      </c>
      <c r="J954" s="5">
        <v>120</v>
      </c>
      <c r="K954" s="6">
        <f t="shared" si="16"/>
        <v>11695.04</v>
      </c>
      <c r="M954" t="str">
        <f>VLOOKUP(B954,'[2]TABULADOR ok'!$A$2:$I$424,7,FALSE)</f>
        <v>T9</v>
      </c>
      <c r="N954" t="str">
        <f>VLOOKUP(B954,'[2]TABULADOR ok'!$A$2:$I$424,8,FALSE)</f>
        <v>P04806</v>
      </c>
      <c r="O954">
        <f>VLOOKUP(B954,'[2]TABULADOR ok'!$A$2:$I$424,9,FALSE)</f>
        <v>95</v>
      </c>
    </row>
    <row r="955" spans="1:15" x14ac:dyDescent="0.25">
      <c r="A955" s="4">
        <v>2009</v>
      </c>
      <c r="B955" s="11" t="s">
        <v>189</v>
      </c>
      <c r="C955" s="11" t="s">
        <v>190</v>
      </c>
      <c r="D955" s="11" t="s">
        <v>184</v>
      </c>
      <c r="E955" s="12" t="s">
        <v>191</v>
      </c>
      <c r="F955" s="5">
        <v>10992.04</v>
      </c>
      <c r="G955" s="5">
        <v>0</v>
      </c>
      <c r="H955" s="5">
        <v>551</v>
      </c>
      <c r="I955" s="5">
        <v>32</v>
      </c>
      <c r="J955" s="5">
        <v>120</v>
      </c>
      <c r="K955" s="6">
        <f t="shared" si="16"/>
        <v>11695.04</v>
      </c>
      <c r="M955" t="str">
        <f>VLOOKUP(B955,'[2]TABULADOR ok'!$A$2:$I$424,7,FALSE)</f>
        <v>T9</v>
      </c>
      <c r="N955" t="str">
        <f>VLOOKUP(B955,'[2]TABULADOR ok'!$A$2:$I$424,8,FALSE)</f>
        <v>P05808</v>
      </c>
      <c r="O955">
        <f>VLOOKUP(B955,'[2]TABULADOR ok'!$A$2:$I$424,9,FALSE)</f>
        <v>95</v>
      </c>
    </row>
    <row r="956" spans="1:15" x14ac:dyDescent="0.25">
      <c r="A956" s="4">
        <v>2009</v>
      </c>
      <c r="B956" s="11" t="s">
        <v>192</v>
      </c>
      <c r="C956" s="11" t="s">
        <v>193</v>
      </c>
      <c r="D956" s="11" t="s">
        <v>184</v>
      </c>
      <c r="E956" s="12" t="s">
        <v>194</v>
      </c>
      <c r="F956" s="5">
        <v>10992.04</v>
      </c>
      <c r="G956" s="5">
        <v>0</v>
      </c>
      <c r="H956" s="5">
        <v>551</v>
      </c>
      <c r="I956" s="5">
        <v>32</v>
      </c>
      <c r="J956" s="5">
        <v>120</v>
      </c>
      <c r="K956" s="6">
        <f t="shared" si="16"/>
        <v>11695.04</v>
      </c>
      <c r="M956" t="str">
        <f>VLOOKUP(B956,'[2]TABULADOR ok'!$A$2:$I$424,7,FALSE)</f>
        <v>T9</v>
      </c>
      <c r="N956" t="str">
        <f>VLOOKUP(B956,'[2]TABULADOR ok'!$A$2:$I$424,8,FALSE)</f>
        <v>T03850</v>
      </c>
      <c r="O956">
        <f>VLOOKUP(B956,'[2]TABULADOR ok'!$A$2:$I$424,9,FALSE)</f>
        <v>95</v>
      </c>
    </row>
    <row r="957" spans="1:15" x14ac:dyDescent="0.25">
      <c r="A957" s="4">
        <v>2009</v>
      </c>
      <c r="B957" s="11" t="s">
        <v>195</v>
      </c>
      <c r="C957" s="11" t="s">
        <v>196</v>
      </c>
      <c r="D957" s="11" t="s">
        <v>184</v>
      </c>
      <c r="E957" s="12" t="s">
        <v>197</v>
      </c>
      <c r="F957" s="5">
        <v>10992.04</v>
      </c>
      <c r="G957" s="5">
        <v>0</v>
      </c>
      <c r="H957" s="5">
        <v>551</v>
      </c>
      <c r="I957" s="5">
        <v>32</v>
      </c>
      <c r="J957" s="5">
        <v>120</v>
      </c>
      <c r="K957" s="6">
        <f t="shared" si="16"/>
        <v>11695.04</v>
      </c>
      <c r="M957" t="str">
        <f>VLOOKUP(B957,'[2]TABULADOR ok'!$A$2:$I$424,7,FALSE)</f>
        <v>T9</v>
      </c>
      <c r="N957" t="str">
        <f>VLOOKUP(B957,'[2]TABULADOR ok'!$A$2:$I$424,8,FALSE)</f>
        <v>T03851</v>
      </c>
      <c r="O957">
        <f>VLOOKUP(B957,'[2]TABULADOR ok'!$A$2:$I$424,9,FALSE)</f>
        <v>95</v>
      </c>
    </row>
    <row r="958" spans="1:15" x14ac:dyDescent="0.25">
      <c r="A958" s="4">
        <v>2009</v>
      </c>
      <c r="B958" s="11" t="s">
        <v>198</v>
      </c>
      <c r="C958" s="11" t="s">
        <v>199</v>
      </c>
      <c r="D958" s="11" t="s">
        <v>184</v>
      </c>
      <c r="E958" s="12" t="s">
        <v>200</v>
      </c>
      <c r="F958" s="5">
        <v>10992.04</v>
      </c>
      <c r="G958" s="5">
        <v>0</v>
      </c>
      <c r="H958" s="5">
        <v>551</v>
      </c>
      <c r="I958" s="5">
        <v>32</v>
      </c>
      <c r="J958" s="5">
        <v>120</v>
      </c>
      <c r="K958" s="6">
        <f>SUM(F958:J958)</f>
        <v>11695.04</v>
      </c>
      <c r="M958" t="str">
        <f>VLOOKUP(B958,'[2]TABULADOR ok'!$A$2:$I$424,7,FALSE)</f>
        <v>T9</v>
      </c>
      <c r="N958" t="str">
        <f>VLOOKUP(B958,'[2]TABULADOR ok'!$A$2:$I$424,8,FALSE)</f>
        <v>T03855</v>
      </c>
      <c r="O958">
        <f>VLOOKUP(B958,'[2]TABULADOR ok'!$A$2:$I$424,9,FALSE)</f>
        <v>95</v>
      </c>
    </row>
    <row r="959" spans="1:15" x14ac:dyDescent="0.25">
      <c r="A959" s="4">
        <v>2009</v>
      </c>
      <c r="B959" s="11" t="s">
        <v>201</v>
      </c>
      <c r="C959" s="11" t="s">
        <v>202</v>
      </c>
      <c r="D959" s="11" t="s">
        <v>184</v>
      </c>
      <c r="E959" s="12" t="s">
        <v>203</v>
      </c>
      <c r="F959" s="5">
        <v>10992.04</v>
      </c>
      <c r="G959" s="5">
        <v>0</v>
      </c>
      <c r="H959" s="5">
        <v>551</v>
      </c>
      <c r="I959" s="5">
        <v>32</v>
      </c>
      <c r="J959" s="5">
        <v>120</v>
      </c>
      <c r="K959" s="6">
        <f t="shared" ref="K959:K961" si="17">SUM(F959:J959)</f>
        <v>11695.04</v>
      </c>
      <c r="M959" t="str">
        <f>VLOOKUP(B959,'[2]TABULADOR ok'!$A$2:$I$424,7,FALSE)</f>
        <v>T9</v>
      </c>
      <c r="N959" t="str">
        <f>VLOOKUP(B959,'[2]TABULADOR ok'!$A$2:$I$424,8,FALSE)</f>
        <v>T04873</v>
      </c>
      <c r="O959">
        <f>VLOOKUP(B959,'[2]TABULADOR ok'!$A$2:$I$424,9,FALSE)</f>
        <v>95</v>
      </c>
    </row>
    <row r="960" spans="1:15" x14ac:dyDescent="0.25">
      <c r="A960" s="4">
        <v>2009</v>
      </c>
      <c r="B960" s="11" t="s">
        <v>204</v>
      </c>
      <c r="C960" s="11" t="s">
        <v>205</v>
      </c>
      <c r="D960" s="11" t="s">
        <v>184</v>
      </c>
      <c r="E960" s="12" t="s">
        <v>206</v>
      </c>
      <c r="F960" s="5">
        <v>10992.04</v>
      </c>
      <c r="G960" s="5">
        <v>0</v>
      </c>
      <c r="H960" s="5">
        <v>551</v>
      </c>
      <c r="I960" s="5">
        <v>32</v>
      </c>
      <c r="J960" s="5">
        <v>120</v>
      </c>
      <c r="K960" s="6">
        <f t="shared" si="17"/>
        <v>11695.04</v>
      </c>
      <c r="M960" t="str">
        <f>VLOOKUP(B960,'[2]TABULADOR ok'!$A$2:$I$424,7,FALSE)</f>
        <v>T9</v>
      </c>
      <c r="N960" t="str">
        <f>VLOOKUP(B960,'[2]TABULADOR ok'!$A$2:$I$424,8,FALSE)</f>
        <v>T14007</v>
      </c>
      <c r="O960">
        <f>VLOOKUP(B960,'[2]TABULADOR ok'!$A$2:$I$424,9,FALSE)</f>
        <v>95</v>
      </c>
    </row>
    <row r="961" spans="1:15" x14ac:dyDescent="0.25">
      <c r="A961" s="4">
        <v>2009</v>
      </c>
      <c r="B961" s="11" t="s">
        <v>207</v>
      </c>
      <c r="C961" s="11" t="s">
        <v>208</v>
      </c>
      <c r="D961" s="11" t="s">
        <v>184</v>
      </c>
      <c r="E961" s="12" t="s">
        <v>209</v>
      </c>
      <c r="F961" s="5">
        <v>10992.04</v>
      </c>
      <c r="G961" s="5">
        <v>0</v>
      </c>
      <c r="H961" s="5">
        <v>551</v>
      </c>
      <c r="I961" s="5">
        <v>32</v>
      </c>
      <c r="J961" s="5">
        <v>120</v>
      </c>
      <c r="K961" s="6">
        <f t="shared" si="17"/>
        <v>11695.04</v>
      </c>
      <c r="M961" t="str">
        <f>VLOOKUP(B961,'[2]TABULADOR ok'!$A$2:$I$424,7,FALSE)</f>
        <v>T9</v>
      </c>
      <c r="N961" t="str">
        <f>VLOOKUP(B961,'[2]TABULADOR ok'!$A$2:$I$424,8,FALSE)</f>
        <v>T26806</v>
      </c>
      <c r="O961">
        <f>VLOOKUP(B961,'[2]TABULADOR ok'!$A$2:$I$424,9,FALSE)</f>
        <v>95</v>
      </c>
    </row>
  </sheetData>
  <autoFilter ref="A1:K961" xr:uid="{3CB0C295-EF0B-4216-BE01-60E48FEBA8D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7895-A98C-488F-AD88-D618362CF4A6}">
  <dimension ref="A1:K844"/>
  <sheetViews>
    <sheetView topLeftCell="A372" zoomScale="124" zoomScaleNormal="124" workbookViewId="0">
      <selection activeCell="A80" sqref="A80:XFD80"/>
    </sheetView>
  </sheetViews>
  <sheetFormatPr baseColWidth="10" defaultRowHeight="15" x14ac:dyDescent="0.25"/>
  <cols>
    <col min="2" max="3" width="8.42578125" customWidth="1"/>
    <col min="4" max="4" width="8.7109375" customWidth="1"/>
    <col min="5" max="5" width="32.5703125" customWidth="1"/>
  </cols>
  <sheetData>
    <row r="1" spans="1:11" ht="36" x14ac:dyDescent="0.25">
      <c r="A1" s="1"/>
      <c r="B1" s="13" t="s">
        <v>0</v>
      </c>
      <c r="C1" s="13" t="s">
        <v>1</v>
      </c>
      <c r="D1" s="13" t="s">
        <v>2</v>
      </c>
      <c r="E1" s="13" t="s">
        <v>3</v>
      </c>
      <c r="F1" s="14" t="s">
        <v>4</v>
      </c>
      <c r="G1" s="14" t="s">
        <v>5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hidden="1" x14ac:dyDescent="0.25">
      <c r="A2" s="4">
        <v>2023</v>
      </c>
      <c r="B2" s="11" t="s">
        <v>10</v>
      </c>
      <c r="C2" s="11" t="s">
        <v>11</v>
      </c>
      <c r="D2" s="11" t="s">
        <v>12</v>
      </c>
      <c r="E2" s="12" t="s">
        <v>13</v>
      </c>
      <c r="F2" s="5"/>
      <c r="G2" s="5"/>
      <c r="H2" s="5"/>
      <c r="I2" s="5"/>
      <c r="J2" s="5"/>
      <c r="K2" s="6">
        <f>SUM(F2:J2)</f>
        <v>0</v>
      </c>
    </row>
    <row r="3" spans="1:11" hidden="1" x14ac:dyDescent="0.25">
      <c r="A3" s="4">
        <v>2023</v>
      </c>
      <c r="B3" s="11" t="s">
        <v>14</v>
      </c>
      <c r="C3" s="11" t="s">
        <v>15</v>
      </c>
      <c r="D3" s="11" t="s">
        <v>16</v>
      </c>
      <c r="E3" s="12" t="s">
        <v>17</v>
      </c>
      <c r="F3" s="5"/>
      <c r="G3" s="5"/>
      <c r="H3" s="5"/>
      <c r="I3" s="5"/>
      <c r="J3" s="5"/>
      <c r="K3" s="6">
        <f t="shared" ref="K3:K65" si="0">SUM(F3:J3)</f>
        <v>0</v>
      </c>
    </row>
    <row r="4" spans="1:11" hidden="1" x14ac:dyDescent="0.25">
      <c r="A4" s="4">
        <v>2023</v>
      </c>
      <c r="B4" s="11" t="s">
        <v>18</v>
      </c>
      <c r="C4" s="11" t="s">
        <v>19</v>
      </c>
      <c r="D4" s="11" t="s">
        <v>16</v>
      </c>
      <c r="E4" s="12" t="s">
        <v>20</v>
      </c>
      <c r="F4" s="5"/>
      <c r="G4" s="5"/>
      <c r="H4" s="5"/>
      <c r="I4" s="5"/>
      <c r="J4" s="5"/>
      <c r="K4" s="6">
        <f t="shared" si="0"/>
        <v>0</v>
      </c>
    </row>
    <row r="5" spans="1:11" hidden="1" x14ac:dyDescent="0.25">
      <c r="A5" s="4">
        <v>2023</v>
      </c>
      <c r="B5" s="11" t="s">
        <v>21</v>
      </c>
      <c r="C5" s="11" t="s">
        <v>22</v>
      </c>
      <c r="D5" s="11" t="s">
        <v>16</v>
      </c>
      <c r="E5" s="12" t="s">
        <v>23</v>
      </c>
      <c r="F5" s="5"/>
      <c r="G5" s="5"/>
      <c r="H5" s="5"/>
      <c r="I5" s="5"/>
      <c r="J5" s="5"/>
      <c r="K5" s="6">
        <f t="shared" si="0"/>
        <v>0</v>
      </c>
    </row>
    <row r="6" spans="1:11" hidden="1" x14ac:dyDescent="0.25">
      <c r="A6" s="4">
        <v>2023</v>
      </c>
      <c r="B6" s="11" t="s">
        <v>24</v>
      </c>
      <c r="C6" s="11" t="s">
        <v>24</v>
      </c>
      <c r="D6" s="11" t="s">
        <v>25</v>
      </c>
      <c r="E6" s="12" t="s">
        <v>26</v>
      </c>
      <c r="F6" s="5"/>
      <c r="G6" s="5"/>
      <c r="H6" s="5"/>
      <c r="I6" s="5"/>
      <c r="J6" s="5"/>
      <c r="K6" s="6">
        <f t="shared" si="0"/>
        <v>0</v>
      </c>
    </row>
    <row r="7" spans="1:11" hidden="1" x14ac:dyDescent="0.25">
      <c r="A7" s="4">
        <v>2023</v>
      </c>
      <c r="B7" s="11" t="s">
        <v>27</v>
      </c>
      <c r="C7" s="11" t="s">
        <v>28</v>
      </c>
      <c r="D7" s="11" t="s">
        <v>25</v>
      </c>
      <c r="E7" s="12" t="s">
        <v>29</v>
      </c>
      <c r="F7" s="5"/>
      <c r="G7" s="5"/>
      <c r="H7" s="5"/>
      <c r="I7" s="5"/>
      <c r="J7" s="5"/>
      <c r="K7" s="6">
        <f t="shared" si="0"/>
        <v>0</v>
      </c>
    </row>
    <row r="8" spans="1:11" hidden="1" x14ac:dyDescent="0.25">
      <c r="A8" s="4">
        <v>2023</v>
      </c>
      <c r="B8" s="11" t="s">
        <v>30</v>
      </c>
      <c r="C8" s="11" t="s">
        <v>31</v>
      </c>
      <c r="D8" s="11" t="s">
        <v>25</v>
      </c>
      <c r="E8" s="12" t="s">
        <v>32</v>
      </c>
      <c r="F8" s="5"/>
      <c r="G8" s="5"/>
      <c r="H8" s="5"/>
      <c r="I8" s="5"/>
      <c r="J8" s="5"/>
      <c r="K8" s="6">
        <f t="shared" si="0"/>
        <v>0</v>
      </c>
    </row>
    <row r="9" spans="1:11" hidden="1" x14ac:dyDescent="0.25">
      <c r="A9" s="4">
        <v>2023</v>
      </c>
      <c r="B9" s="11" t="s">
        <v>33</v>
      </c>
      <c r="C9" s="11" t="s">
        <v>34</v>
      </c>
      <c r="D9" s="11" t="s">
        <v>25</v>
      </c>
      <c r="E9" s="12" t="s">
        <v>35</v>
      </c>
      <c r="F9" s="5"/>
      <c r="G9" s="5"/>
      <c r="H9" s="5"/>
      <c r="I9" s="5"/>
      <c r="J9" s="5"/>
      <c r="K9" s="6">
        <f t="shared" si="0"/>
        <v>0</v>
      </c>
    </row>
    <row r="10" spans="1:11" hidden="1" x14ac:dyDescent="0.25">
      <c r="A10" s="4">
        <v>2023</v>
      </c>
      <c r="B10" s="11" t="s">
        <v>36</v>
      </c>
      <c r="C10" s="11" t="s">
        <v>37</v>
      </c>
      <c r="D10" s="11" t="s">
        <v>25</v>
      </c>
      <c r="E10" s="12" t="s">
        <v>38</v>
      </c>
      <c r="F10" s="5"/>
      <c r="G10" s="5"/>
      <c r="H10" s="5"/>
      <c r="I10" s="5"/>
      <c r="J10" s="5"/>
      <c r="K10" s="6">
        <f t="shared" si="0"/>
        <v>0</v>
      </c>
    </row>
    <row r="11" spans="1:11" hidden="1" x14ac:dyDescent="0.25">
      <c r="A11" s="4">
        <v>2023</v>
      </c>
      <c r="B11" s="11" t="s">
        <v>39</v>
      </c>
      <c r="C11" s="11" t="s">
        <v>40</v>
      </c>
      <c r="D11" s="11" t="s">
        <v>25</v>
      </c>
      <c r="E11" s="12" t="s">
        <v>41</v>
      </c>
      <c r="F11" s="5"/>
      <c r="G11" s="5"/>
      <c r="H11" s="5"/>
      <c r="I11" s="5"/>
      <c r="J11" s="5"/>
      <c r="K11" s="6">
        <f t="shared" si="0"/>
        <v>0</v>
      </c>
    </row>
    <row r="12" spans="1:11" hidden="1" x14ac:dyDescent="0.25">
      <c r="A12" s="4">
        <v>2023</v>
      </c>
      <c r="B12" s="11" t="s">
        <v>42</v>
      </c>
      <c r="C12" s="11" t="s">
        <v>43</v>
      </c>
      <c r="D12" s="11" t="s">
        <v>25</v>
      </c>
      <c r="E12" s="12" t="s">
        <v>44</v>
      </c>
      <c r="F12" s="5"/>
      <c r="G12" s="5"/>
      <c r="H12" s="5"/>
      <c r="I12" s="5"/>
      <c r="J12" s="5"/>
      <c r="K12" s="6">
        <f t="shared" si="0"/>
        <v>0</v>
      </c>
    </row>
    <row r="13" spans="1:11" hidden="1" x14ac:dyDescent="0.25">
      <c r="A13" s="4">
        <v>2023</v>
      </c>
      <c r="B13" s="11" t="s">
        <v>45</v>
      </c>
      <c r="C13" s="11" t="s">
        <v>46</v>
      </c>
      <c r="D13" s="11" t="s">
        <v>47</v>
      </c>
      <c r="E13" s="12" t="s">
        <v>48</v>
      </c>
      <c r="F13" s="5"/>
      <c r="G13" s="5"/>
      <c r="H13" s="5"/>
      <c r="I13" s="5"/>
      <c r="J13" s="5"/>
      <c r="K13" s="6">
        <f t="shared" si="0"/>
        <v>0</v>
      </c>
    </row>
    <row r="14" spans="1:11" hidden="1" x14ac:dyDescent="0.25">
      <c r="A14" s="4">
        <v>2023</v>
      </c>
      <c r="B14" s="11" t="s">
        <v>49</v>
      </c>
      <c r="C14" s="11" t="s">
        <v>50</v>
      </c>
      <c r="D14" s="11" t="s">
        <v>47</v>
      </c>
      <c r="E14" s="12" t="s">
        <v>51</v>
      </c>
      <c r="F14" s="5"/>
      <c r="G14" s="5"/>
      <c r="H14" s="5"/>
      <c r="I14" s="5"/>
      <c r="J14" s="5"/>
      <c r="K14" s="6">
        <f t="shared" si="0"/>
        <v>0</v>
      </c>
    </row>
    <row r="15" spans="1:11" hidden="1" x14ac:dyDescent="0.25">
      <c r="A15" s="4">
        <v>2023</v>
      </c>
      <c r="B15" s="11" t="s">
        <v>52</v>
      </c>
      <c r="C15" s="11" t="s">
        <v>53</v>
      </c>
      <c r="D15" s="11" t="s">
        <v>47</v>
      </c>
      <c r="E15" s="12" t="s">
        <v>54</v>
      </c>
      <c r="F15" s="5"/>
      <c r="G15" s="5"/>
      <c r="H15" s="5"/>
      <c r="I15" s="5"/>
      <c r="J15" s="5"/>
      <c r="K15" s="6">
        <f t="shared" si="0"/>
        <v>0</v>
      </c>
    </row>
    <row r="16" spans="1:11" hidden="1" x14ac:dyDescent="0.25">
      <c r="A16" s="4">
        <v>2023</v>
      </c>
      <c r="B16" s="11" t="s">
        <v>55</v>
      </c>
      <c r="C16" s="11" t="s">
        <v>56</v>
      </c>
      <c r="D16" s="11" t="s">
        <v>47</v>
      </c>
      <c r="E16" s="12" t="s">
        <v>57</v>
      </c>
      <c r="F16" s="5"/>
      <c r="G16" s="5"/>
      <c r="H16" s="5"/>
      <c r="I16" s="5"/>
      <c r="J16" s="5"/>
      <c r="K16" s="6">
        <f t="shared" si="0"/>
        <v>0</v>
      </c>
    </row>
    <row r="17" spans="1:11" hidden="1" x14ac:dyDescent="0.25">
      <c r="A17" s="4">
        <v>2023</v>
      </c>
      <c r="B17" s="11" t="s">
        <v>58</v>
      </c>
      <c r="C17" s="11" t="s">
        <v>59</v>
      </c>
      <c r="D17" s="11" t="s">
        <v>47</v>
      </c>
      <c r="E17" s="12" t="s">
        <v>60</v>
      </c>
      <c r="F17" s="5"/>
      <c r="G17" s="5"/>
      <c r="H17" s="5"/>
      <c r="I17" s="5"/>
      <c r="J17" s="5"/>
      <c r="K17" s="6">
        <f t="shared" si="0"/>
        <v>0</v>
      </c>
    </row>
    <row r="18" spans="1:11" hidden="1" x14ac:dyDescent="0.25">
      <c r="A18" s="4">
        <v>2023</v>
      </c>
      <c r="B18" s="11" t="s">
        <v>61</v>
      </c>
      <c r="C18" s="11" t="s">
        <v>62</v>
      </c>
      <c r="D18" s="11" t="s">
        <v>47</v>
      </c>
      <c r="E18" s="12" t="s">
        <v>63</v>
      </c>
      <c r="F18" s="5"/>
      <c r="G18" s="5"/>
      <c r="H18" s="5"/>
      <c r="I18" s="5"/>
      <c r="J18" s="5"/>
      <c r="K18" s="6">
        <f t="shared" si="0"/>
        <v>0</v>
      </c>
    </row>
    <row r="19" spans="1:11" hidden="1" x14ac:dyDescent="0.25">
      <c r="A19" s="4">
        <v>2023</v>
      </c>
      <c r="B19" s="11" t="s">
        <v>64</v>
      </c>
      <c r="C19" s="11" t="s">
        <v>65</v>
      </c>
      <c r="D19" s="11" t="s">
        <v>47</v>
      </c>
      <c r="E19" s="12" t="s">
        <v>66</v>
      </c>
      <c r="F19" s="5"/>
      <c r="G19" s="5"/>
      <c r="H19" s="5"/>
      <c r="I19" s="5"/>
      <c r="J19" s="5"/>
      <c r="K19" s="6">
        <f t="shared" si="0"/>
        <v>0</v>
      </c>
    </row>
    <row r="20" spans="1:11" hidden="1" x14ac:dyDescent="0.25">
      <c r="A20" s="4">
        <v>2023</v>
      </c>
      <c r="B20" s="11" t="s">
        <v>67</v>
      </c>
      <c r="C20" s="11" t="s">
        <v>68</v>
      </c>
      <c r="D20" s="11" t="s">
        <v>47</v>
      </c>
      <c r="E20" s="12" t="s">
        <v>69</v>
      </c>
      <c r="F20" s="5"/>
      <c r="G20" s="5"/>
      <c r="H20" s="5"/>
      <c r="I20" s="5"/>
      <c r="J20" s="5"/>
      <c r="K20" s="6">
        <f t="shared" si="0"/>
        <v>0</v>
      </c>
    </row>
    <row r="21" spans="1:11" hidden="1" x14ac:dyDescent="0.25">
      <c r="A21" s="4">
        <v>2023</v>
      </c>
      <c r="B21" s="11" t="s">
        <v>70</v>
      </c>
      <c r="C21" s="11" t="s">
        <v>71</v>
      </c>
      <c r="D21" s="11" t="s">
        <v>47</v>
      </c>
      <c r="E21" s="12" t="s">
        <v>72</v>
      </c>
      <c r="F21" s="5"/>
      <c r="G21" s="5"/>
      <c r="H21" s="5"/>
      <c r="I21" s="5"/>
      <c r="J21" s="5"/>
      <c r="K21" s="6">
        <f t="shared" si="0"/>
        <v>0</v>
      </c>
    </row>
    <row r="22" spans="1:11" hidden="1" x14ac:dyDescent="0.25">
      <c r="A22" s="4">
        <v>2023</v>
      </c>
      <c r="B22" s="11" t="s">
        <v>73</v>
      </c>
      <c r="C22" s="11" t="s">
        <v>74</v>
      </c>
      <c r="D22" s="11" t="s">
        <v>47</v>
      </c>
      <c r="E22" s="12" t="s">
        <v>75</v>
      </c>
      <c r="F22" s="5"/>
      <c r="G22" s="5"/>
      <c r="H22" s="5"/>
      <c r="I22" s="5"/>
      <c r="J22" s="5"/>
      <c r="K22" s="6">
        <f t="shared" si="0"/>
        <v>0</v>
      </c>
    </row>
    <row r="23" spans="1:11" hidden="1" x14ac:dyDescent="0.25">
      <c r="A23" s="4">
        <v>2023</v>
      </c>
      <c r="B23" s="11" t="s">
        <v>76</v>
      </c>
      <c r="C23" s="11" t="s">
        <v>77</v>
      </c>
      <c r="D23" s="11" t="s">
        <v>47</v>
      </c>
      <c r="E23" s="12" t="s">
        <v>78</v>
      </c>
      <c r="F23" s="5"/>
      <c r="G23" s="5"/>
      <c r="H23" s="5"/>
      <c r="I23" s="5"/>
      <c r="J23" s="5"/>
      <c r="K23" s="6">
        <f t="shared" si="0"/>
        <v>0</v>
      </c>
    </row>
    <row r="24" spans="1:11" hidden="1" x14ac:dyDescent="0.25">
      <c r="A24" s="4">
        <v>2023</v>
      </c>
      <c r="B24" s="11" t="s">
        <v>79</v>
      </c>
      <c r="C24" s="11" t="s">
        <v>80</v>
      </c>
      <c r="D24" s="11" t="s">
        <v>47</v>
      </c>
      <c r="E24" s="12" t="s">
        <v>81</v>
      </c>
      <c r="F24" s="5"/>
      <c r="G24" s="5"/>
      <c r="H24" s="5"/>
      <c r="I24" s="5"/>
      <c r="J24" s="5"/>
      <c r="K24" s="6">
        <f t="shared" si="0"/>
        <v>0</v>
      </c>
    </row>
    <row r="25" spans="1:11" hidden="1" x14ac:dyDescent="0.25">
      <c r="A25" s="4">
        <v>2023</v>
      </c>
      <c r="B25" s="11" t="s">
        <v>82</v>
      </c>
      <c r="C25" s="11" t="s">
        <v>83</v>
      </c>
      <c r="D25" s="11" t="s">
        <v>84</v>
      </c>
      <c r="E25" s="12" t="s">
        <v>85</v>
      </c>
      <c r="F25" s="5"/>
      <c r="G25" s="5"/>
      <c r="H25" s="5"/>
      <c r="I25" s="5"/>
      <c r="J25" s="5"/>
      <c r="K25" s="6">
        <f t="shared" si="0"/>
        <v>0</v>
      </c>
    </row>
    <row r="26" spans="1:11" hidden="1" x14ac:dyDescent="0.25">
      <c r="A26" s="4">
        <v>2023</v>
      </c>
      <c r="B26" s="11" t="s">
        <v>86</v>
      </c>
      <c r="C26" s="11" t="s">
        <v>87</v>
      </c>
      <c r="D26" s="11" t="s">
        <v>84</v>
      </c>
      <c r="E26" s="12" t="s">
        <v>88</v>
      </c>
      <c r="F26" s="5"/>
      <c r="G26" s="5"/>
      <c r="H26" s="5"/>
      <c r="I26" s="5"/>
      <c r="J26" s="5"/>
      <c r="K26" s="6">
        <f t="shared" si="0"/>
        <v>0</v>
      </c>
    </row>
    <row r="27" spans="1:11" hidden="1" x14ac:dyDescent="0.25">
      <c r="A27" s="4">
        <v>2023</v>
      </c>
      <c r="B27" s="11" t="s">
        <v>89</v>
      </c>
      <c r="C27" s="11" t="s">
        <v>90</v>
      </c>
      <c r="D27" s="11" t="s">
        <v>84</v>
      </c>
      <c r="E27" s="12" t="s">
        <v>91</v>
      </c>
      <c r="F27" s="5"/>
      <c r="G27" s="5"/>
      <c r="H27" s="5"/>
      <c r="I27" s="5"/>
      <c r="J27" s="5"/>
      <c r="K27" s="6">
        <f t="shared" si="0"/>
        <v>0</v>
      </c>
    </row>
    <row r="28" spans="1:11" hidden="1" x14ac:dyDescent="0.25">
      <c r="A28" s="4">
        <v>2023</v>
      </c>
      <c r="B28" s="11" t="s">
        <v>92</v>
      </c>
      <c r="C28" s="11" t="s">
        <v>93</v>
      </c>
      <c r="D28" s="11" t="s">
        <v>84</v>
      </c>
      <c r="E28" s="12" t="s">
        <v>94</v>
      </c>
      <c r="F28" s="5"/>
      <c r="G28" s="5"/>
      <c r="H28" s="5"/>
      <c r="I28" s="5"/>
      <c r="J28" s="5"/>
      <c r="K28" s="6">
        <f t="shared" si="0"/>
        <v>0</v>
      </c>
    </row>
    <row r="29" spans="1:11" hidden="1" x14ac:dyDescent="0.25">
      <c r="A29" s="4">
        <v>2023</v>
      </c>
      <c r="B29" s="11" t="s">
        <v>95</v>
      </c>
      <c r="C29" s="11" t="s">
        <v>96</v>
      </c>
      <c r="D29" s="11" t="s">
        <v>84</v>
      </c>
      <c r="E29" s="12" t="s">
        <v>97</v>
      </c>
      <c r="F29" s="5"/>
      <c r="G29" s="5"/>
      <c r="H29" s="5"/>
      <c r="I29" s="5"/>
      <c r="J29" s="5"/>
      <c r="K29" s="6">
        <f t="shared" si="0"/>
        <v>0</v>
      </c>
    </row>
    <row r="30" spans="1:11" hidden="1" x14ac:dyDescent="0.25">
      <c r="A30" s="4">
        <v>2023</v>
      </c>
      <c r="B30" s="11" t="s">
        <v>98</v>
      </c>
      <c r="C30" s="11" t="s">
        <v>99</v>
      </c>
      <c r="D30" s="11" t="s">
        <v>84</v>
      </c>
      <c r="E30" s="12" t="s">
        <v>100</v>
      </c>
      <c r="F30" s="5"/>
      <c r="G30" s="5"/>
      <c r="H30" s="5"/>
      <c r="I30" s="5"/>
      <c r="J30" s="5"/>
      <c r="K30" s="6">
        <f t="shared" si="0"/>
        <v>0</v>
      </c>
    </row>
    <row r="31" spans="1:11" hidden="1" x14ac:dyDescent="0.25">
      <c r="A31" s="4">
        <v>2023</v>
      </c>
      <c r="B31" s="11" t="s">
        <v>101</v>
      </c>
      <c r="C31" s="11" t="s">
        <v>102</v>
      </c>
      <c r="D31" s="11" t="s">
        <v>84</v>
      </c>
      <c r="E31" s="12" t="s">
        <v>103</v>
      </c>
      <c r="F31" s="5"/>
      <c r="G31" s="5"/>
      <c r="H31" s="5"/>
      <c r="I31" s="5"/>
      <c r="J31" s="5"/>
      <c r="K31" s="6">
        <f t="shared" si="0"/>
        <v>0</v>
      </c>
    </row>
    <row r="32" spans="1:11" hidden="1" x14ac:dyDescent="0.25">
      <c r="A32" s="4">
        <v>2023</v>
      </c>
      <c r="B32" s="11" t="s">
        <v>104</v>
      </c>
      <c r="C32" s="11" t="s">
        <v>105</v>
      </c>
      <c r="D32" s="11" t="s">
        <v>84</v>
      </c>
      <c r="E32" s="12" t="s">
        <v>106</v>
      </c>
      <c r="F32" s="5"/>
      <c r="G32" s="5"/>
      <c r="H32" s="5"/>
      <c r="I32" s="5"/>
      <c r="J32" s="5"/>
      <c r="K32" s="6">
        <f t="shared" si="0"/>
        <v>0</v>
      </c>
    </row>
    <row r="33" spans="1:11" hidden="1" x14ac:dyDescent="0.25">
      <c r="A33" s="4">
        <v>2023</v>
      </c>
      <c r="B33" s="11" t="s">
        <v>107</v>
      </c>
      <c r="C33" s="11" t="s">
        <v>108</v>
      </c>
      <c r="D33" s="11" t="s">
        <v>84</v>
      </c>
      <c r="E33" s="12" t="s">
        <v>109</v>
      </c>
      <c r="F33" s="5"/>
      <c r="G33" s="5"/>
      <c r="H33" s="5"/>
      <c r="I33" s="5"/>
      <c r="J33" s="5"/>
      <c r="K33" s="6">
        <f t="shared" si="0"/>
        <v>0</v>
      </c>
    </row>
    <row r="34" spans="1:11" hidden="1" x14ac:dyDescent="0.25">
      <c r="A34" s="4">
        <v>2023</v>
      </c>
      <c r="B34" s="11" t="s">
        <v>110</v>
      </c>
      <c r="C34" s="11" t="s">
        <v>111</v>
      </c>
      <c r="D34" s="11" t="s">
        <v>84</v>
      </c>
      <c r="E34" s="12" t="s">
        <v>112</v>
      </c>
      <c r="F34" s="5"/>
      <c r="G34" s="5"/>
      <c r="H34" s="5"/>
      <c r="I34" s="5"/>
      <c r="J34" s="5"/>
      <c r="K34" s="6">
        <f t="shared" si="0"/>
        <v>0</v>
      </c>
    </row>
    <row r="35" spans="1:11" hidden="1" x14ac:dyDescent="0.25">
      <c r="A35" s="4">
        <v>2023</v>
      </c>
      <c r="B35" s="11" t="s">
        <v>113</v>
      </c>
      <c r="C35" s="11" t="s">
        <v>114</v>
      </c>
      <c r="D35" s="11" t="s">
        <v>115</v>
      </c>
      <c r="E35" s="12" t="s">
        <v>116</v>
      </c>
      <c r="F35" s="5"/>
      <c r="G35" s="5"/>
      <c r="H35" s="5"/>
      <c r="I35" s="5"/>
      <c r="J35" s="5"/>
      <c r="K35" s="6">
        <f t="shared" si="0"/>
        <v>0</v>
      </c>
    </row>
    <row r="36" spans="1:11" hidden="1" x14ac:dyDescent="0.25">
      <c r="A36" s="4">
        <v>2023</v>
      </c>
      <c r="B36" s="11" t="s">
        <v>117</v>
      </c>
      <c r="C36" s="11" t="s">
        <v>118</v>
      </c>
      <c r="D36" s="11" t="s">
        <v>115</v>
      </c>
      <c r="E36" s="12" t="s">
        <v>119</v>
      </c>
      <c r="F36" s="5"/>
      <c r="G36" s="5"/>
      <c r="H36" s="5"/>
      <c r="I36" s="5"/>
      <c r="J36" s="5"/>
      <c r="K36" s="6">
        <f t="shared" si="0"/>
        <v>0</v>
      </c>
    </row>
    <row r="37" spans="1:11" hidden="1" x14ac:dyDescent="0.25">
      <c r="A37" s="4">
        <v>2023</v>
      </c>
      <c r="B37" s="11" t="s">
        <v>120</v>
      </c>
      <c r="C37" s="11" t="s">
        <v>121</v>
      </c>
      <c r="D37" s="11" t="s">
        <v>115</v>
      </c>
      <c r="E37" s="12" t="s">
        <v>122</v>
      </c>
      <c r="F37" s="5"/>
      <c r="G37" s="5"/>
      <c r="H37" s="5"/>
      <c r="I37" s="5"/>
      <c r="J37" s="5"/>
      <c r="K37" s="6">
        <f t="shared" si="0"/>
        <v>0</v>
      </c>
    </row>
    <row r="38" spans="1:11" hidden="1" x14ac:dyDescent="0.25">
      <c r="A38" s="4">
        <v>2023</v>
      </c>
      <c r="B38" s="11" t="s">
        <v>123</v>
      </c>
      <c r="C38" s="11" t="s">
        <v>124</v>
      </c>
      <c r="D38" s="11" t="s">
        <v>115</v>
      </c>
      <c r="E38" s="12" t="s">
        <v>125</v>
      </c>
      <c r="F38" s="5"/>
      <c r="G38" s="5"/>
      <c r="H38" s="5"/>
      <c r="I38" s="5"/>
      <c r="J38" s="5"/>
      <c r="K38" s="6">
        <f t="shared" si="0"/>
        <v>0</v>
      </c>
    </row>
    <row r="39" spans="1:11" hidden="1" x14ac:dyDescent="0.25">
      <c r="A39" s="4">
        <v>2023</v>
      </c>
      <c r="B39" s="11" t="s">
        <v>126</v>
      </c>
      <c r="C39" s="11" t="s">
        <v>127</v>
      </c>
      <c r="D39" s="11" t="s">
        <v>115</v>
      </c>
      <c r="E39" s="12" t="s">
        <v>128</v>
      </c>
      <c r="F39" s="5"/>
      <c r="G39" s="5"/>
      <c r="H39" s="5"/>
      <c r="I39" s="5"/>
      <c r="J39" s="5"/>
      <c r="K39" s="6">
        <f t="shared" si="0"/>
        <v>0</v>
      </c>
    </row>
    <row r="40" spans="1:11" hidden="1" x14ac:dyDescent="0.25">
      <c r="A40" s="4">
        <v>2023</v>
      </c>
      <c r="B40" s="11" t="s">
        <v>129</v>
      </c>
      <c r="C40" s="11" t="s">
        <v>130</v>
      </c>
      <c r="D40" s="11" t="s">
        <v>115</v>
      </c>
      <c r="E40" s="12" t="s">
        <v>131</v>
      </c>
      <c r="F40" s="5"/>
      <c r="G40" s="5"/>
      <c r="H40" s="5"/>
      <c r="I40" s="5"/>
      <c r="J40" s="5"/>
      <c r="K40" s="6">
        <f t="shared" si="0"/>
        <v>0</v>
      </c>
    </row>
    <row r="41" spans="1:11" hidden="1" x14ac:dyDescent="0.25">
      <c r="A41" s="4">
        <v>2023</v>
      </c>
      <c r="B41" s="11" t="s">
        <v>132</v>
      </c>
      <c r="C41" s="11" t="s">
        <v>133</v>
      </c>
      <c r="D41" s="11" t="s">
        <v>115</v>
      </c>
      <c r="E41" s="12" t="s">
        <v>134</v>
      </c>
      <c r="F41" s="5"/>
      <c r="G41" s="5"/>
      <c r="H41" s="5"/>
      <c r="I41" s="5"/>
      <c r="J41" s="5"/>
      <c r="K41" s="6">
        <f t="shared" si="0"/>
        <v>0</v>
      </c>
    </row>
    <row r="42" spans="1:11" hidden="1" x14ac:dyDescent="0.25">
      <c r="A42" s="4">
        <v>2023</v>
      </c>
      <c r="B42" s="11" t="s">
        <v>135</v>
      </c>
      <c r="C42" s="11" t="s">
        <v>136</v>
      </c>
      <c r="D42" s="11" t="s">
        <v>137</v>
      </c>
      <c r="E42" s="12" t="s">
        <v>138</v>
      </c>
      <c r="F42" s="5"/>
      <c r="G42" s="5"/>
      <c r="H42" s="5"/>
      <c r="I42" s="5"/>
      <c r="J42" s="5"/>
      <c r="K42" s="6">
        <f t="shared" si="0"/>
        <v>0</v>
      </c>
    </row>
    <row r="43" spans="1:11" hidden="1" x14ac:dyDescent="0.25">
      <c r="A43" s="4">
        <v>2023</v>
      </c>
      <c r="B43" s="11" t="s">
        <v>139</v>
      </c>
      <c r="C43" s="11" t="s">
        <v>140</v>
      </c>
      <c r="D43" s="11" t="s">
        <v>137</v>
      </c>
      <c r="E43" s="12" t="s">
        <v>141</v>
      </c>
      <c r="F43" s="5"/>
      <c r="G43" s="5"/>
      <c r="H43" s="5"/>
      <c r="I43" s="5"/>
      <c r="J43" s="5"/>
      <c r="K43" s="6">
        <f t="shared" si="0"/>
        <v>0</v>
      </c>
    </row>
    <row r="44" spans="1:11" hidden="1" x14ac:dyDescent="0.25">
      <c r="A44" s="4">
        <v>2023</v>
      </c>
      <c r="B44" s="11" t="s">
        <v>142</v>
      </c>
      <c r="C44" s="11" t="s">
        <v>143</v>
      </c>
      <c r="D44" s="11" t="s">
        <v>137</v>
      </c>
      <c r="E44" s="12" t="s">
        <v>144</v>
      </c>
      <c r="F44" s="5"/>
      <c r="G44" s="5"/>
      <c r="H44" s="5"/>
      <c r="I44" s="5"/>
      <c r="J44" s="5"/>
      <c r="K44" s="6">
        <f t="shared" si="0"/>
        <v>0</v>
      </c>
    </row>
    <row r="45" spans="1:11" hidden="1" x14ac:dyDescent="0.25">
      <c r="A45" s="4">
        <v>2023</v>
      </c>
      <c r="B45" s="11" t="s">
        <v>145</v>
      </c>
      <c r="C45" s="11" t="s">
        <v>146</v>
      </c>
      <c r="D45" s="11" t="s">
        <v>137</v>
      </c>
      <c r="E45" s="12" t="s">
        <v>147</v>
      </c>
      <c r="F45" s="5"/>
      <c r="G45" s="5"/>
      <c r="H45" s="5"/>
      <c r="I45" s="5"/>
      <c r="J45" s="5"/>
      <c r="K45" s="6">
        <f t="shared" si="0"/>
        <v>0</v>
      </c>
    </row>
    <row r="46" spans="1:11" hidden="1" x14ac:dyDescent="0.25">
      <c r="A46" s="4">
        <v>2023</v>
      </c>
      <c r="B46" s="11" t="s">
        <v>148</v>
      </c>
      <c r="C46" s="11" t="s">
        <v>149</v>
      </c>
      <c r="D46" s="11" t="s">
        <v>137</v>
      </c>
      <c r="E46" s="12" t="s">
        <v>150</v>
      </c>
      <c r="F46" s="5"/>
      <c r="G46" s="5"/>
      <c r="H46" s="5"/>
      <c r="I46" s="5"/>
      <c r="J46" s="5"/>
      <c r="K46" s="6">
        <f t="shared" si="0"/>
        <v>0</v>
      </c>
    </row>
    <row r="47" spans="1:11" hidden="1" x14ac:dyDescent="0.25">
      <c r="A47" s="4">
        <v>2023</v>
      </c>
      <c r="B47" s="11" t="s">
        <v>151</v>
      </c>
      <c r="C47" s="11" t="s">
        <v>152</v>
      </c>
      <c r="D47" s="11" t="s">
        <v>137</v>
      </c>
      <c r="E47" s="12" t="s">
        <v>153</v>
      </c>
      <c r="F47" s="5"/>
      <c r="G47" s="5"/>
      <c r="H47" s="5"/>
      <c r="I47" s="5"/>
      <c r="J47" s="5"/>
      <c r="K47" s="6">
        <f t="shared" si="0"/>
        <v>0</v>
      </c>
    </row>
    <row r="48" spans="1:11" hidden="1" x14ac:dyDescent="0.25">
      <c r="A48" s="4">
        <v>2023</v>
      </c>
      <c r="B48" s="11" t="s">
        <v>154</v>
      </c>
      <c r="C48" s="11" t="s">
        <v>155</v>
      </c>
      <c r="D48" s="11" t="s">
        <v>137</v>
      </c>
      <c r="E48" s="12" t="s">
        <v>156</v>
      </c>
      <c r="F48" s="5"/>
      <c r="G48" s="5"/>
      <c r="H48" s="5"/>
      <c r="I48" s="5"/>
      <c r="J48" s="5"/>
      <c r="K48" s="6">
        <f t="shared" si="0"/>
        <v>0</v>
      </c>
    </row>
    <row r="49" spans="1:11" hidden="1" x14ac:dyDescent="0.25">
      <c r="A49" s="4">
        <v>2023</v>
      </c>
      <c r="B49" s="11" t="s">
        <v>157</v>
      </c>
      <c r="C49" s="11" t="s">
        <v>158</v>
      </c>
      <c r="D49" s="11" t="s">
        <v>137</v>
      </c>
      <c r="E49" s="12" t="s">
        <v>159</v>
      </c>
      <c r="F49" s="5"/>
      <c r="G49" s="5"/>
      <c r="H49" s="5"/>
      <c r="I49" s="5"/>
      <c r="J49" s="5"/>
      <c r="K49" s="6">
        <f t="shared" si="0"/>
        <v>0</v>
      </c>
    </row>
    <row r="50" spans="1:11" hidden="1" x14ac:dyDescent="0.25">
      <c r="A50" s="4">
        <v>2023</v>
      </c>
      <c r="B50" s="11" t="s">
        <v>160</v>
      </c>
      <c r="C50" s="11" t="s">
        <v>161</v>
      </c>
      <c r="D50" s="11" t="s">
        <v>137</v>
      </c>
      <c r="E50" s="12" t="s">
        <v>162</v>
      </c>
      <c r="F50" s="5"/>
      <c r="G50" s="5"/>
      <c r="H50" s="5"/>
      <c r="I50" s="5"/>
      <c r="J50" s="5"/>
      <c r="K50" s="6">
        <f t="shared" si="0"/>
        <v>0</v>
      </c>
    </row>
    <row r="51" spans="1:11" hidden="1" x14ac:dyDescent="0.25">
      <c r="A51" s="4">
        <v>2023</v>
      </c>
      <c r="B51" s="11" t="s">
        <v>163</v>
      </c>
      <c r="C51" s="11" t="s">
        <v>164</v>
      </c>
      <c r="D51" s="11" t="s">
        <v>165</v>
      </c>
      <c r="E51" s="12" t="s">
        <v>166</v>
      </c>
      <c r="F51" s="5"/>
      <c r="G51" s="5"/>
      <c r="H51" s="5"/>
      <c r="I51" s="5"/>
      <c r="J51" s="5"/>
      <c r="K51" s="6">
        <f t="shared" si="0"/>
        <v>0</v>
      </c>
    </row>
    <row r="52" spans="1:11" hidden="1" x14ac:dyDescent="0.25">
      <c r="A52" s="4">
        <v>2023</v>
      </c>
      <c r="B52" s="11" t="s">
        <v>167</v>
      </c>
      <c r="C52" s="11" t="s">
        <v>168</v>
      </c>
      <c r="D52" s="11" t="s">
        <v>165</v>
      </c>
      <c r="E52" s="12" t="s">
        <v>169</v>
      </c>
      <c r="F52" s="5"/>
      <c r="G52" s="5"/>
      <c r="H52" s="5"/>
      <c r="I52" s="5"/>
      <c r="J52" s="5"/>
      <c r="K52" s="6">
        <f t="shared" si="0"/>
        <v>0</v>
      </c>
    </row>
    <row r="53" spans="1:11" hidden="1" x14ac:dyDescent="0.25">
      <c r="A53" s="4">
        <v>2023</v>
      </c>
      <c r="B53" s="11" t="s">
        <v>170</v>
      </c>
      <c r="C53" s="11" t="s">
        <v>171</v>
      </c>
      <c r="D53" s="11" t="s">
        <v>165</v>
      </c>
      <c r="E53" s="12" t="s">
        <v>172</v>
      </c>
      <c r="F53" s="5"/>
      <c r="G53" s="5"/>
      <c r="H53" s="5"/>
      <c r="I53" s="5"/>
      <c r="J53" s="5"/>
      <c r="K53" s="6">
        <f t="shared" si="0"/>
        <v>0</v>
      </c>
    </row>
    <row r="54" spans="1:11" hidden="1" x14ac:dyDescent="0.25">
      <c r="A54" s="4">
        <v>2023</v>
      </c>
      <c r="B54" s="11" t="s">
        <v>173</v>
      </c>
      <c r="C54" s="11" t="s">
        <v>174</v>
      </c>
      <c r="D54" s="11" t="s">
        <v>165</v>
      </c>
      <c r="E54" s="12" t="s">
        <v>175</v>
      </c>
      <c r="F54" s="5"/>
      <c r="G54" s="5"/>
      <c r="H54" s="5"/>
      <c r="I54" s="5"/>
      <c r="J54" s="5"/>
      <c r="K54" s="6">
        <f t="shared" si="0"/>
        <v>0</v>
      </c>
    </row>
    <row r="55" spans="1:11" hidden="1" x14ac:dyDescent="0.25">
      <c r="A55" s="4">
        <v>2023</v>
      </c>
      <c r="B55" s="11" t="s">
        <v>176</v>
      </c>
      <c r="C55" s="11" t="s">
        <v>177</v>
      </c>
      <c r="D55" s="11" t="s">
        <v>165</v>
      </c>
      <c r="E55" s="12" t="s">
        <v>178</v>
      </c>
      <c r="F55" s="5"/>
      <c r="G55" s="5"/>
      <c r="H55" s="5"/>
      <c r="I55" s="5"/>
      <c r="J55" s="5"/>
      <c r="K55" s="6">
        <f t="shared" si="0"/>
        <v>0</v>
      </c>
    </row>
    <row r="56" spans="1:11" hidden="1" x14ac:dyDescent="0.25">
      <c r="A56" s="4">
        <v>2023</v>
      </c>
      <c r="B56" s="11" t="s">
        <v>179</v>
      </c>
      <c r="C56" s="11" t="s">
        <v>180</v>
      </c>
      <c r="D56" s="11" t="s">
        <v>165</v>
      </c>
      <c r="E56" s="12" t="s">
        <v>181</v>
      </c>
      <c r="F56" s="5"/>
      <c r="G56" s="5"/>
      <c r="H56" s="5"/>
      <c r="I56" s="5"/>
      <c r="J56" s="5"/>
      <c r="K56" s="6">
        <f t="shared" si="0"/>
        <v>0</v>
      </c>
    </row>
    <row r="57" spans="1:11" hidden="1" x14ac:dyDescent="0.25">
      <c r="A57" s="4">
        <v>2023</v>
      </c>
      <c r="B57" s="11" t="s">
        <v>182</v>
      </c>
      <c r="C57" s="11" t="s">
        <v>183</v>
      </c>
      <c r="D57" s="11" t="s">
        <v>184</v>
      </c>
      <c r="E57" s="12" t="s">
        <v>185</v>
      </c>
      <c r="F57" s="5"/>
      <c r="G57" s="5"/>
      <c r="H57" s="5"/>
      <c r="I57" s="5"/>
      <c r="J57" s="5"/>
      <c r="K57" s="6">
        <f t="shared" si="0"/>
        <v>0</v>
      </c>
    </row>
    <row r="58" spans="1:11" hidden="1" x14ac:dyDescent="0.25">
      <c r="A58" s="4">
        <v>2023</v>
      </c>
      <c r="B58" s="11" t="s">
        <v>186</v>
      </c>
      <c r="C58" s="11" t="s">
        <v>187</v>
      </c>
      <c r="D58" s="11" t="s">
        <v>184</v>
      </c>
      <c r="E58" s="12" t="s">
        <v>188</v>
      </c>
      <c r="F58" s="5"/>
      <c r="G58" s="5"/>
      <c r="H58" s="5"/>
      <c r="I58" s="5"/>
      <c r="J58" s="5"/>
      <c r="K58" s="6">
        <f t="shared" si="0"/>
        <v>0</v>
      </c>
    </row>
    <row r="59" spans="1:11" hidden="1" x14ac:dyDescent="0.25">
      <c r="A59" s="4">
        <v>2023</v>
      </c>
      <c r="B59" s="11" t="s">
        <v>189</v>
      </c>
      <c r="C59" s="11" t="s">
        <v>190</v>
      </c>
      <c r="D59" s="11" t="s">
        <v>184</v>
      </c>
      <c r="E59" s="12" t="s">
        <v>191</v>
      </c>
      <c r="F59" s="5"/>
      <c r="G59" s="5"/>
      <c r="H59" s="5"/>
      <c r="I59" s="5"/>
      <c r="J59" s="5"/>
      <c r="K59" s="6">
        <f t="shared" si="0"/>
        <v>0</v>
      </c>
    </row>
    <row r="60" spans="1:11" hidden="1" x14ac:dyDescent="0.25">
      <c r="A60" s="4">
        <v>2023</v>
      </c>
      <c r="B60" s="11" t="s">
        <v>192</v>
      </c>
      <c r="C60" s="11" t="s">
        <v>193</v>
      </c>
      <c r="D60" s="11" t="s">
        <v>184</v>
      </c>
      <c r="E60" s="12" t="s">
        <v>194</v>
      </c>
      <c r="F60" s="5"/>
      <c r="G60" s="5"/>
      <c r="H60" s="5"/>
      <c r="I60" s="5"/>
      <c r="J60" s="5"/>
      <c r="K60" s="6">
        <f t="shared" si="0"/>
        <v>0</v>
      </c>
    </row>
    <row r="61" spans="1:11" hidden="1" x14ac:dyDescent="0.25">
      <c r="A61" s="4">
        <v>2023</v>
      </c>
      <c r="B61" s="11" t="s">
        <v>195</v>
      </c>
      <c r="C61" s="11" t="s">
        <v>196</v>
      </c>
      <c r="D61" s="11" t="s">
        <v>184</v>
      </c>
      <c r="E61" s="12" t="s">
        <v>197</v>
      </c>
      <c r="F61" s="5"/>
      <c r="G61" s="5"/>
      <c r="H61" s="5"/>
      <c r="I61" s="5"/>
      <c r="J61" s="5"/>
      <c r="K61" s="6">
        <f t="shared" si="0"/>
        <v>0</v>
      </c>
    </row>
    <row r="62" spans="1:11" hidden="1" x14ac:dyDescent="0.25">
      <c r="A62" s="4">
        <v>2023</v>
      </c>
      <c r="B62" s="11" t="s">
        <v>198</v>
      </c>
      <c r="C62" s="11" t="s">
        <v>199</v>
      </c>
      <c r="D62" s="11" t="s">
        <v>184</v>
      </c>
      <c r="E62" s="12" t="s">
        <v>200</v>
      </c>
      <c r="F62" s="5"/>
      <c r="G62" s="5"/>
      <c r="H62" s="5"/>
      <c r="I62" s="5"/>
      <c r="J62" s="5"/>
      <c r="K62" s="6">
        <f t="shared" si="0"/>
        <v>0</v>
      </c>
    </row>
    <row r="63" spans="1:11" hidden="1" x14ac:dyDescent="0.25">
      <c r="A63" s="4">
        <v>2023</v>
      </c>
      <c r="B63" s="11" t="s">
        <v>201</v>
      </c>
      <c r="C63" s="11" t="s">
        <v>202</v>
      </c>
      <c r="D63" s="11" t="s">
        <v>184</v>
      </c>
      <c r="E63" s="12" t="s">
        <v>203</v>
      </c>
      <c r="F63" s="5"/>
      <c r="G63" s="5"/>
      <c r="H63" s="5"/>
      <c r="I63" s="5"/>
      <c r="J63" s="5"/>
      <c r="K63" s="6">
        <f t="shared" si="0"/>
        <v>0</v>
      </c>
    </row>
    <row r="64" spans="1:11" hidden="1" x14ac:dyDescent="0.25">
      <c r="A64" s="4">
        <v>2023</v>
      </c>
      <c r="B64" s="11" t="s">
        <v>204</v>
      </c>
      <c r="C64" s="11" t="s">
        <v>205</v>
      </c>
      <c r="D64" s="11" t="s">
        <v>184</v>
      </c>
      <c r="E64" s="12" t="s">
        <v>206</v>
      </c>
      <c r="F64" s="5"/>
      <c r="G64" s="5"/>
      <c r="H64" s="5"/>
      <c r="I64" s="5"/>
      <c r="J64" s="5"/>
      <c r="K64" s="6">
        <f t="shared" si="0"/>
        <v>0</v>
      </c>
    </row>
    <row r="65" spans="1:11" hidden="1" x14ac:dyDescent="0.25">
      <c r="A65" s="4">
        <v>2023</v>
      </c>
      <c r="B65" s="11" t="s">
        <v>207</v>
      </c>
      <c r="C65" s="11" t="s">
        <v>208</v>
      </c>
      <c r="D65" s="11" t="s">
        <v>184</v>
      </c>
      <c r="E65" s="12" t="s">
        <v>209</v>
      </c>
      <c r="F65" s="5"/>
      <c r="G65" s="5"/>
      <c r="H65" s="5"/>
      <c r="I65" s="5"/>
      <c r="J65" s="5"/>
      <c r="K65" s="6">
        <f t="shared" si="0"/>
        <v>0</v>
      </c>
    </row>
    <row r="66" spans="1:11" x14ac:dyDescent="0.25">
      <c r="A66" s="7">
        <v>2022</v>
      </c>
      <c r="B66" s="8" t="s">
        <v>210</v>
      </c>
      <c r="C66" s="8" t="s">
        <v>211</v>
      </c>
      <c r="D66" s="8" t="s">
        <v>212</v>
      </c>
      <c r="E66" s="9" t="s">
        <v>213</v>
      </c>
      <c r="F66" s="10">
        <v>9548.9</v>
      </c>
      <c r="G66" s="10">
        <v>462.25</v>
      </c>
      <c r="H66" s="10">
        <v>1440</v>
      </c>
      <c r="I66" s="10">
        <v>80</v>
      </c>
      <c r="J66" s="10">
        <v>350</v>
      </c>
      <c r="K66" s="6">
        <f>SUM(F66:J66)</f>
        <v>11881.15</v>
      </c>
    </row>
    <row r="67" spans="1:11" x14ac:dyDescent="0.25">
      <c r="A67" s="7">
        <v>2022</v>
      </c>
      <c r="B67" s="8" t="s">
        <v>214</v>
      </c>
      <c r="C67" s="8" t="s">
        <v>215</v>
      </c>
      <c r="D67" s="8" t="s">
        <v>216</v>
      </c>
      <c r="E67" s="9" t="s">
        <v>217</v>
      </c>
      <c r="F67" s="10">
        <v>10226.299999999999</v>
      </c>
      <c r="G67" s="10">
        <v>468.8</v>
      </c>
      <c r="H67" s="10">
        <v>1440</v>
      </c>
      <c r="I67" s="10">
        <v>80</v>
      </c>
      <c r="J67" s="10">
        <v>350</v>
      </c>
      <c r="K67" s="6">
        <f t="shared" ref="K67:K90" si="1">SUM(F67:J67)</f>
        <v>12565.099999999999</v>
      </c>
    </row>
    <row r="68" spans="1:11" x14ac:dyDescent="0.25">
      <c r="A68" s="7">
        <v>2022</v>
      </c>
      <c r="B68" s="8" t="s">
        <v>218</v>
      </c>
      <c r="C68" s="8" t="s">
        <v>215</v>
      </c>
      <c r="D68" s="8" t="s">
        <v>216</v>
      </c>
      <c r="E68" s="9" t="s">
        <v>217</v>
      </c>
      <c r="F68" s="10">
        <v>10226.299999999999</v>
      </c>
      <c r="G68" s="10">
        <v>468.8</v>
      </c>
      <c r="H68" s="10">
        <v>1440</v>
      </c>
      <c r="I68" s="10">
        <v>80</v>
      </c>
      <c r="J68" s="10">
        <v>350</v>
      </c>
      <c r="K68" s="6">
        <f t="shared" si="1"/>
        <v>12565.099999999999</v>
      </c>
    </row>
    <row r="69" spans="1:11" x14ac:dyDescent="0.25">
      <c r="A69" s="7">
        <v>2022</v>
      </c>
      <c r="B69" s="8" t="s">
        <v>219</v>
      </c>
      <c r="C69" s="8" t="s">
        <v>220</v>
      </c>
      <c r="D69" s="8" t="s">
        <v>221</v>
      </c>
      <c r="E69" s="9" t="s">
        <v>280</v>
      </c>
      <c r="F69" s="10">
        <v>11579.6</v>
      </c>
      <c r="G69" s="10">
        <v>511.9</v>
      </c>
      <c r="H69" s="10">
        <v>1440</v>
      </c>
      <c r="I69" s="10">
        <v>80</v>
      </c>
      <c r="J69" s="10">
        <v>350</v>
      </c>
      <c r="K69" s="6">
        <f t="shared" si="1"/>
        <v>13961.5</v>
      </c>
    </row>
    <row r="70" spans="1:11" x14ac:dyDescent="0.25">
      <c r="A70" s="7">
        <v>2022</v>
      </c>
      <c r="B70" s="8" t="s">
        <v>222</v>
      </c>
      <c r="C70" s="8" t="s">
        <v>220</v>
      </c>
      <c r="D70" s="8" t="s">
        <v>221</v>
      </c>
      <c r="E70" s="9" t="s">
        <v>280</v>
      </c>
      <c r="F70" s="10">
        <v>11579.6</v>
      </c>
      <c r="G70" s="10">
        <v>511.9</v>
      </c>
      <c r="H70" s="10">
        <v>1440</v>
      </c>
      <c r="I70" s="10">
        <v>80</v>
      </c>
      <c r="J70" s="10">
        <v>350</v>
      </c>
      <c r="K70" s="6">
        <f t="shared" si="1"/>
        <v>13961.5</v>
      </c>
    </row>
    <row r="71" spans="1:11" x14ac:dyDescent="0.25">
      <c r="A71" s="7">
        <v>2022</v>
      </c>
      <c r="B71" s="8" t="s">
        <v>223</v>
      </c>
      <c r="C71" s="8" t="s">
        <v>224</v>
      </c>
      <c r="D71" s="8" t="s">
        <v>225</v>
      </c>
      <c r="E71" s="9" t="s">
        <v>226</v>
      </c>
      <c r="F71" s="10">
        <v>13600.4</v>
      </c>
      <c r="G71" s="10">
        <v>471.4</v>
      </c>
      <c r="H71" s="10">
        <v>1440</v>
      </c>
      <c r="I71" s="10">
        <v>80</v>
      </c>
      <c r="J71" s="10">
        <v>350</v>
      </c>
      <c r="K71" s="6">
        <f t="shared" si="1"/>
        <v>15941.8</v>
      </c>
    </row>
    <row r="72" spans="1:11" x14ac:dyDescent="0.25">
      <c r="A72" s="7">
        <v>2022</v>
      </c>
      <c r="B72" s="8" t="s">
        <v>227</v>
      </c>
      <c r="C72" s="8" t="s">
        <v>224</v>
      </c>
      <c r="D72" s="8" t="s">
        <v>225</v>
      </c>
      <c r="E72" s="9" t="s">
        <v>226</v>
      </c>
      <c r="F72" s="10">
        <v>13600.4</v>
      </c>
      <c r="G72" s="10">
        <v>471.4</v>
      </c>
      <c r="H72" s="10">
        <v>1440</v>
      </c>
      <c r="I72" s="10">
        <v>80</v>
      </c>
      <c r="J72" s="10">
        <v>350</v>
      </c>
      <c r="K72" s="6">
        <f t="shared" si="1"/>
        <v>15941.8</v>
      </c>
    </row>
    <row r="73" spans="1:11" x14ac:dyDescent="0.25">
      <c r="A73" s="7">
        <v>2022</v>
      </c>
      <c r="B73" s="8" t="s">
        <v>228</v>
      </c>
      <c r="C73" s="8" t="s">
        <v>224</v>
      </c>
      <c r="D73" s="8" t="s">
        <v>225</v>
      </c>
      <c r="E73" s="9" t="s">
        <v>226</v>
      </c>
      <c r="F73" s="10">
        <v>13600.4</v>
      </c>
      <c r="G73" s="10">
        <v>471.4</v>
      </c>
      <c r="H73" s="10">
        <v>1440</v>
      </c>
      <c r="I73" s="10">
        <v>80</v>
      </c>
      <c r="J73" s="10">
        <v>350</v>
      </c>
      <c r="K73" s="6">
        <f t="shared" si="1"/>
        <v>15941.8</v>
      </c>
    </row>
    <row r="74" spans="1:11" x14ac:dyDescent="0.25">
      <c r="A74" s="7">
        <v>2022</v>
      </c>
      <c r="B74" s="8" t="s">
        <v>229</v>
      </c>
      <c r="C74" s="8" t="s">
        <v>230</v>
      </c>
      <c r="D74" s="8" t="s">
        <v>231</v>
      </c>
      <c r="E74" s="9" t="s">
        <v>281</v>
      </c>
      <c r="F74" s="10">
        <v>12955.6</v>
      </c>
      <c r="G74" s="10">
        <v>465.2</v>
      </c>
      <c r="H74" s="10">
        <v>1440</v>
      </c>
      <c r="I74" s="10">
        <v>80</v>
      </c>
      <c r="J74" s="10">
        <v>350</v>
      </c>
      <c r="K74" s="6">
        <f t="shared" si="1"/>
        <v>15290.800000000001</v>
      </c>
    </row>
    <row r="75" spans="1:11" x14ac:dyDescent="0.25">
      <c r="A75" s="7">
        <v>2022</v>
      </c>
      <c r="B75" s="8" t="s">
        <v>232</v>
      </c>
      <c r="C75" s="8" t="s">
        <v>224</v>
      </c>
      <c r="D75" s="8" t="s">
        <v>225</v>
      </c>
      <c r="E75" s="9" t="s">
        <v>226</v>
      </c>
      <c r="F75" s="10">
        <v>13600.4</v>
      </c>
      <c r="G75" s="10">
        <v>471.4</v>
      </c>
      <c r="H75" s="10">
        <v>1440</v>
      </c>
      <c r="I75" s="10">
        <v>80</v>
      </c>
      <c r="J75" s="10">
        <v>350</v>
      </c>
      <c r="K75" s="6">
        <f t="shared" si="1"/>
        <v>15941.8</v>
      </c>
    </row>
    <row r="76" spans="1:11" x14ac:dyDescent="0.25">
      <c r="A76" s="7">
        <v>2022</v>
      </c>
      <c r="B76" s="8" t="s">
        <v>233</v>
      </c>
      <c r="C76" s="8" t="s">
        <v>234</v>
      </c>
      <c r="D76" s="8" t="s">
        <v>235</v>
      </c>
      <c r="E76" s="9" t="s">
        <v>282</v>
      </c>
      <c r="F76" s="10">
        <v>14817.05</v>
      </c>
      <c r="G76" s="10">
        <v>513.15</v>
      </c>
      <c r="H76" s="10">
        <v>1440</v>
      </c>
      <c r="I76" s="10">
        <v>80</v>
      </c>
      <c r="J76" s="10">
        <v>350</v>
      </c>
      <c r="K76" s="6">
        <f t="shared" si="1"/>
        <v>17200.199999999997</v>
      </c>
    </row>
    <row r="77" spans="1:11" x14ac:dyDescent="0.25">
      <c r="A77" s="7">
        <v>2022</v>
      </c>
      <c r="B77" s="8" t="s">
        <v>236</v>
      </c>
      <c r="C77" s="8" t="s">
        <v>234</v>
      </c>
      <c r="D77" s="8" t="s">
        <v>235</v>
      </c>
      <c r="E77" s="9" t="s">
        <v>282</v>
      </c>
      <c r="F77" s="10">
        <v>14817.05</v>
      </c>
      <c r="G77" s="10">
        <v>513.15</v>
      </c>
      <c r="H77" s="10">
        <v>1440</v>
      </c>
      <c r="I77" s="10">
        <v>80</v>
      </c>
      <c r="J77" s="10">
        <v>350</v>
      </c>
      <c r="K77" s="6">
        <f t="shared" si="1"/>
        <v>17200.199999999997</v>
      </c>
    </row>
    <row r="78" spans="1:11" x14ac:dyDescent="0.25">
      <c r="A78" s="7">
        <v>2022</v>
      </c>
      <c r="B78" s="8" t="s">
        <v>237</v>
      </c>
      <c r="C78" s="8" t="s">
        <v>234</v>
      </c>
      <c r="D78" s="8" t="s">
        <v>235</v>
      </c>
      <c r="E78" s="9" t="s">
        <v>282</v>
      </c>
      <c r="F78" s="10">
        <v>14817.05</v>
      </c>
      <c r="G78" s="10">
        <v>513.15</v>
      </c>
      <c r="H78" s="10">
        <v>1440</v>
      </c>
      <c r="I78" s="10">
        <v>80</v>
      </c>
      <c r="J78" s="10">
        <v>350</v>
      </c>
      <c r="K78" s="6">
        <f t="shared" si="1"/>
        <v>17200.199999999997</v>
      </c>
    </row>
    <row r="79" spans="1:11" x14ac:dyDescent="0.25">
      <c r="A79" s="7">
        <v>2022</v>
      </c>
      <c r="B79" s="8" t="s">
        <v>238</v>
      </c>
      <c r="C79" s="8" t="s">
        <v>239</v>
      </c>
      <c r="D79" s="8" t="s">
        <v>235</v>
      </c>
      <c r="E79" s="9" t="s">
        <v>283</v>
      </c>
      <c r="F79" s="10">
        <v>14817.05</v>
      </c>
      <c r="G79" s="10">
        <v>513.15</v>
      </c>
      <c r="H79" s="10">
        <v>1440</v>
      </c>
      <c r="I79" s="10">
        <v>80</v>
      </c>
      <c r="J79" s="10">
        <v>350</v>
      </c>
      <c r="K79" s="6">
        <f t="shared" si="1"/>
        <v>17200.199999999997</v>
      </c>
    </row>
    <row r="80" spans="1:11" x14ac:dyDescent="0.25">
      <c r="A80" s="7">
        <v>2022</v>
      </c>
      <c r="B80" s="8" t="s">
        <v>240</v>
      </c>
      <c r="C80" s="8" t="s">
        <v>239</v>
      </c>
      <c r="D80" s="8" t="s">
        <v>235</v>
      </c>
      <c r="E80" s="9" t="s">
        <v>283</v>
      </c>
      <c r="F80" s="10">
        <v>14817.05</v>
      </c>
      <c r="G80" s="10">
        <v>513.15</v>
      </c>
      <c r="H80" s="10">
        <v>1440</v>
      </c>
      <c r="I80" s="10">
        <v>80</v>
      </c>
      <c r="J80" s="10">
        <v>350</v>
      </c>
      <c r="K80" s="6">
        <f t="shared" si="1"/>
        <v>17200.199999999997</v>
      </c>
    </row>
    <row r="81" spans="1:11" x14ac:dyDescent="0.25">
      <c r="A81" s="7">
        <v>2022</v>
      </c>
      <c r="B81" s="8" t="s">
        <v>241</v>
      </c>
      <c r="C81" s="8" t="s">
        <v>239</v>
      </c>
      <c r="D81" s="8" t="s">
        <v>235</v>
      </c>
      <c r="E81" s="9" t="s">
        <v>283</v>
      </c>
      <c r="F81" s="10">
        <v>14817.05</v>
      </c>
      <c r="G81" s="10">
        <v>513.15</v>
      </c>
      <c r="H81" s="10">
        <v>1440</v>
      </c>
      <c r="I81" s="10">
        <v>80</v>
      </c>
      <c r="J81" s="10">
        <v>350</v>
      </c>
      <c r="K81" s="6">
        <f t="shared" si="1"/>
        <v>17200.199999999997</v>
      </c>
    </row>
    <row r="82" spans="1:11" x14ac:dyDescent="0.25">
      <c r="A82" s="7">
        <v>2022</v>
      </c>
      <c r="B82" s="8" t="s">
        <v>242</v>
      </c>
      <c r="C82" s="8" t="s">
        <v>243</v>
      </c>
      <c r="D82" s="8" t="s">
        <v>244</v>
      </c>
      <c r="E82" s="9" t="s">
        <v>284</v>
      </c>
      <c r="F82" s="10">
        <v>17692.3</v>
      </c>
      <c r="G82" s="10">
        <v>570.95000000000005</v>
      </c>
      <c r="H82" s="10">
        <v>1440</v>
      </c>
      <c r="I82" s="10">
        <v>80</v>
      </c>
      <c r="J82" s="10">
        <v>350</v>
      </c>
      <c r="K82" s="6">
        <f t="shared" si="1"/>
        <v>20133.25</v>
      </c>
    </row>
    <row r="83" spans="1:11" x14ac:dyDescent="0.25">
      <c r="A83" s="7">
        <v>2022</v>
      </c>
      <c r="B83" s="8" t="s">
        <v>245</v>
      </c>
      <c r="C83" s="8" t="s">
        <v>243</v>
      </c>
      <c r="D83" s="8" t="s">
        <v>244</v>
      </c>
      <c r="E83" s="9" t="s">
        <v>284</v>
      </c>
      <c r="F83" s="10">
        <v>17692.3</v>
      </c>
      <c r="G83" s="10">
        <v>570.95000000000005</v>
      </c>
      <c r="H83" s="10">
        <v>1440</v>
      </c>
      <c r="I83" s="10">
        <v>80</v>
      </c>
      <c r="J83" s="10">
        <v>350</v>
      </c>
      <c r="K83" s="6">
        <f t="shared" si="1"/>
        <v>20133.25</v>
      </c>
    </row>
    <row r="84" spans="1:11" x14ac:dyDescent="0.25">
      <c r="A84" s="7">
        <v>2022</v>
      </c>
      <c r="B84" s="8" t="s">
        <v>246</v>
      </c>
      <c r="C84" s="8" t="s">
        <v>243</v>
      </c>
      <c r="D84" s="8" t="s">
        <v>244</v>
      </c>
      <c r="E84" s="9" t="s">
        <v>284</v>
      </c>
      <c r="F84" s="10">
        <v>17692.3</v>
      </c>
      <c r="G84" s="10">
        <v>570.95000000000005</v>
      </c>
      <c r="H84" s="10">
        <v>1440</v>
      </c>
      <c r="I84" s="10">
        <v>80</v>
      </c>
      <c r="J84" s="10">
        <v>350</v>
      </c>
      <c r="K84" s="6">
        <f t="shared" si="1"/>
        <v>20133.25</v>
      </c>
    </row>
    <row r="85" spans="1:11" x14ac:dyDescent="0.25">
      <c r="A85" s="7">
        <v>2022</v>
      </c>
      <c r="B85" s="8" t="s">
        <v>247</v>
      </c>
      <c r="C85" s="8" t="s">
        <v>243</v>
      </c>
      <c r="D85" s="8" t="s">
        <v>244</v>
      </c>
      <c r="E85" s="9" t="s">
        <v>284</v>
      </c>
      <c r="F85" s="10">
        <v>17692.3</v>
      </c>
      <c r="G85" s="10">
        <v>570.95000000000005</v>
      </c>
      <c r="H85" s="10">
        <v>1440</v>
      </c>
      <c r="I85" s="10">
        <v>80</v>
      </c>
      <c r="J85" s="10">
        <v>350</v>
      </c>
      <c r="K85" s="6">
        <f t="shared" si="1"/>
        <v>20133.25</v>
      </c>
    </row>
    <row r="86" spans="1:11" x14ac:dyDescent="0.25">
      <c r="A86" s="7">
        <v>2022</v>
      </c>
      <c r="B86" s="8" t="s">
        <v>248</v>
      </c>
      <c r="C86" s="8" t="s">
        <v>243</v>
      </c>
      <c r="D86" s="8" t="s">
        <v>244</v>
      </c>
      <c r="E86" s="9" t="s">
        <v>284</v>
      </c>
      <c r="F86" s="10">
        <v>17692.3</v>
      </c>
      <c r="G86" s="10">
        <v>570.95000000000005</v>
      </c>
      <c r="H86" s="10">
        <v>1440</v>
      </c>
      <c r="I86" s="10">
        <v>80</v>
      </c>
      <c r="J86" s="10">
        <v>350</v>
      </c>
      <c r="K86" s="6">
        <f t="shared" si="1"/>
        <v>20133.25</v>
      </c>
    </row>
    <row r="87" spans="1:11" x14ac:dyDescent="0.25">
      <c r="A87" s="7">
        <v>2022</v>
      </c>
      <c r="B87" s="8" t="s">
        <v>249</v>
      </c>
      <c r="C87" s="8" t="s">
        <v>250</v>
      </c>
      <c r="D87" s="8" t="s">
        <v>251</v>
      </c>
      <c r="E87" s="9" t="s">
        <v>252</v>
      </c>
      <c r="F87" s="10">
        <v>20370.849999999999</v>
      </c>
      <c r="G87" s="10">
        <v>456.8</v>
      </c>
      <c r="H87" s="10">
        <v>1440</v>
      </c>
      <c r="I87" s="10">
        <v>80</v>
      </c>
      <c r="J87" s="10">
        <v>350</v>
      </c>
      <c r="K87" s="6">
        <f t="shared" si="1"/>
        <v>22697.649999999998</v>
      </c>
    </row>
    <row r="88" spans="1:11" x14ac:dyDescent="0.25">
      <c r="A88" s="7">
        <v>2022</v>
      </c>
      <c r="B88" s="8" t="s">
        <v>250</v>
      </c>
      <c r="C88" s="8" t="s">
        <v>250</v>
      </c>
      <c r="D88" s="8" t="s">
        <v>251</v>
      </c>
      <c r="E88" s="9" t="s">
        <v>252</v>
      </c>
      <c r="F88" s="10">
        <v>20370.849999999999</v>
      </c>
      <c r="G88" s="10">
        <v>456.8</v>
      </c>
      <c r="H88" s="10">
        <v>1440</v>
      </c>
      <c r="I88" s="10">
        <v>80</v>
      </c>
      <c r="J88" s="10">
        <v>350</v>
      </c>
      <c r="K88" s="6">
        <f t="shared" si="1"/>
        <v>22697.649999999998</v>
      </c>
    </row>
    <row r="89" spans="1:11" x14ac:dyDescent="0.25">
      <c r="A89" s="7">
        <v>2022</v>
      </c>
      <c r="B89" s="8" t="s">
        <v>253</v>
      </c>
      <c r="C89" s="8" t="s">
        <v>250</v>
      </c>
      <c r="D89" s="8" t="s">
        <v>251</v>
      </c>
      <c r="E89" s="9" t="s">
        <v>252</v>
      </c>
      <c r="F89" s="10">
        <v>20370.849999999999</v>
      </c>
      <c r="G89" s="10">
        <v>456.8</v>
      </c>
      <c r="H89" s="10">
        <v>1440</v>
      </c>
      <c r="I89" s="10">
        <v>80</v>
      </c>
      <c r="J89" s="10">
        <v>350</v>
      </c>
      <c r="K89" s="6">
        <f t="shared" si="1"/>
        <v>22697.649999999998</v>
      </c>
    </row>
    <row r="90" spans="1:11" x14ac:dyDescent="0.25">
      <c r="A90" s="7">
        <v>2022</v>
      </c>
      <c r="B90" s="8" t="s">
        <v>254</v>
      </c>
      <c r="C90" s="8"/>
      <c r="D90" s="8" t="s">
        <v>255</v>
      </c>
      <c r="E90" s="9" t="s">
        <v>256</v>
      </c>
      <c r="F90" s="10">
        <v>7906</v>
      </c>
      <c r="G90" s="10">
        <v>975.05</v>
      </c>
      <c r="H90" s="10">
        <v>1440</v>
      </c>
      <c r="I90" s="10">
        <v>80</v>
      </c>
      <c r="J90" s="10">
        <v>350</v>
      </c>
      <c r="K90" s="6">
        <f t="shared" si="1"/>
        <v>10751.05</v>
      </c>
    </row>
    <row r="91" spans="1:11" x14ac:dyDescent="0.25">
      <c r="A91" s="4">
        <v>2021</v>
      </c>
      <c r="B91" s="11" t="s">
        <v>210</v>
      </c>
      <c r="C91" s="11" t="s">
        <v>211</v>
      </c>
      <c r="D91" s="11" t="s">
        <v>212</v>
      </c>
      <c r="E91" s="12" t="s">
        <v>213</v>
      </c>
      <c r="F91" s="5">
        <v>9226</v>
      </c>
      <c r="G91" s="5">
        <v>0</v>
      </c>
      <c r="H91" s="5">
        <v>1440</v>
      </c>
      <c r="I91" s="5">
        <v>80</v>
      </c>
      <c r="J91" s="5">
        <v>350</v>
      </c>
      <c r="K91" s="6">
        <f>SUM(F91:J91)</f>
        <v>11096</v>
      </c>
    </row>
    <row r="92" spans="1:11" x14ac:dyDescent="0.25">
      <c r="A92" s="4">
        <v>2021</v>
      </c>
      <c r="B92" s="11" t="s">
        <v>214</v>
      </c>
      <c r="C92" s="11" t="s">
        <v>215</v>
      </c>
      <c r="D92" s="11" t="s">
        <v>216</v>
      </c>
      <c r="E92" s="12" t="s">
        <v>217</v>
      </c>
      <c r="F92" s="5">
        <v>9880.5</v>
      </c>
      <c r="G92" s="5">
        <v>0</v>
      </c>
      <c r="H92" s="5">
        <v>1440</v>
      </c>
      <c r="I92" s="5">
        <v>80</v>
      </c>
      <c r="J92" s="5">
        <v>350</v>
      </c>
      <c r="K92" s="6">
        <f t="shared" ref="K92:K115" si="2">SUM(F92:J92)</f>
        <v>11750.5</v>
      </c>
    </row>
    <row r="93" spans="1:11" x14ac:dyDescent="0.25">
      <c r="A93" s="4">
        <v>2021</v>
      </c>
      <c r="B93" s="11" t="s">
        <v>218</v>
      </c>
      <c r="C93" s="11" t="s">
        <v>215</v>
      </c>
      <c r="D93" s="11" t="s">
        <v>216</v>
      </c>
      <c r="E93" s="12" t="s">
        <v>217</v>
      </c>
      <c r="F93" s="5">
        <v>9880.5</v>
      </c>
      <c r="G93" s="5">
        <v>0</v>
      </c>
      <c r="H93" s="5">
        <v>1440</v>
      </c>
      <c r="I93" s="5">
        <v>80</v>
      </c>
      <c r="J93" s="5">
        <v>350</v>
      </c>
      <c r="K93" s="6">
        <f t="shared" si="2"/>
        <v>11750.5</v>
      </c>
    </row>
    <row r="94" spans="1:11" x14ac:dyDescent="0.25">
      <c r="A94" s="4">
        <v>2021</v>
      </c>
      <c r="B94" s="11" t="s">
        <v>219</v>
      </c>
      <c r="C94" s="11" t="s">
        <v>220</v>
      </c>
      <c r="D94" s="11" t="s">
        <v>221</v>
      </c>
      <c r="E94" s="12" t="s">
        <v>280</v>
      </c>
      <c r="F94" s="5">
        <v>11188</v>
      </c>
      <c r="G94" s="5">
        <v>0</v>
      </c>
      <c r="H94" s="5">
        <v>1440</v>
      </c>
      <c r="I94" s="5">
        <v>80</v>
      </c>
      <c r="J94" s="5">
        <v>350</v>
      </c>
      <c r="K94" s="6">
        <f t="shared" si="2"/>
        <v>13058</v>
      </c>
    </row>
    <row r="95" spans="1:11" x14ac:dyDescent="0.25">
      <c r="A95" s="4">
        <v>2021</v>
      </c>
      <c r="B95" s="11" t="s">
        <v>222</v>
      </c>
      <c r="C95" s="11" t="s">
        <v>220</v>
      </c>
      <c r="D95" s="11" t="s">
        <v>221</v>
      </c>
      <c r="E95" s="12" t="s">
        <v>280</v>
      </c>
      <c r="F95" s="5">
        <v>11188</v>
      </c>
      <c r="G95" s="5">
        <v>0</v>
      </c>
      <c r="H95" s="5">
        <v>1440</v>
      </c>
      <c r="I95" s="5">
        <v>80</v>
      </c>
      <c r="J95" s="5">
        <v>350</v>
      </c>
      <c r="K95" s="6">
        <f t="shared" si="2"/>
        <v>13058</v>
      </c>
    </row>
    <row r="96" spans="1:11" x14ac:dyDescent="0.25">
      <c r="A96" s="4">
        <v>2021</v>
      </c>
      <c r="B96" s="11" t="s">
        <v>223</v>
      </c>
      <c r="C96" s="11" t="s">
        <v>224</v>
      </c>
      <c r="D96" s="11" t="s">
        <v>225</v>
      </c>
      <c r="E96" s="12" t="s">
        <v>226</v>
      </c>
      <c r="F96" s="5">
        <v>13140.5</v>
      </c>
      <c r="G96" s="5">
        <v>0</v>
      </c>
      <c r="H96" s="5">
        <v>1440</v>
      </c>
      <c r="I96" s="5">
        <v>80</v>
      </c>
      <c r="J96" s="5">
        <v>350</v>
      </c>
      <c r="K96" s="6">
        <f t="shared" si="2"/>
        <v>15010.5</v>
      </c>
    </row>
    <row r="97" spans="1:11" x14ac:dyDescent="0.25">
      <c r="A97" s="4">
        <v>2021</v>
      </c>
      <c r="B97" s="11" t="s">
        <v>227</v>
      </c>
      <c r="C97" s="11" t="s">
        <v>224</v>
      </c>
      <c r="D97" s="11" t="s">
        <v>225</v>
      </c>
      <c r="E97" s="12" t="s">
        <v>226</v>
      </c>
      <c r="F97" s="5">
        <v>13140.5</v>
      </c>
      <c r="G97" s="5">
        <v>0</v>
      </c>
      <c r="H97" s="5">
        <v>1440</v>
      </c>
      <c r="I97" s="5">
        <v>80</v>
      </c>
      <c r="J97" s="5">
        <v>350</v>
      </c>
      <c r="K97" s="6">
        <f t="shared" si="2"/>
        <v>15010.5</v>
      </c>
    </row>
    <row r="98" spans="1:11" x14ac:dyDescent="0.25">
      <c r="A98" s="4">
        <v>2021</v>
      </c>
      <c r="B98" s="11" t="s">
        <v>228</v>
      </c>
      <c r="C98" s="11" t="s">
        <v>224</v>
      </c>
      <c r="D98" s="11" t="s">
        <v>225</v>
      </c>
      <c r="E98" s="12" t="s">
        <v>226</v>
      </c>
      <c r="F98" s="5">
        <v>13140.5</v>
      </c>
      <c r="G98" s="5">
        <v>0</v>
      </c>
      <c r="H98" s="5">
        <v>1440</v>
      </c>
      <c r="I98" s="5">
        <v>80</v>
      </c>
      <c r="J98" s="5">
        <v>350</v>
      </c>
      <c r="K98" s="6">
        <f t="shared" si="2"/>
        <v>15010.5</v>
      </c>
    </row>
    <row r="99" spans="1:11" x14ac:dyDescent="0.25">
      <c r="A99" s="4">
        <v>2021</v>
      </c>
      <c r="B99" s="11" t="s">
        <v>229</v>
      </c>
      <c r="C99" s="11" t="s">
        <v>230</v>
      </c>
      <c r="D99" s="11" t="s">
        <v>231</v>
      </c>
      <c r="E99" s="12" t="s">
        <v>281</v>
      </c>
      <c r="F99" s="5">
        <v>12571.5</v>
      </c>
      <c r="G99" s="5">
        <v>0</v>
      </c>
      <c r="H99" s="5">
        <v>1440</v>
      </c>
      <c r="I99" s="5">
        <v>80</v>
      </c>
      <c r="J99" s="5">
        <v>350</v>
      </c>
      <c r="K99" s="6">
        <f t="shared" si="2"/>
        <v>14441.5</v>
      </c>
    </row>
    <row r="100" spans="1:11" x14ac:dyDescent="0.25">
      <c r="A100" s="4">
        <v>2021</v>
      </c>
      <c r="B100" s="11" t="s">
        <v>232</v>
      </c>
      <c r="C100" s="11" t="s">
        <v>224</v>
      </c>
      <c r="D100" s="11" t="s">
        <v>225</v>
      </c>
      <c r="E100" s="12" t="s">
        <v>226</v>
      </c>
      <c r="F100" s="5">
        <v>13140.5</v>
      </c>
      <c r="G100" s="5">
        <v>0</v>
      </c>
      <c r="H100" s="5">
        <v>1440</v>
      </c>
      <c r="I100" s="5">
        <v>80</v>
      </c>
      <c r="J100" s="5">
        <v>350</v>
      </c>
      <c r="K100" s="6">
        <f t="shared" si="2"/>
        <v>15010.5</v>
      </c>
    </row>
    <row r="101" spans="1:11" x14ac:dyDescent="0.25">
      <c r="A101" s="4">
        <v>2021</v>
      </c>
      <c r="B101" s="11" t="s">
        <v>233</v>
      </c>
      <c r="C101" s="11" t="s">
        <v>234</v>
      </c>
      <c r="D101" s="11" t="s">
        <v>235</v>
      </c>
      <c r="E101" s="12" t="s">
        <v>282</v>
      </c>
      <c r="F101" s="5">
        <v>14316</v>
      </c>
      <c r="G101" s="5">
        <v>0</v>
      </c>
      <c r="H101" s="5">
        <v>1440</v>
      </c>
      <c r="I101" s="5">
        <v>80</v>
      </c>
      <c r="J101" s="5">
        <v>350</v>
      </c>
      <c r="K101" s="6">
        <f t="shared" si="2"/>
        <v>16186</v>
      </c>
    </row>
    <row r="102" spans="1:11" x14ac:dyDescent="0.25">
      <c r="A102" s="4">
        <v>2021</v>
      </c>
      <c r="B102" s="11" t="s">
        <v>236</v>
      </c>
      <c r="C102" s="11" t="s">
        <v>234</v>
      </c>
      <c r="D102" s="11" t="s">
        <v>235</v>
      </c>
      <c r="E102" s="12" t="s">
        <v>282</v>
      </c>
      <c r="F102" s="5">
        <v>14316</v>
      </c>
      <c r="G102" s="5">
        <v>0</v>
      </c>
      <c r="H102" s="5">
        <v>1440</v>
      </c>
      <c r="I102" s="5">
        <v>80</v>
      </c>
      <c r="J102" s="5">
        <v>350</v>
      </c>
      <c r="K102" s="6">
        <f t="shared" si="2"/>
        <v>16186</v>
      </c>
    </row>
    <row r="103" spans="1:11" x14ac:dyDescent="0.25">
      <c r="A103" s="4">
        <v>2021</v>
      </c>
      <c r="B103" s="11" t="s">
        <v>237</v>
      </c>
      <c r="C103" s="11" t="s">
        <v>234</v>
      </c>
      <c r="D103" s="11" t="s">
        <v>235</v>
      </c>
      <c r="E103" s="12" t="s">
        <v>282</v>
      </c>
      <c r="F103" s="5">
        <v>14316</v>
      </c>
      <c r="G103" s="5">
        <v>0</v>
      </c>
      <c r="H103" s="5">
        <v>1440</v>
      </c>
      <c r="I103" s="5">
        <v>80</v>
      </c>
      <c r="J103" s="5">
        <v>350</v>
      </c>
      <c r="K103" s="6">
        <f t="shared" si="2"/>
        <v>16186</v>
      </c>
    </row>
    <row r="104" spans="1:11" x14ac:dyDescent="0.25">
      <c r="A104" s="4">
        <v>2021</v>
      </c>
      <c r="B104" s="11" t="s">
        <v>238</v>
      </c>
      <c r="C104" s="11" t="s">
        <v>239</v>
      </c>
      <c r="D104" s="11" t="s">
        <v>235</v>
      </c>
      <c r="E104" s="12" t="s">
        <v>283</v>
      </c>
      <c r="F104" s="5">
        <v>14316</v>
      </c>
      <c r="G104" s="5">
        <v>0</v>
      </c>
      <c r="H104" s="5">
        <v>1440</v>
      </c>
      <c r="I104" s="5">
        <v>80</v>
      </c>
      <c r="J104" s="5">
        <v>350</v>
      </c>
      <c r="K104" s="6">
        <f t="shared" si="2"/>
        <v>16186</v>
      </c>
    </row>
    <row r="105" spans="1:11" x14ac:dyDescent="0.25">
      <c r="A105" s="4">
        <v>2021</v>
      </c>
      <c r="B105" s="11" t="s">
        <v>240</v>
      </c>
      <c r="C105" s="11" t="s">
        <v>239</v>
      </c>
      <c r="D105" s="11" t="s">
        <v>235</v>
      </c>
      <c r="E105" s="12" t="s">
        <v>283</v>
      </c>
      <c r="F105" s="5">
        <v>14316</v>
      </c>
      <c r="G105" s="5">
        <v>0</v>
      </c>
      <c r="H105" s="5">
        <v>1440</v>
      </c>
      <c r="I105" s="5">
        <v>80</v>
      </c>
      <c r="J105" s="5">
        <v>350</v>
      </c>
      <c r="K105" s="6">
        <f t="shared" si="2"/>
        <v>16186</v>
      </c>
    </row>
    <row r="106" spans="1:11" x14ac:dyDescent="0.25">
      <c r="A106" s="4">
        <v>2021</v>
      </c>
      <c r="B106" s="11" t="s">
        <v>241</v>
      </c>
      <c r="C106" s="11" t="s">
        <v>239</v>
      </c>
      <c r="D106" s="11" t="s">
        <v>235</v>
      </c>
      <c r="E106" s="12" t="s">
        <v>283</v>
      </c>
      <c r="F106" s="5">
        <v>14316</v>
      </c>
      <c r="G106" s="5">
        <v>0</v>
      </c>
      <c r="H106" s="5">
        <v>1440</v>
      </c>
      <c r="I106" s="5">
        <v>80</v>
      </c>
      <c r="J106" s="5">
        <v>350</v>
      </c>
      <c r="K106" s="6">
        <f t="shared" si="2"/>
        <v>16186</v>
      </c>
    </row>
    <row r="107" spans="1:11" x14ac:dyDescent="0.25">
      <c r="A107" s="4">
        <v>2021</v>
      </c>
      <c r="B107" s="11" t="s">
        <v>242</v>
      </c>
      <c r="C107" s="11" t="s">
        <v>243</v>
      </c>
      <c r="D107" s="11" t="s">
        <v>244</v>
      </c>
      <c r="E107" s="12" t="s">
        <v>284</v>
      </c>
      <c r="F107" s="5">
        <v>17094</v>
      </c>
      <c r="G107" s="5">
        <v>0</v>
      </c>
      <c r="H107" s="5">
        <v>1440</v>
      </c>
      <c r="I107" s="5">
        <v>80</v>
      </c>
      <c r="J107" s="5">
        <v>350</v>
      </c>
      <c r="K107" s="6">
        <f t="shared" si="2"/>
        <v>18964</v>
      </c>
    </row>
    <row r="108" spans="1:11" x14ac:dyDescent="0.25">
      <c r="A108" s="4">
        <v>2021</v>
      </c>
      <c r="B108" s="11" t="s">
        <v>245</v>
      </c>
      <c r="C108" s="11" t="s">
        <v>243</v>
      </c>
      <c r="D108" s="11" t="s">
        <v>244</v>
      </c>
      <c r="E108" s="12" t="s">
        <v>284</v>
      </c>
      <c r="F108" s="5">
        <v>17094</v>
      </c>
      <c r="G108" s="5">
        <v>0</v>
      </c>
      <c r="H108" s="5">
        <v>1440</v>
      </c>
      <c r="I108" s="5">
        <v>80</v>
      </c>
      <c r="J108" s="5">
        <v>350</v>
      </c>
      <c r="K108" s="6">
        <f t="shared" si="2"/>
        <v>18964</v>
      </c>
    </row>
    <row r="109" spans="1:11" x14ac:dyDescent="0.25">
      <c r="A109" s="4">
        <v>2021</v>
      </c>
      <c r="B109" s="11" t="s">
        <v>246</v>
      </c>
      <c r="C109" s="11" t="s">
        <v>243</v>
      </c>
      <c r="D109" s="11" t="s">
        <v>244</v>
      </c>
      <c r="E109" s="12" t="s">
        <v>284</v>
      </c>
      <c r="F109" s="5">
        <v>17094</v>
      </c>
      <c r="G109" s="5">
        <v>0</v>
      </c>
      <c r="H109" s="5">
        <v>1440</v>
      </c>
      <c r="I109" s="5">
        <v>80</v>
      </c>
      <c r="J109" s="5">
        <v>350</v>
      </c>
      <c r="K109" s="6">
        <f t="shared" si="2"/>
        <v>18964</v>
      </c>
    </row>
    <row r="110" spans="1:11" x14ac:dyDescent="0.25">
      <c r="A110" s="4">
        <v>2021</v>
      </c>
      <c r="B110" s="11" t="s">
        <v>247</v>
      </c>
      <c r="C110" s="11" t="s">
        <v>243</v>
      </c>
      <c r="D110" s="11" t="s">
        <v>244</v>
      </c>
      <c r="E110" s="12" t="s">
        <v>284</v>
      </c>
      <c r="F110" s="5">
        <v>17094</v>
      </c>
      <c r="G110" s="5">
        <v>0</v>
      </c>
      <c r="H110" s="5">
        <v>1440</v>
      </c>
      <c r="I110" s="5">
        <v>80</v>
      </c>
      <c r="J110" s="5">
        <v>350</v>
      </c>
      <c r="K110" s="6">
        <f t="shared" si="2"/>
        <v>18964</v>
      </c>
    </row>
    <row r="111" spans="1:11" x14ac:dyDescent="0.25">
      <c r="A111" s="4">
        <v>2021</v>
      </c>
      <c r="B111" s="11" t="s">
        <v>248</v>
      </c>
      <c r="C111" s="11" t="s">
        <v>243</v>
      </c>
      <c r="D111" s="11" t="s">
        <v>244</v>
      </c>
      <c r="E111" s="12" t="s">
        <v>284</v>
      </c>
      <c r="F111" s="5">
        <v>17094</v>
      </c>
      <c r="G111" s="5">
        <v>0</v>
      </c>
      <c r="H111" s="5">
        <v>1440</v>
      </c>
      <c r="I111" s="5">
        <v>80</v>
      </c>
      <c r="J111" s="5">
        <v>350</v>
      </c>
      <c r="K111" s="6">
        <f t="shared" si="2"/>
        <v>18964</v>
      </c>
    </row>
    <row r="112" spans="1:11" x14ac:dyDescent="0.25">
      <c r="A112" s="4">
        <v>2021</v>
      </c>
      <c r="B112" s="11" t="s">
        <v>249</v>
      </c>
      <c r="C112" s="11" t="s">
        <v>250</v>
      </c>
      <c r="D112" s="11" t="s">
        <v>251</v>
      </c>
      <c r="E112" s="12" t="s">
        <v>252</v>
      </c>
      <c r="F112" s="5">
        <v>19682</v>
      </c>
      <c r="G112" s="5">
        <v>0</v>
      </c>
      <c r="H112" s="5">
        <v>1440</v>
      </c>
      <c r="I112" s="5">
        <v>80</v>
      </c>
      <c r="J112" s="5">
        <v>350</v>
      </c>
      <c r="K112" s="6">
        <f t="shared" si="2"/>
        <v>21552</v>
      </c>
    </row>
    <row r="113" spans="1:11" x14ac:dyDescent="0.25">
      <c r="A113" s="4">
        <v>2021</v>
      </c>
      <c r="B113" s="11" t="s">
        <v>250</v>
      </c>
      <c r="C113" s="11" t="s">
        <v>250</v>
      </c>
      <c r="D113" s="11" t="s">
        <v>251</v>
      </c>
      <c r="E113" s="12" t="s">
        <v>252</v>
      </c>
      <c r="F113" s="5">
        <v>19682</v>
      </c>
      <c r="G113" s="5">
        <v>0</v>
      </c>
      <c r="H113" s="5">
        <v>1440</v>
      </c>
      <c r="I113" s="5">
        <v>80</v>
      </c>
      <c r="J113" s="5">
        <v>350</v>
      </c>
      <c r="K113" s="6">
        <f t="shared" si="2"/>
        <v>21552</v>
      </c>
    </row>
    <row r="114" spans="1:11" x14ac:dyDescent="0.25">
      <c r="A114" s="4">
        <v>2021</v>
      </c>
      <c r="B114" s="11" t="s">
        <v>253</v>
      </c>
      <c r="C114" s="11" t="s">
        <v>250</v>
      </c>
      <c r="D114" s="11" t="s">
        <v>251</v>
      </c>
      <c r="E114" s="12" t="s">
        <v>252</v>
      </c>
      <c r="F114" s="5">
        <v>19682</v>
      </c>
      <c r="G114" s="5">
        <v>0</v>
      </c>
      <c r="H114" s="5">
        <v>1440</v>
      </c>
      <c r="I114" s="5">
        <v>80</v>
      </c>
      <c r="J114" s="5">
        <v>350</v>
      </c>
      <c r="K114" s="6">
        <f t="shared" si="2"/>
        <v>21552</v>
      </c>
    </row>
    <row r="115" spans="1:11" x14ac:dyDescent="0.25">
      <c r="A115" s="4">
        <v>2021</v>
      </c>
      <c r="B115" s="11" t="s">
        <v>254</v>
      </c>
      <c r="C115" s="11"/>
      <c r="D115" s="11" t="s">
        <v>255</v>
      </c>
      <c r="E115" s="12" t="s">
        <v>256</v>
      </c>
      <c r="F115" s="5"/>
      <c r="G115" s="5">
        <v>0</v>
      </c>
      <c r="H115" s="5">
        <v>1440</v>
      </c>
      <c r="I115" s="5">
        <v>80</v>
      </c>
      <c r="J115" s="5">
        <v>350</v>
      </c>
      <c r="K115" s="6">
        <f t="shared" si="2"/>
        <v>1870</v>
      </c>
    </row>
    <row r="116" spans="1:11" x14ac:dyDescent="0.25">
      <c r="A116" s="7">
        <v>2020</v>
      </c>
      <c r="B116" s="8" t="s">
        <v>210</v>
      </c>
      <c r="C116" s="8" t="s">
        <v>211</v>
      </c>
      <c r="D116" s="8" t="s">
        <v>212</v>
      </c>
      <c r="E116" s="9" t="s">
        <v>213</v>
      </c>
      <c r="F116" s="10">
        <v>8922.75</v>
      </c>
      <c r="G116" s="10">
        <v>0</v>
      </c>
      <c r="H116" s="10">
        <v>1255</v>
      </c>
      <c r="I116" s="10">
        <v>55</v>
      </c>
      <c r="J116" s="10">
        <v>330</v>
      </c>
      <c r="K116" s="6">
        <f>SUM(F116:J116)</f>
        <v>10562.75</v>
      </c>
    </row>
    <row r="117" spans="1:11" x14ac:dyDescent="0.25">
      <c r="A117" s="7">
        <v>2020</v>
      </c>
      <c r="B117" s="8" t="s">
        <v>214</v>
      </c>
      <c r="C117" s="8" t="s">
        <v>215</v>
      </c>
      <c r="D117" s="8" t="s">
        <v>216</v>
      </c>
      <c r="E117" s="9" t="s">
        <v>217</v>
      </c>
      <c r="F117" s="10">
        <v>9555.7999999999993</v>
      </c>
      <c r="G117" s="10">
        <v>0</v>
      </c>
      <c r="H117" s="10">
        <v>1255</v>
      </c>
      <c r="I117" s="10">
        <v>55</v>
      </c>
      <c r="J117" s="10">
        <v>330</v>
      </c>
      <c r="K117" s="6">
        <f t="shared" ref="K117:K140" si="3">SUM(F117:J117)</f>
        <v>11195.8</v>
      </c>
    </row>
    <row r="118" spans="1:11" x14ac:dyDescent="0.25">
      <c r="A118" s="7">
        <v>2020</v>
      </c>
      <c r="B118" s="8" t="s">
        <v>218</v>
      </c>
      <c r="C118" s="8" t="s">
        <v>215</v>
      </c>
      <c r="D118" s="8" t="s">
        <v>216</v>
      </c>
      <c r="E118" s="9" t="s">
        <v>217</v>
      </c>
      <c r="F118" s="10">
        <v>9555.7999999999993</v>
      </c>
      <c r="G118" s="10">
        <v>0</v>
      </c>
      <c r="H118" s="10">
        <v>1255</v>
      </c>
      <c r="I118" s="10">
        <v>55</v>
      </c>
      <c r="J118" s="10">
        <v>330</v>
      </c>
      <c r="K118" s="6">
        <f t="shared" si="3"/>
        <v>11195.8</v>
      </c>
    </row>
    <row r="119" spans="1:11" x14ac:dyDescent="0.25">
      <c r="A119" s="7">
        <v>2020</v>
      </c>
      <c r="B119" s="8" t="s">
        <v>219</v>
      </c>
      <c r="C119" s="8" t="s">
        <v>220</v>
      </c>
      <c r="D119" s="8" t="s">
        <v>221</v>
      </c>
      <c r="E119" s="9" t="s">
        <v>280</v>
      </c>
      <c r="F119" s="10">
        <v>10820</v>
      </c>
      <c r="G119" s="10">
        <v>0</v>
      </c>
      <c r="H119" s="10">
        <v>1255</v>
      </c>
      <c r="I119" s="10">
        <v>55</v>
      </c>
      <c r="J119" s="10">
        <v>330</v>
      </c>
      <c r="K119" s="6">
        <f t="shared" si="3"/>
        <v>12460</v>
      </c>
    </row>
    <row r="120" spans="1:11" x14ac:dyDescent="0.25">
      <c r="A120" s="7">
        <v>2020</v>
      </c>
      <c r="B120" s="8" t="s">
        <v>222</v>
      </c>
      <c r="C120" s="8" t="s">
        <v>220</v>
      </c>
      <c r="D120" s="8" t="s">
        <v>221</v>
      </c>
      <c r="E120" s="9" t="s">
        <v>280</v>
      </c>
      <c r="F120" s="10">
        <v>10820</v>
      </c>
      <c r="G120" s="10">
        <v>0</v>
      </c>
      <c r="H120" s="10">
        <v>1255</v>
      </c>
      <c r="I120" s="10">
        <v>55</v>
      </c>
      <c r="J120" s="10">
        <v>330</v>
      </c>
      <c r="K120" s="6">
        <f t="shared" si="3"/>
        <v>12460</v>
      </c>
    </row>
    <row r="121" spans="1:11" x14ac:dyDescent="0.25">
      <c r="A121" s="7">
        <v>2020</v>
      </c>
      <c r="B121" s="8" t="s">
        <v>223</v>
      </c>
      <c r="C121" s="8" t="s">
        <v>224</v>
      </c>
      <c r="D121" s="8" t="s">
        <v>225</v>
      </c>
      <c r="E121" s="9" t="s">
        <v>226</v>
      </c>
      <c r="F121" s="10">
        <v>12708.35</v>
      </c>
      <c r="G121" s="10">
        <v>0</v>
      </c>
      <c r="H121" s="10">
        <v>1255</v>
      </c>
      <c r="I121" s="10">
        <v>55</v>
      </c>
      <c r="J121" s="10">
        <v>330</v>
      </c>
      <c r="K121" s="6">
        <f t="shared" si="3"/>
        <v>14348.35</v>
      </c>
    </row>
    <row r="122" spans="1:11" x14ac:dyDescent="0.25">
      <c r="A122" s="7">
        <v>2020</v>
      </c>
      <c r="B122" s="8" t="s">
        <v>227</v>
      </c>
      <c r="C122" s="8" t="s">
        <v>224</v>
      </c>
      <c r="D122" s="8" t="s">
        <v>225</v>
      </c>
      <c r="E122" s="9" t="s">
        <v>226</v>
      </c>
      <c r="F122" s="10">
        <v>12708.35</v>
      </c>
      <c r="G122" s="10">
        <v>0</v>
      </c>
      <c r="H122" s="10">
        <v>1255</v>
      </c>
      <c r="I122" s="10">
        <v>55</v>
      </c>
      <c r="J122" s="10">
        <v>330</v>
      </c>
      <c r="K122" s="6">
        <f t="shared" si="3"/>
        <v>14348.35</v>
      </c>
    </row>
    <row r="123" spans="1:11" x14ac:dyDescent="0.25">
      <c r="A123" s="7">
        <v>2020</v>
      </c>
      <c r="B123" s="8" t="s">
        <v>228</v>
      </c>
      <c r="C123" s="8" t="s">
        <v>224</v>
      </c>
      <c r="D123" s="8" t="s">
        <v>225</v>
      </c>
      <c r="E123" s="9" t="s">
        <v>226</v>
      </c>
      <c r="F123" s="10">
        <v>12708.35</v>
      </c>
      <c r="G123" s="10">
        <v>0</v>
      </c>
      <c r="H123" s="10">
        <v>1255</v>
      </c>
      <c r="I123" s="10">
        <v>55</v>
      </c>
      <c r="J123" s="10">
        <v>330</v>
      </c>
      <c r="K123" s="6">
        <f t="shared" si="3"/>
        <v>14348.35</v>
      </c>
    </row>
    <row r="124" spans="1:11" x14ac:dyDescent="0.25">
      <c r="A124" s="7">
        <v>2020</v>
      </c>
      <c r="B124" s="8" t="s">
        <v>229</v>
      </c>
      <c r="C124" s="8" t="s">
        <v>230</v>
      </c>
      <c r="D124" s="8" t="s">
        <v>231</v>
      </c>
      <c r="E124" s="9" t="s">
        <v>281</v>
      </c>
      <c r="F124" s="10">
        <v>12105.8</v>
      </c>
      <c r="G124" s="10">
        <v>0</v>
      </c>
      <c r="H124" s="10">
        <v>1255</v>
      </c>
      <c r="I124" s="10">
        <v>55</v>
      </c>
      <c r="J124" s="10">
        <v>330</v>
      </c>
      <c r="K124" s="6">
        <f t="shared" si="3"/>
        <v>13745.8</v>
      </c>
    </row>
    <row r="125" spans="1:11" x14ac:dyDescent="0.25">
      <c r="A125" s="7">
        <v>2020</v>
      </c>
      <c r="B125" s="8" t="s">
        <v>232</v>
      </c>
      <c r="C125" s="8" t="s">
        <v>224</v>
      </c>
      <c r="D125" s="8" t="s">
        <v>225</v>
      </c>
      <c r="E125" s="9" t="s">
        <v>226</v>
      </c>
      <c r="F125" s="10">
        <v>12708.35</v>
      </c>
      <c r="G125" s="10">
        <v>0</v>
      </c>
      <c r="H125" s="10">
        <v>1255</v>
      </c>
      <c r="I125" s="10">
        <v>55</v>
      </c>
      <c r="J125" s="10">
        <v>330</v>
      </c>
      <c r="K125" s="6">
        <f t="shared" si="3"/>
        <v>14348.35</v>
      </c>
    </row>
    <row r="126" spans="1:11" x14ac:dyDescent="0.25">
      <c r="A126" s="7">
        <v>2020</v>
      </c>
      <c r="B126" s="8" t="s">
        <v>233</v>
      </c>
      <c r="C126" s="8" t="s">
        <v>234</v>
      </c>
      <c r="D126" s="8" t="s">
        <v>235</v>
      </c>
      <c r="E126" s="9" t="s">
        <v>282</v>
      </c>
      <c r="F126" s="10">
        <v>13845.2</v>
      </c>
      <c r="G126" s="10">
        <v>0</v>
      </c>
      <c r="H126" s="10">
        <v>1255</v>
      </c>
      <c r="I126" s="10">
        <v>55</v>
      </c>
      <c r="J126" s="10">
        <v>330</v>
      </c>
      <c r="K126" s="6">
        <f t="shared" si="3"/>
        <v>15485.2</v>
      </c>
    </row>
    <row r="127" spans="1:11" x14ac:dyDescent="0.25">
      <c r="A127" s="7">
        <v>2020</v>
      </c>
      <c r="B127" s="8" t="s">
        <v>236</v>
      </c>
      <c r="C127" s="8" t="s">
        <v>234</v>
      </c>
      <c r="D127" s="8" t="s">
        <v>235</v>
      </c>
      <c r="E127" s="9" t="s">
        <v>282</v>
      </c>
      <c r="F127" s="10">
        <v>13845.2</v>
      </c>
      <c r="G127" s="10">
        <v>0</v>
      </c>
      <c r="H127" s="10">
        <v>1255</v>
      </c>
      <c r="I127" s="10">
        <v>55</v>
      </c>
      <c r="J127" s="10">
        <v>330</v>
      </c>
      <c r="K127" s="6">
        <f t="shared" si="3"/>
        <v>15485.2</v>
      </c>
    </row>
    <row r="128" spans="1:11" x14ac:dyDescent="0.25">
      <c r="A128" s="7">
        <v>2020</v>
      </c>
      <c r="B128" s="8" t="s">
        <v>237</v>
      </c>
      <c r="C128" s="8" t="s">
        <v>234</v>
      </c>
      <c r="D128" s="8" t="s">
        <v>235</v>
      </c>
      <c r="E128" s="9" t="s">
        <v>282</v>
      </c>
      <c r="F128" s="10">
        <v>13845.2</v>
      </c>
      <c r="G128" s="10">
        <v>0</v>
      </c>
      <c r="H128" s="10">
        <v>1255</v>
      </c>
      <c r="I128" s="10">
        <v>55</v>
      </c>
      <c r="J128" s="10">
        <v>330</v>
      </c>
      <c r="K128" s="6">
        <f t="shared" si="3"/>
        <v>15485.2</v>
      </c>
    </row>
    <row r="129" spans="1:11" x14ac:dyDescent="0.25">
      <c r="A129" s="7">
        <v>2020</v>
      </c>
      <c r="B129" s="8" t="s">
        <v>238</v>
      </c>
      <c r="C129" s="8" t="s">
        <v>239</v>
      </c>
      <c r="D129" s="8" t="s">
        <v>235</v>
      </c>
      <c r="E129" s="9" t="s">
        <v>283</v>
      </c>
      <c r="F129" s="10">
        <v>13845.2</v>
      </c>
      <c r="G129" s="10">
        <v>0</v>
      </c>
      <c r="H129" s="10">
        <v>1255</v>
      </c>
      <c r="I129" s="10">
        <v>55</v>
      </c>
      <c r="J129" s="10">
        <v>330</v>
      </c>
      <c r="K129" s="6">
        <f t="shared" si="3"/>
        <v>15485.2</v>
      </c>
    </row>
    <row r="130" spans="1:11" x14ac:dyDescent="0.25">
      <c r="A130" s="7">
        <v>2020</v>
      </c>
      <c r="B130" s="8" t="s">
        <v>240</v>
      </c>
      <c r="C130" s="8" t="s">
        <v>239</v>
      </c>
      <c r="D130" s="8" t="s">
        <v>235</v>
      </c>
      <c r="E130" s="9" t="s">
        <v>283</v>
      </c>
      <c r="F130" s="10">
        <v>13845.2</v>
      </c>
      <c r="G130" s="10">
        <v>0</v>
      </c>
      <c r="H130" s="10">
        <v>1255</v>
      </c>
      <c r="I130" s="10">
        <v>55</v>
      </c>
      <c r="J130" s="10">
        <v>330</v>
      </c>
      <c r="K130" s="6">
        <f t="shared" si="3"/>
        <v>15485.2</v>
      </c>
    </row>
    <row r="131" spans="1:11" x14ac:dyDescent="0.25">
      <c r="A131" s="7">
        <v>2020</v>
      </c>
      <c r="B131" s="8" t="s">
        <v>241</v>
      </c>
      <c r="C131" s="8" t="s">
        <v>239</v>
      </c>
      <c r="D131" s="8" t="s">
        <v>235</v>
      </c>
      <c r="E131" s="9" t="s">
        <v>283</v>
      </c>
      <c r="F131" s="10">
        <v>13845.2</v>
      </c>
      <c r="G131" s="10">
        <v>0</v>
      </c>
      <c r="H131" s="10">
        <v>1255</v>
      </c>
      <c r="I131" s="10">
        <v>55</v>
      </c>
      <c r="J131" s="10">
        <v>330</v>
      </c>
      <c r="K131" s="6">
        <f t="shared" si="3"/>
        <v>15485.2</v>
      </c>
    </row>
    <row r="132" spans="1:11" x14ac:dyDescent="0.25">
      <c r="A132" s="7">
        <v>2020</v>
      </c>
      <c r="B132" s="8" t="s">
        <v>242</v>
      </c>
      <c r="C132" s="8" t="s">
        <v>243</v>
      </c>
      <c r="D132" s="8" t="s">
        <v>244</v>
      </c>
      <c r="E132" s="9" t="s">
        <v>284</v>
      </c>
      <c r="F132" s="10">
        <v>16531.8</v>
      </c>
      <c r="G132" s="10">
        <v>0</v>
      </c>
      <c r="H132" s="10">
        <v>1255</v>
      </c>
      <c r="I132" s="10">
        <v>55</v>
      </c>
      <c r="J132" s="10">
        <v>330</v>
      </c>
      <c r="K132" s="6">
        <f t="shared" si="3"/>
        <v>18171.8</v>
      </c>
    </row>
    <row r="133" spans="1:11" x14ac:dyDescent="0.25">
      <c r="A133" s="7">
        <v>2020</v>
      </c>
      <c r="B133" s="8" t="s">
        <v>245</v>
      </c>
      <c r="C133" s="8" t="s">
        <v>243</v>
      </c>
      <c r="D133" s="8" t="s">
        <v>244</v>
      </c>
      <c r="E133" s="9" t="s">
        <v>284</v>
      </c>
      <c r="F133" s="10">
        <v>16531.8</v>
      </c>
      <c r="G133" s="10">
        <v>0</v>
      </c>
      <c r="H133" s="10">
        <v>1255</v>
      </c>
      <c r="I133" s="10">
        <v>55</v>
      </c>
      <c r="J133" s="10">
        <v>330</v>
      </c>
      <c r="K133" s="6">
        <f t="shared" si="3"/>
        <v>18171.8</v>
      </c>
    </row>
    <row r="134" spans="1:11" x14ac:dyDescent="0.25">
      <c r="A134" s="7">
        <v>2020</v>
      </c>
      <c r="B134" s="8" t="s">
        <v>246</v>
      </c>
      <c r="C134" s="8" t="s">
        <v>243</v>
      </c>
      <c r="D134" s="8" t="s">
        <v>244</v>
      </c>
      <c r="E134" s="9" t="s">
        <v>284</v>
      </c>
      <c r="F134" s="10">
        <v>16531.8</v>
      </c>
      <c r="G134" s="10">
        <v>0</v>
      </c>
      <c r="H134" s="10">
        <v>1255</v>
      </c>
      <c r="I134" s="10">
        <v>55</v>
      </c>
      <c r="J134" s="10">
        <v>330</v>
      </c>
      <c r="K134" s="6">
        <f t="shared" si="3"/>
        <v>18171.8</v>
      </c>
    </row>
    <row r="135" spans="1:11" x14ac:dyDescent="0.25">
      <c r="A135" s="7">
        <v>2020</v>
      </c>
      <c r="B135" s="8" t="s">
        <v>247</v>
      </c>
      <c r="C135" s="8" t="s">
        <v>243</v>
      </c>
      <c r="D135" s="8" t="s">
        <v>244</v>
      </c>
      <c r="E135" s="9" t="s">
        <v>284</v>
      </c>
      <c r="F135" s="10">
        <v>16531.8</v>
      </c>
      <c r="G135" s="10">
        <v>0</v>
      </c>
      <c r="H135" s="10">
        <v>1255</v>
      </c>
      <c r="I135" s="10">
        <v>55</v>
      </c>
      <c r="J135" s="10">
        <v>330</v>
      </c>
      <c r="K135" s="6">
        <f t="shared" si="3"/>
        <v>18171.8</v>
      </c>
    </row>
    <row r="136" spans="1:11" x14ac:dyDescent="0.25">
      <c r="A136" s="7">
        <v>2020</v>
      </c>
      <c r="B136" s="8" t="s">
        <v>248</v>
      </c>
      <c r="C136" s="8" t="s">
        <v>243</v>
      </c>
      <c r="D136" s="8" t="s">
        <v>244</v>
      </c>
      <c r="E136" s="9" t="s">
        <v>284</v>
      </c>
      <c r="F136" s="10">
        <v>16531.8</v>
      </c>
      <c r="G136" s="10">
        <v>0</v>
      </c>
      <c r="H136" s="10">
        <v>1255</v>
      </c>
      <c r="I136" s="10">
        <v>55</v>
      </c>
      <c r="J136" s="10">
        <v>330</v>
      </c>
      <c r="K136" s="6">
        <f t="shared" si="3"/>
        <v>18171.8</v>
      </c>
    </row>
    <row r="137" spans="1:11" x14ac:dyDescent="0.25">
      <c r="A137" s="7">
        <v>2020</v>
      </c>
      <c r="B137" s="8" t="s">
        <v>249</v>
      </c>
      <c r="C137" s="8" t="s">
        <v>250</v>
      </c>
      <c r="D137" s="8" t="s">
        <v>251</v>
      </c>
      <c r="E137" s="9" t="s">
        <v>252</v>
      </c>
      <c r="F137" s="10">
        <v>19034.75</v>
      </c>
      <c r="G137" s="10">
        <v>0</v>
      </c>
      <c r="H137" s="10">
        <v>1255</v>
      </c>
      <c r="I137" s="10">
        <v>55</v>
      </c>
      <c r="J137" s="10">
        <v>330</v>
      </c>
      <c r="K137" s="6">
        <f t="shared" si="3"/>
        <v>20674.75</v>
      </c>
    </row>
    <row r="138" spans="1:11" x14ac:dyDescent="0.25">
      <c r="A138" s="7">
        <v>2020</v>
      </c>
      <c r="B138" s="8" t="s">
        <v>250</v>
      </c>
      <c r="C138" s="8" t="s">
        <v>250</v>
      </c>
      <c r="D138" s="8" t="s">
        <v>251</v>
      </c>
      <c r="E138" s="9" t="s">
        <v>252</v>
      </c>
      <c r="F138" s="10">
        <v>19034.75</v>
      </c>
      <c r="G138" s="10">
        <v>0</v>
      </c>
      <c r="H138" s="10">
        <v>1255</v>
      </c>
      <c r="I138" s="10">
        <v>55</v>
      </c>
      <c r="J138" s="10">
        <v>330</v>
      </c>
      <c r="K138" s="6">
        <f t="shared" si="3"/>
        <v>20674.75</v>
      </c>
    </row>
    <row r="139" spans="1:11" x14ac:dyDescent="0.25">
      <c r="A139" s="7">
        <v>2020</v>
      </c>
      <c r="B139" s="8" t="s">
        <v>253</v>
      </c>
      <c r="C139" s="8" t="s">
        <v>250</v>
      </c>
      <c r="D139" s="8" t="s">
        <v>251</v>
      </c>
      <c r="E139" s="9" t="s">
        <v>252</v>
      </c>
      <c r="F139" s="10">
        <v>19034.75</v>
      </c>
      <c r="G139" s="10">
        <v>0</v>
      </c>
      <c r="H139" s="10">
        <v>1255</v>
      </c>
      <c r="I139" s="10">
        <v>55</v>
      </c>
      <c r="J139" s="10">
        <v>330</v>
      </c>
      <c r="K139" s="6">
        <f t="shared" si="3"/>
        <v>20674.75</v>
      </c>
    </row>
    <row r="140" spans="1:11" x14ac:dyDescent="0.25">
      <c r="A140" s="7">
        <v>2020</v>
      </c>
      <c r="B140" s="8" t="s">
        <v>254</v>
      </c>
      <c r="C140" s="8"/>
      <c r="D140" s="8" t="s">
        <v>255</v>
      </c>
      <c r="E140" s="9" t="s">
        <v>256</v>
      </c>
      <c r="F140" s="10">
        <v>7226.45</v>
      </c>
      <c r="G140" s="10">
        <v>685.4</v>
      </c>
      <c r="H140" s="10">
        <v>1255</v>
      </c>
      <c r="I140" s="10">
        <v>55</v>
      </c>
      <c r="J140" s="10">
        <v>330</v>
      </c>
      <c r="K140" s="6">
        <f t="shared" si="3"/>
        <v>9551.8499999999985</v>
      </c>
    </row>
    <row r="141" spans="1:11" x14ac:dyDescent="0.25">
      <c r="A141" s="4">
        <v>2019</v>
      </c>
      <c r="B141" s="11" t="s">
        <v>210</v>
      </c>
      <c r="C141" s="11" t="s">
        <v>211</v>
      </c>
      <c r="D141" s="11" t="s">
        <v>212</v>
      </c>
      <c r="E141" s="12" t="s">
        <v>213</v>
      </c>
      <c r="F141" s="15">
        <v>8629.35</v>
      </c>
      <c r="G141" s="5">
        <v>0</v>
      </c>
      <c r="H141" s="5">
        <v>1255</v>
      </c>
      <c r="I141" s="5">
        <v>55</v>
      </c>
      <c r="J141" s="5">
        <v>330</v>
      </c>
      <c r="K141" s="6">
        <f>SUM(F141:J141)</f>
        <v>10269.35</v>
      </c>
    </row>
    <row r="142" spans="1:11" x14ac:dyDescent="0.25">
      <c r="A142" s="4">
        <v>2019</v>
      </c>
      <c r="B142" s="11" t="s">
        <v>214</v>
      </c>
      <c r="C142" s="11" t="s">
        <v>215</v>
      </c>
      <c r="D142" s="11" t="s">
        <v>216</v>
      </c>
      <c r="E142" s="12" t="s">
        <v>217</v>
      </c>
      <c r="F142" s="15">
        <v>9241.6</v>
      </c>
      <c r="G142" s="5">
        <v>0</v>
      </c>
      <c r="H142" s="5">
        <v>1255</v>
      </c>
      <c r="I142" s="5">
        <v>55</v>
      </c>
      <c r="J142" s="5">
        <v>330</v>
      </c>
      <c r="K142" s="6">
        <f t="shared" ref="K142:K204" si="4">SUM(F142:J142)</f>
        <v>10881.6</v>
      </c>
    </row>
    <row r="143" spans="1:11" x14ac:dyDescent="0.25">
      <c r="A143" s="4">
        <v>2019</v>
      </c>
      <c r="B143" s="11" t="s">
        <v>218</v>
      </c>
      <c r="C143" s="11" t="s">
        <v>215</v>
      </c>
      <c r="D143" s="11" t="s">
        <v>216</v>
      </c>
      <c r="E143" s="12" t="s">
        <v>217</v>
      </c>
      <c r="F143" s="15">
        <v>9241.6</v>
      </c>
      <c r="G143" s="5">
        <v>0</v>
      </c>
      <c r="H143" s="5">
        <v>1255</v>
      </c>
      <c r="I143" s="5">
        <v>55</v>
      </c>
      <c r="J143" s="5">
        <v>330</v>
      </c>
      <c r="K143" s="6">
        <f t="shared" si="4"/>
        <v>10881.6</v>
      </c>
    </row>
    <row r="144" spans="1:11" x14ac:dyDescent="0.25">
      <c r="A144" s="4">
        <v>2019</v>
      </c>
      <c r="B144" s="11" t="s">
        <v>219</v>
      </c>
      <c r="C144" s="11" t="s">
        <v>220</v>
      </c>
      <c r="D144" s="11" t="s">
        <v>221</v>
      </c>
      <c r="E144" s="12" t="s">
        <v>280</v>
      </c>
      <c r="F144" s="15">
        <v>10464.200000000001</v>
      </c>
      <c r="G144" s="5">
        <v>0</v>
      </c>
      <c r="H144" s="5">
        <v>1255</v>
      </c>
      <c r="I144" s="5">
        <v>55</v>
      </c>
      <c r="J144" s="5">
        <v>330</v>
      </c>
      <c r="K144" s="6">
        <f t="shared" si="4"/>
        <v>12104.2</v>
      </c>
    </row>
    <row r="145" spans="1:11" x14ac:dyDescent="0.25">
      <c r="A145" s="4">
        <v>2019</v>
      </c>
      <c r="B145" s="11" t="s">
        <v>222</v>
      </c>
      <c r="C145" s="11" t="s">
        <v>220</v>
      </c>
      <c r="D145" s="11" t="s">
        <v>221</v>
      </c>
      <c r="E145" s="12" t="s">
        <v>280</v>
      </c>
      <c r="F145" s="15">
        <v>10464.200000000001</v>
      </c>
      <c r="G145" s="5">
        <v>0</v>
      </c>
      <c r="H145" s="5">
        <v>1255</v>
      </c>
      <c r="I145" s="5">
        <v>55</v>
      </c>
      <c r="J145" s="5">
        <v>330</v>
      </c>
      <c r="K145" s="6">
        <f t="shared" si="4"/>
        <v>12104.2</v>
      </c>
    </row>
    <row r="146" spans="1:11" x14ac:dyDescent="0.25">
      <c r="A146" s="4">
        <v>2019</v>
      </c>
      <c r="B146" s="11" t="s">
        <v>223</v>
      </c>
      <c r="C146" s="11" t="s">
        <v>224</v>
      </c>
      <c r="D146" s="11" t="s">
        <v>225</v>
      </c>
      <c r="E146" s="12" t="s">
        <v>226</v>
      </c>
      <c r="F146" s="15">
        <v>12290.45</v>
      </c>
      <c r="G146" s="5">
        <v>0</v>
      </c>
      <c r="H146" s="5">
        <v>1255</v>
      </c>
      <c r="I146" s="5">
        <v>55</v>
      </c>
      <c r="J146" s="5">
        <v>330</v>
      </c>
      <c r="K146" s="6">
        <f t="shared" si="4"/>
        <v>13930.45</v>
      </c>
    </row>
    <row r="147" spans="1:11" x14ac:dyDescent="0.25">
      <c r="A147" s="4">
        <v>2019</v>
      </c>
      <c r="B147" s="11" t="s">
        <v>227</v>
      </c>
      <c r="C147" s="11" t="s">
        <v>224</v>
      </c>
      <c r="D147" s="11" t="s">
        <v>225</v>
      </c>
      <c r="E147" s="12" t="s">
        <v>226</v>
      </c>
      <c r="F147" s="15">
        <v>12290.45</v>
      </c>
      <c r="G147" s="5">
        <v>0</v>
      </c>
      <c r="H147" s="5">
        <v>1255</v>
      </c>
      <c r="I147" s="5">
        <v>55</v>
      </c>
      <c r="J147" s="5">
        <v>330</v>
      </c>
      <c r="K147" s="6">
        <f t="shared" si="4"/>
        <v>13930.45</v>
      </c>
    </row>
    <row r="148" spans="1:11" x14ac:dyDescent="0.25">
      <c r="A148" s="4">
        <v>2019</v>
      </c>
      <c r="B148" s="11" t="s">
        <v>228</v>
      </c>
      <c r="C148" s="11" t="s">
        <v>224</v>
      </c>
      <c r="D148" s="11" t="s">
        <v>225</v>
      </c>
      <c r="E148" s="12" t="s">
        <v>226</v>
      </c>
      <c r="F148" s="15">
        <v>12290.45</v>
      </c>
      <c r="G148" s="5">
        <v>0</v>
      </c>
      <c r="H148" s="5">
        <v>1255</v>
      </c>
      <c r="I148" s="5">
        <v>55</v>
      </c>
      <c r="J148" s="5">
        <v>330</v>
      </c>
      <c r="K148" s="6">
        <f t="shared" si="4"/>
        <v>13930.45</v>
      </c>
    </row>
    <row r="149" spans="1:11" x14ac:dyDescent="0.25">
      <c r="A149" s="4">
        <v>2019</v>
      </c>
      <c r="B149" s="11" t="s">
        <v>229</v>
      </c>
      <c r="C149" s="11" t="s">
        <v>230</v>
      </c>
      <c r="D149" s="11" t="s">
        <v>231</v>
      </c>
      <c r="E149" s="12" t="s">
        <v>281</v>
      </c>
      <c r="F149" s="15">
        <v>11707.75</v>
      </c>
      <c r="G149" s="5">
        <v>0</v>
      </c>
      <c r="H149" s="5">
        <v>1255</v>
      </c>
      <c r="I149" s="5">
        <v>55</v>
      </c>
      <c r="J149" s="5">
        <v>330</v>
      </c>
      <c r="K149" s="6">
        <f t="shared" si="4"/>
        <v>13347.75</v>
      </c>
    </row>
    <row r="150" spans="1:11" x14ac:dyDescent="0.25">
      <c r="A150" s="4">
        <v>2019</v>
      </c>
      <c r="B150" s="11" t="s">
        <v>232</v>
      </c>
      <c r="C150" s="11" t="s">
        <v>224</v>
      </c>
      <c r="D150" s="11" t="s">
        <v>225</v>
      </c>
      <c r="E150" s="12" t="s">
        <v>226</v>
      </c>
      <c r="F150" s="15">
        <v>12290.45</v>
      </c>
      <c r="G150" s="5">
        <v>0</v>
      </c>
      <c r="H150" s="5">
        <v>1255</v>
      </c>
      <c r="I150" s="5">
        <v>55</v>
      </c>
      <c r="J150" s="5">
        <v>330</v>
      </c>
      <c r="K150" s="6">
        <f t="shared" si="4"/>
        <v>13930.45</v>
      </c>
    </row>
    <row r="151" spans="1:11" x14ac:dyDescent="0.25">
      <c r="A151" s="4">
        <v>2019</v>
      </c>
      <c r="B151" s="11" t="s">
        <v>233</v>
      </c>
      <c r="C151" s="11" t="s">
        <v>234</v>
      </c>
      <c r="D151" s="11" t="s">
        <v>235</v>
      </c>
      <c r="E151" s="12" t="s">
        <v>282</v>
      </c>
      <c r="F151" s="15">
        <v>13389.95</v>
      </c>
      <c r="G151" s="5">
        <v>0</v>
      </c>
      <c r="H151" s="5">
        <v>1255</v>
      </c>
      <c r="I151" s="5">
        <v>55</v>
      </c>
      <c r="J151" s="5">
        <v>330</v>
      </c>
      <c r="K151" s="6">
        <f t="shared" si="4"/>
        <v>15029.95</v>
      </c>
    </row>
    <row r="152" spans="1:11" x14ac:dyDescent="0.25">
      <c r="A152" s="4">
        <v>2019</v>
      </c>
      <c r="B152" s="11" t="s">
        <v>236</v>
      </c>
      <c r="C152" s="11" t="s">
        <v>234</v>
      </c>
      <c r="D152" s="11" t="s">
        <v>235</v>
      </c>
      <c r="E152" s="12" t="s">
        <v>282</v>
      </c>
      <c r="F152" s="15">
        <v>13389.95</v>
      </c>
      <c r="G152" s="5">
        <v>0</v>
      </c>
      <c r="H152" s="5">
        <v>1255</v>
      </c>
      <c r="I152" s="5">
        <v>55</v>
      </c>
      <c r="J152" s="5">
        <v>330</v>
      </c>
      <c r="K152" s="6">
        <f t="shared" si="4"/>
        <v>15029.95</v>
      </c>
    </row>
    <row r="153" spans="1:11" x14ac:dyDescent="0.25">
      <c r="A153" s="4">
        <v>2019</v>
      </c>
      <c r="B153" s="11" t="s">
        <v>237</v>
      </c>
      <c r="C153" s="11" t="s">
        <v>234</v>
      </c>
      <c r="D153" s="11" t="s">
        <v>235</v>
      </c>
      <c r="E153" s="12" t="s">
        <v>282</v>
      </c>
      <c r="F153" s="15">
        <v>13389.95</v>
      </c>
      <c r="G153" s="5">
        <v>0</v>
      </c>
      <c r="H153" s="5">
        <v>1255</v>
      </c>
      <c r="I153" s="5">
        <v>55</v>
      </c>
      <c r="J153" s="5">
        <v>330</v>
      </c>
      <c r="K153" s="6">
        <f t="shared" si="4"/>
        <v>15029.95</v>
      </c>
    </row>
    <row r="154" spans="1:11" x14ac:dyDescent="0.25">
      <c r="A154" s="4">
        <v>2019</v>
      </c>
      <c r="B154" s="11" t="s">
        <v>238</v>
      </c>
      <c r="C154" s="11" t="s">
        <v>239</v>
      </c>
      <c r="D154" s="11" t="s">
        <v>235</v>
      </c>
      <c r="E154" s="12" t="s">
        <v>283</v>
      </c>
      <c r="F154" s="15">
        <v>13389.95</v>
      </c>
      <c r="G154" s="5">
        <v>0</v>
      </c>
      <c r="H154" s="5">
        <v>1255</v>
      </c>
      <c r="I154" s="5">
        <v>55</v>
      </c>
      <c r="J154" s="5">
        <v>330</v>
      </c>
      <c r="K154" s="6">
        <f t="shared" si="4"/>
        <v>15029.95</v>
      </c>
    </row>
    <row r="155" spans="1:11" x14ac:dyDescent="0.25">
      <c r="A155" s="4">
        <v>2019</v>
      </c>
      <c r="B155" s="11" t="s">
        <v>240</v>
      </c>
      <c r="C155" s="11" t="s">
        <v>239</v>
      </c>
      <c r="D155" s="11" t="s">
        <v>235</v>
      </c>
      <c r="E155" s="12" t="s">
        <v>283</v>
      </c>
      <c r="F155" s="15">
        <v>13389.95</v>
      </c>
      <c r="G155" s="5">
        <v>0</v>
      </c>
      <c r="H155" s="5">
        <v>1255</v>
      </c>
      <c r="I155" s="5">
        <v>55</v>
      </c>
      <c r="J155" s="5">
        <v>330</v>
      </c>
      <c r="K155" s="6">
        <f t="shared" si="4"/>
        <v>15029.95</v>
      </c>
    </row>
    <row r="156" spans="1:11" x14ac:dyDescent="0.25">
      <c r="A156" s="4">
        <v>2019</v>
      </c>
      <c r="B156" s="11" t="s">
        <v>241</v>
      </c>
      <c r="C156" s="11" t="s">
        <v>239</v>
      </c>
      <c r="D156" s="11" t="s">
        <v>235</v>
      </c>
      <c r="E156" s="12" t="s">
        <v>283</v>
      </c>
      <c r="F156" s="15">
        <v>13389.95</v>
      </c>
      <c r="G156" s="5">
        <v>0</v>
      </c>
      <c r="H156" s="5">
        <v>1255</v>
      </c>
      <c r="I156" s="5">
        <v>55</v>
      </c>
      <c r="J156" s="5">
        <v>330</v>
      </c>
      <c r="K156" s="6">
        <f t="shared" si="4"/>
        <v>15029.95</v>
      </c>
    </row>
    <row r="157" spans="1:11" x14ac:dyDescent="0.25">
      <c r="A157" s="4">
        <v>2019</v>
      </c>
      <c r="B157" s="11" t="s">
        <v>242</v>
      </c>
      <c r="C157" s="11" t="s">
        <v>243</v>
      </c>
      <c r="D157" s="11" t="s">
        <v>244</v>
      </c>
      <c r="E157" s="12" t="s">
        <v>284</v>
      </c>
      <c r="F157" s="15">
        <v>15988.2</v>
      </c>
      <c r="G157" s="5">
        <v>0</v>
      </c>
      <c r="H157" s="5">
        <v>1255</v>
      </c>
      <c r="I157" s="5">
        <v>55</v>
      </c>
      <c r="J157" s="5">
        <v>330</v>
      </c>
      <c r="K157" s="6">
        <f t="shared" si="4"/>
        <v>17628.2</v>
      </c>
    </row>
    <row r="158" spans="1:11" x14ac:dyDescent="0.25">
      <c r="A158" s="4">
        <v>2019</v>
      </c>
      <c r="B158" s="11" t="s">
        <v>245</v>
      </c>
      <c r="C158" s="11" t="s">
        <v>243</v>
      </c>
      <c r="D158" s="11" t="s">
        <v>244</v>
      </c>
      <c r="E158" s="12" t="s">
        <v>284</v>
      </c>
      <c r="F158" s="15">
        <v>15988.2</v>
      </c>
      <c r="G158" s="5">
        <v>0</v>
      </c>
      <c r="H158" s="5">
        <v>1255</v>
      </c>
      <c r="I158" s="5">
        <v>55</v>
      </c>
      <c r="J158" s="5">
        <v>330</v>
      </c>
      <c r="K158" s="6">
        <f t="shared" si="4"/>
        <v>17628.2</v>
      </c>
    </row>
    <row r="159" spans="1:11" x14ac:dyDescent="0.25">
      <c r="A159" s="4">
        <v>2019</v>
      </c>
      <c r="B159" s="11" t="s">
        <v>246</v>
      </c>
      <c r="C159" s="11" t="s">
        <v>243</v>
      </c>
      <c r="D159" s="11" t="s">
        <v>244</v>
      </c>
      <c r="E159" s="12" t="s">
        <v>284</v>
      </c>
      <c r="F159" s="15">
        <v>15988.2</v>
      </c>
      <c r="G159" s="5">
        <v>0</v>
      </c>
      <c r="H159" s="5">
        <v>1255</v>
      </c>
      <c r="I159" s="5">
        <v>55</v>
      </c>
      <c r="J159" s="5">
        <v>330</v>
      </c>
      <c r="K159" s="6">
        <f t="shared" si="4"/>
        <v>17628.2</v>
      </c>
    </row>
    <row r="160" spans="1:11" x14ac:dyDescent="0.25">
      <c r="A160" s="4">
        <v>2019</v>
      </c>
      <c r="B160" s="11" t="s">
        <v>247</v>
      </c>
      <c r="C160" s="11" t="s">
        <v>243</v>
      </c>
      <c r="D160" s="11" t="s">
        <v>244</v>
      </c>
      <c r="E160" s="12" t="s">
        <v>284</v>
      </c>
      <c r="F160" s="15">
        <v>15988.2</v>
      </c>
      <c r="G160" s="5">
        <v>0</v>
      </c>
      <c r="H160" s="5">
        <v>1255</v>
      </c>
      <c r="I160" s="5">
        <v>55</v>
      </c>
      <c r="J160" s="5">
        <v>330</v>
      </c>
      <c r="K160" s="6">
        <f t="shared" si="4"/>
        <v>17628.2</v>
      </c>
    </row>
    <row r="161" spans="1:11" x14ac:dyDescent="0.25">
      <c r="A161" s="4">
        <v>2019</v>
      </c>
      <c r="B161" s="11" t="s">
        <v>248</v>
      </c>
      <c r="C161" s="11" t="s">
        <v>243</v>
      </c>
      <c r="D161" s="11" t="s">
        <v>244</v>
      </c>
      <c r="E161" s="12" t="s">
        <v>284</v>
      </c>
      <c r="F161" s="15">
        <v>15988.2</v>
      </c>
      <c r="G161" s="5">
        <v>0</v>
      </c>
      <c r="H161" s="5">
        <v>1255</v>
      </c>
      <c r="I161" s="5">
        <v>55</v>
      </c>
      <c r="J161" s="5">
        <v>330</v>
      </c>
      <c r="K161" s="6">
        <f t="shared" si="4"/>
        <v>17628.2</v>
      </c>
    </row>
    <row r="162" spans="1:11" x14ac:dyDescent="0.25">
      <c r="A162" s="4">
        <v>2019</v>
      </c>
      <c r="B162" s="11" t="s">
        <v>249</v>
      </c>
      <c r="C162" s="11" t="s">
        <v>250</v>
      </c>
      <c r="D162" s="11" t="s">
        <v>251</v>
      </c>
      <c r="E162" s="12" t="s">
        <v>252</v>
      </c>
      <c r="F162" s="15">
        <v>18408.849999999999</v>
      </c>
      <c r="G162" s="5">
        <v>0</v>
      </c>
      <c r="H162" s="5">
        <v>1255</v>
      </c>
      <c r="I162" s="5">
        <v>55</v>
      </c>
      <c r="J162" s="5">
        <v>330</v>
      </c>
      <c r="K162" s="6">
        <f t="shared" si="4"/>
        <v>20048.849999999999</v>
      </c>
    </row>
    <row r="163" spans="1:11" x14ac:dyDescent="0.25">
      <c r="A163" s="4">
        <v>2019</v>
      </c>
      <c r="B163" s="11" t="s">
        <v>250</v>
      </c>
      <c r="C163" s="11" t="s">
        <v>250</v>
      </c>
      <c r="D163" s="11" t="s">
        <v>251</v>
      </c>
      <c r="E163" s="12" t="s">
        <v>252</v>
      </c>
      <c r="F163" s="15">
        <v>18408.849999999999</v>
      </c>
      <c r="G163" s="5">
        <v>0</v>
      </c>
      <c r="H163" s="5">
        <v>1255</v>
      </c>
      <c r="I163" s="5">
        <v>55</v>
      </c>
      <c r="J163" s="5">
        <v>330</v>
      </c>
      <c r="K163" s="6">
        <f t="shared" si="4"/>
        <v>20048.849999999999</v>
      </c>
    </row>
    <row r="164" spans="1:11" x14ac:dyDescent="0.25">
      <c r="A164" s="4">
        <v>2019</v>
      </c>
      <c r="B164" s="11" t="s">
        <v>253</v>
      </c>
      <c r="C164" s="11" t="s">
        <v>250</v>
      </c>
      <c r="D164" s="11" t="s">
        <v>251</v>
      </c>
      <c r="E164" s="12" t="s">
        <v>252</v>
      </c>
      <c r="F164" s="15">
        <v>18408.849999999999</v>
      </c>
      <c r="G164" s="5">
        <v>0</v>
      </c>
      <c r="H164" s="5">
        <v>1255</v>
      </c>
      <c r="I164" s="5">
        <v>55</v>
      </c>
      <c r="J164" s="5">
        <v>330</v>
      </c>
      <c r="K164" s="6">
        <f t="shared" si="4"/>
        <v>20048.849999999999</v>
      </c>
    </row>
    <row r="165" spans="1:11" x14ac:dyDescent="0.25">
      <c r="A165" s="4">
        <v>2019</v>
      </c>
      <c r="B165" s="11" t="s">
        <v>254</v>
      </c>
      <c r="C165" s="11"/>
      <c r="D165" s="11" t="s">
        <v>255</v>
      </c>
      <c r="E165" s="12" t="s">
        <v>256</v>
      </c>
      <c r="F165" s="5">
        <v>7226.45</v>
      </c>
      <c r="G165" s="5">
        <v>685.4</v>
      </c>
      <c r="H165" s="5">
        <v>1255</v>
      </c>
      <c r="I165" s="5">
        <v>55</v>
      </c>
      <c r="J165" s="5">
        <v>330</v>
      </c>
      <c r="K165" s="6">
        <f t="shared" si="4"/>
        <v>9551.8499999999985</v>
      </c>
    </row>
    <row r="166" spans="1:11" x14ac:dyDescent="0.25">
      <c r="A166" s="7">
        <v>2018</v>
      </c>
      <c r="B166" s="8" t="s">
        <v>210</v>
      </c>
      <c r="C166" s="8" t="s">
        <v>211</v>
      </c>
      <c r="D166" s="8" t="s">
        <v>212</v>
      </c>
      <c r="E166" s="9" t="s">
        <v>213</v>
      </c>
      <c r="F166" s="10">
        <v>8069.05</v>
      </c>
      <c r="G166" s="10">
        <v>0</v>
      </c>
      <c r="H166" s="10">
        <v>1255</v>
      </c>
      <c r="I166" s="10">
        <v>55</v>
      </c>
      <c r="J166" s="10">
        <v>330</v>
      </c>
      <c r="K166" s="6">
        <f t="shared" si="4"/>
        <v>9709.0499999999993</v>
      </c>
    </row>
    <row r="167" spans="1:11" x14ac:dyDescent="0.25">
      <c r="A167" s="7">
        <v>2018</v>
      </c>
      <c r="B167" s="8" t="s">
        <v>214</v>
      </c>
      <c r="C167" s="8" t="s">
        <v>215</v>
      </c>
      <c r="D167" s="8" t="s">
        <v>216</v>
      </c>
      <c r="E167" s="9" t="s">
        <v>217</v>
      </c>
      <c r="F167" s="10">
        <v>8646.0499999999993</v>
      </c>
      <c r="G167" s="10">
        <v>0</v>
      </c>
      <c r="H167" s="10">
        <v>1255</v>
      </c>
      <c r="I167" s="10">
        <v>55</v>
      </c>
      <c r="J167" s="10">
        <v>330</v>
      </c>
      <c r="K167" s="6">
        <f t="shared" si="4"/>
        <v>10286.049999999999</v>
      </c>
    </row>
    <row r="168" spans="1:11" x14ac:dyDescent="0.25">
      <c r="A168" s="7">
        <v>2018</v>
      </c>
      <c r="B168" s="8" t="s">
        <v>218</v>
      </c>
      <c r="C168" s="8" t="s">
        <v>215</v>
      </c>
      <c r="D168" s="8" t="s">
        <v>216</v>
      </c>
      <c r="E168" s="9" t="s">
        <v>217</v>
      </c>
      <c r="F168" s="10">
        <v>8646.9500000000007</v>
      </c>
      <c r="G168" s="10">
        <v>0</v>
      </c>
      <c r="H168" s="10">
        <v>1255</v>
      </c>
      <c r="I168" s="10">
        <v>55</v>
      </c>
      <c r="J168" s="10">
        <v>330</v>
      </c>
      <c r="K168" s="6">
        <f t="shared" si="4"/>
        <v>10286.950000000001</v>
      </c>
    </row>
    <row r="169" spans="1:11" x14ac:dyDescent="0.25">
      <c r="A169" s="7">
        <v>2018</v>
      </c>
      <c r="B169" s="8" t="s">
        <v>219</v>
      </c>
      <c r="C169" s="8" t="s">
        <v>220</v>
      </c>
      <c r="D169" s="8" t="s">
        <v>221</v>
      </c>
      <c r="E169" s="9" t="s">
        <v>280</v>
      </c>
      <c r="F169" s="10">
        <v>9800.85</v>
      </c>
      <c r="G169" s="10">
        <v>0</v>
      </c>
      <c r="H169" s="10">
        <v>1255</v>
      </c>
      <c r="I169" s="10">
        <v>55</v>
      </c>
      <c r="J169" s="10">
        <v>330</v>
      </c>
      <c r="K169" s="6">
        <f t="shared" si="4"/>
        <v>11440.85</v>
      </c>
    </row>
    <row r="170" spans="1:11" x14ac:dyDescent="0.25">
      <c r="A170" s="7">
        <v>2018</v>
      </c>
      <c r="B170" s="8" t="s">
        <v>222</v>
      </c>
      <c r="C170" s="8" t="s">
        <v>220</v>
      </c>
      <c r="D170" s="8" t="s">
        <v>221</v>
      </c>
      <c r="E170" s="9" t="s">
        <v>280</v>
      </c>
      <c r="F170" s="10">
        <v>9800.85</v>
      </c>
      <c r="G170" s="10">
        <v>0</v>
      </c>
      <c r="H170" s="10">
        <v>1255</v>
      </c>
      <c r="I170" s="10">
        <v>55</v>
      </c>
      <c r="J170" s="10">
        <v>330</v>
      </c>
      <c r="K170" s="6">
        <f t="shared" si="4"/>
        <v>11440.85</v>
      </c>
    </row>
    <row r="171" spans="1:11" x14ac:dyDescent="0.25">
      <c r="A171" s="7">
        <v>2018</v>
      </c>
      <c r="B171" s="8" t="s">
        <v>223</v>
      </c>
      <c r="C171" s="8" t="s">
        <v>224</v>
      </c>
      <c r="D171" s="8" t="s">
        <v>225</v>
      </c>
      <c r="E171" s="9" t="s">
        <v>226</v>
      </c>
      <c r="F171" s="10">
        <v>11519.55</v>
      </c>
      <c r="G171" s="10">
        <v>0</v>
      </c>
      <c r="H171" s="10">
        <v>1255</v>
      </c>
      <c r="I171" s="10">
        <v>55</v>
      </c>
      <c r="J171" s="10">
        <v>330</v>
      </c>
      <c r="K171" s="6">
        <f t="shared" si="4"/>
        <v>13159.55</v>
      </c>
    </row>
    <row r="172" spans="1:11" x14ac:dyDescent="0.25">
      <c r="A172" s="7">
        <v>2018</v>
      </c>
      <c r="B172" s="8" t="s">
        <v>227</v>
      </c>
      <c r="C172" s="8" t="s">
        <v>224</v>
      </c>
      <c r="D172" s="8" t="s">
        <v>225</v>
      </c>
      <c r="E172" s="9" t="s">
        <v>226</v>
      </c>
      <c r="F172" s="10">
        <v>11519.55</v>
      </c>
      <c r="G172" s="10">
        <v>0</v>
      </c>
      <c r="H172" s="10">
        <v>1255</v>
      </c>
      <c r="I172" s="10">
        <v>55</v>
      </c>
      <c r="J172" s="10">
        <v>330</v>
      </c>
      <c r="K172" s="6">
        <f t="shared" si="4"/>
        <v>13159.55</v>
      </c>
    </row>
    <row r="173" spans="1:11" x14ac:dyDescent="0.25">
      <c r="A173" s="7">
        <v>2018</v>
      </c>
      <c r="B173" s="8" t="s">
        <v>228</v>
      </c>
      <c r="C173" s="8" t="s">
        <v>224</v>
      </c>
      <c r="D173" s="8" t="s">
        <v>225</v>
      </c>
      <c r="E173" s="9" t="s">
        <v>226</v>
      </c>
      <c r="F173" s="10">
        <v>11519.55</v>
      </c>
      <c r="G173" s="10">
        <v>0</v>
      </c>
      <c r="H173" s="10">
        <v>1255</v>
      </c>
      <c r="I173" s="10">
        <v>55</v>
      </c>
      <c r="J173" s="10">
        <v>330</v>
      </c>
      <c r="K173" s="6">
        <f t="shared" si="4"/>
        <v>13159.55</v>
      </c>
    </row>
    <row r="174" spans="1:11" x14ac:dyDescent="0.25">
      <c r="A174" s="7">
        <v>2018</v>
      </c>
      <c r="B174" s="8" t="s">
        <v>229</v>
      </c>
      <c r="C174" s="8" t="s">
        <v>230</v>
      </c>
      <c r="D174" s="8" t="s">
        <v>231</v>
      </c>
      <c r="E174" s="9" t="s">
        <v>281</v>
      </c>
      <c r="F174" s="10">
        <v>10955.75</v>
      </c>
      <c r="G174" s="10">
        <v>0</v>
      </c>
      <c r="H174" s="10">
        <v>1255</v>
      </c>
      <c r="I174" s="10">
        <v>55</v>
      </c>
      <c r="J174" s="10">
        <v>330</v>
      </c>
      <c r="K174" s="6">
        <f t="shared" si="4"/>
        <v>12595.75</v>
      </c>
    </row>
    <row r="175" spans="1:11" x14ac:dyDescent="0.25">
      <c r="A175" s="7">
        <v>2018</v>
      </c>
      <c r="B175" s="8" t="s">
        <v>232</v>
      </c>
      <c r="C175" s="8" t="s">
        <v>224</v>
      </c>
      <c r="D175" s="8" t="s">
        <v>225</v>
      </c>
      <c r="E175" s="9" t="s">
        <v>226</v>
      </c>
      <c r="F175" s="10">
        <v>11519.55</v>
      </c>
      <c r="G175" s="10">
        <v>0</v>
      </c>
      <c r="H175" s="10">
        <v>1255</v>
      </c>
      <c r="I175" s="10">
        <v>55</v>
      </c>
      <c r="J175" s="10">
        <v>330</v>
      </c>
      <c r="K175" s="6">
        <f t="shared" si="4"/>
        <v>13159.55</v>
      </c>
    </row>
    <row r="176" spans="1:11" x14ac:dyDescent="0.25">
      <c r="A176" s="7">
        <v>2018</v>
      </c>
      <c r="B176" s="8" t="s">
        <v>233</v>
      </c>
      <c r="C176" s="8" t="s">
        <v>234</v>
      </c>
      <c r="D176" s="8" t="s">
        <v>235</v>
      </c>
      <c r="E176" s="9" t="s">
        <v>282</v>
      </c>
      <c r="F176" s="10">
        <v>12675.35</v>
      </c>
      <c r="G176" s="10">
        <v>0</v>
      </c>
      <c r="H176" s="10">
        <v>1255</v>
      </c>
      <c r="I176" s="10">
        <v>55</v>
      </c>
      <c r="J176" s="10">
        <v>330</v>
      </c>
      <c r="K176" s="6">
        <f t="shared" si="4"/>
        <v>14315.35</v>
      </c>
    </row>
    <row r="177" spans="1:11" x14ac:dyDescent="0.25">
      <c r="A177" s="7">
        <v>2018</v>
      </c>
      <c r="B177" s="8" t="s">
        <v>236</v>
      </c>
      <c r="C177" s="8" t="s">
        <v>234</v>
      </c>
      <c r="D177" s="8" t="s">
        <v>235</v>
      </c>
      <c r="E177" s="9" t="s">
        <v>282</v>
      </c>
      <c r="F177" s="10">
        <v>12675.35</v>
      </c>
      <c r="G177" s="10">
        <v>0</v>
      </c>
      <c r="H177" s="10">
        <v>1255</v>
      </c>
      <c r="I177" s="10">
        <v>55</v>
      </c>
      <c r="J177" s="10">
        <v>330</v>
      </c>
      <c r="K177" s="6">
        <f t="shared" si="4"/>
        <v>14315.35</v>
      </c>
    </row>
    <row r="178" spans="1:11" x14ac:dyDescent="0.25">
      <c r="A178" s="7">
        <v>2018</v>
      </c>
      <c r="B178" s="8" t="s">
        <v>237</v>
      </c>
      <c r="C178" s="8" t="s">
        <v>234</v>
      </c>
      <c r="D178" s="8" t="s">
        <v>235</v>
      </c>
      <c r="E178" s="9" t="s">
        <v>282</v>
      </c>
      <c r="F178" s="10">
        <v>12675.35</v>
      </c>
      <c r="G178" s="10">
        <v>0</v>
      </c>
      <c r="H178" s="10">
        <v>1255</v>
      </c>
      <c r="I178" s="10">
        <v>55</v>
      </c>
      <c r="J178" s="10">
        <v>330</v>
      </c>
      <c r="K178" s="6">
        <f t="shared" si="4"/>
        <v>14315.35</v>
      </c>
    </row>
    <row r="179" spans="1:11" x14ac:dyDescent="0.25">
      <c r="A179" s="7">
        <v>2018</v>
      </c>
      <c r="B179" s="8" t="s">
        <v>238</v>
      </c>
      <c r="C179" s="8" t="s">
        <v>239</v>
      </c>
      <c r="D179" s="8" t="s">
        <v>235</v>
      </c>
      <c r="E179" s="9" t="s">
        <v>283</v>
      </c>
      <c r="F179" s="10">
        <v>12675.35</v>
      </c>
      <c r="G179" s="10">
        <v>0</v>
      </c>
      <c r="H179" s="10">
        <v>1255</v>
      </c>
      <c r="I179" s="10">
        <v>55</v>
      </c>
      <c r="J179" s="10">
        <v>330</v>
      </c>
      <c r="K179" s="6">
        <f t="shared" si="4"/>
        <v>14315.35</v>
      </c>
    </row>
    <row r="180" spans="1:11" x14ac:dyDescent="0.25">
      <c r="A180" s="7">
        <v>2018</v>
      </c>
      <c r="B180" s="8" t="s">
        <v>240</v>
      </c>
      <c r="C180" s="8" t="s">
        <v>239</v>
      </c>
      <c r="D180" s="8" t="s">
        <v>235</v>
      </c>
      <c r="E180" s="9" t="s">
        <v>283</v>
      </c>
      <c r="F180" s="10">
        <v>12675.35</v>
      </c>
      <c r="G180" s="10">
        <v>0</v>
      </c>
      <c r="H180" s="10">
        <v>1255</v>
      </c>
      <c r="I180" s="10">
        <v>55</v>
      </c>
      <c r="J180" s="10">
        <v>330</v>
      </c>
      <c r="K180" s="6">
        <f t="shared" si="4"/>
        <v>14315.35</v>
      </c>
    </row>
    <row r="181" spans="1:11" x14ac:dyDescent="0.25">
      <c r="A181" s="7">
        <v>2018</v>
      </c>
      <c r="B181" s="8" t="s">
        <v>241</v>
      </c>
      <c r="C181" s="8" t="s">
        <v>239</v>
      </c>
      <c r="D181" s="8" t="s">
        <v>235</v>
      </c>
      <c r="E181" s="9" t="s">
        <v>283</v>
      </c>
      <c r="F181" s="10">
        <v>12675.35</v>
      </c>
      <c r="G181" s="10">
        <v>0</v>
      </c>
      <c r="H181" s="10">
        <v>1255</v>
      </c>
      <c r="I181" s="10">
        <v>55</v>
      </c>
      <c r="J181" s="10">
        <v>330</v>
      </c>
      <c r="K181" s="6">
        <f t="shared" si="4"/>
        <v>14315.35</v>
      </c>
    </row>
    <row r="182" spans="1:11" x14ac:dyDescent="0.25">
      <c r="A182" s="7">
        <v>2018</v>
      </c>
      <c r="B182" s="8" t="s">
        <v>242</v>
      </c>
      <c r="C182" s="8" t="s">
        <v>243</v>
      </c>
      <c r="D182" s="8" t="s">
        <v>244</v>
      </c>
      <c r="E182" s="9" t="s">
        <v>284</v>
      </c>
      <c r="F182" s="10">
        <v>15141</v>
      </c>
      <c r="G182" s="10">
        <v>0</v>
      </c>
      <c r="H182" s="10">
        <v>1255</v>
      </c>
      <c r="I182" s="10">
        <v>55</v>
      </c>
      <c r="J182" s="10">
        <v>330</v>
      </c>
      <c r="K182" s="6">
        <f t="shared" si="4"/>
        <v>16781</v>
      </c>
    </row>
    <row r="183" spans="1:11" x14ac:dyDescent="0.25">
      <c r="A183" s="7">
        <v>2018</v>
      </c>
      <c r="B183" s="8" t="s">
        <v>245</v>
      </c>
      <c r="C183" s="8" t="s">
        <v>243</v>
      </c>
      <c r="D183" s="8" t="s">
        <v>244</v>
      </c>
      <c r="E183" s="9" t="s">
        <v>284</v>
      </c>
      <c r="F183" s="10">
        <v>15141</v>
      </c>
      <c r="G183" s="10">
        <v>0</v>
      </c>
      <c r="H183" s="10">
        <v>1255</v>
      </c>
      <c r="I183" s="10">
        <v>55</v>
      </c>
      <c r="J183" s="10">
        <v>330</v>
      </c>
      <c r="K183" s="6">
        <f t="shared" si="4"/>
        <v>16781</v>
      </c>
    </row>
    <row r="184" spans="1:11" x14ac:dyDescent="0.25">
      <c r="A184" s="7">
        <v>2018</v>
      </c>
      <c r="B184" s="8" t="s">
        <v>246</v>
      </c>
      <c r="C184" s="8" t="s">
        <v>243</v>
      </c>
      <c r="D184" s="8" t="s">
        <v>244</v>
      </c>
      <c r="E184" s="9" t="s">
        <v>284</v>
      </c>
      <c r="F184" s="10">
        <v>15141</v>
      </c>
      <c r="G184" s="10">
        <v>0</v>
      </c>
      <c r="H184" s="10">
        <v>1255</v>
      </c>
      <c r="I184" s="10">
        <v>55</v>
      </c>
      <c r="J184" s="10">
        <v>330</v>
      </c>
      <c r="K184" s="6">
        <f t="shared" si="4"/>
        <v>16781</v>
      </c>
    </row>
    <row r="185" spans="1:11" x14ac:dyDescent="0.25">
      <c r="A185" s="7">
        <v>2018</v>
      </c>
      <c r="B185" s="8" t="s">
        <v>247</v>
      </c>
      <c r="C185" s="8" t="s">
        <v>243</v>
      </c>
      <c r="D185" s="8" t="s">
        <v>244</v>
      </c>
      <c r="E185" s="9" t="s">
        <v>284</v>
      </c>
      <c r="F185" s="10">
        <v>15141</v>
      </c>
      <c r="G185" s="10">
        <v>0</v>
      </c>
      <c r="H185" s="10">
        <v>1255</v>
      </c>
      <c r="I185" s="10">
        <v>55</v>
      </c>
      <c r="J185" s="10">
        <v>330</v>
      </c>
      <c r="K185" s="6">
        <f t="shared" si="4"/>
        <v>16781</v>
      </c>
    </row>
    <row r="186" spans="1:11" x14ac:dyDescent="0.25">
      <c r="A186" s="7">
        <v>2018</v>
      </c>
      <c r="B186" s="8" t="s">
        <v>248</v>
      </c>
      <c r="C186" s="8" t="s">
        <v>243</v>
      </c>
      <c r="D186" s="8" t="s">
        <v>244</v>
      </c>
      <c r="E186" s="9" t="s">
        <v>284</v>
      </c>
      <c r="F186" s="10">
        <v>15141</v>
      </c>
      <c r="G186" s="10">
        <v>0</v>
      </c>
      <c r="H186" s="10">
        <v>1255</v>
      </c>
      <c r="I186" s="10">
        <v>55</v>
      </c>
      <c r="J186" s="10">
        <v>330</v>
      </c>
      <c r="K186" s="6">
        <f t="shared" si="4"/>
        <v>16781</v>
      </c>
    </row>
    <row r="187" spans="1:11" x14ac:dyDescent="0.25">
      <c r="A187" s="7">
        <v>2018</v>
      </c>
      <c r="B187" s="8" t="s">
        <v>249</v>
      </c>
      <c r="C187" s="8" t="s">
        <v>250</v>
      </c>
      <c r="D187" s="8" t="s">
        <v>251</v>
      </c>
      <c r="E187" s="9" t="s">
        <v>252</v>
      </c>
      <c r="F187" s="10">
        <v>17434.8</v>
      </c>
      <c r="G187" s="10">
        <v>0</v>
      </c>
      <c r="H187" s="10">
        <v>1255</v>
      </c>
      <c r="I187" s="10">
        <v>55</v>
      </c>
      <c r="J187" s="10">
        <v>330</v>
      </c>
      <c r="K187" s="6">
        <f t="shared" si="4"/>
        <v>19074.8</v>
      </c>
    </row>
    <row r="188" spans="1:11" x14ac:dyDescent="0.25">
      <c r="A188" s="7">
        <v>2018</v>
      </c>
      <c r="B188" s="8" t="s">
        <v>250</v>
      </c>
      <c r="C188" s="8" t="s">
        <v>250</v>
      </c>
      <c r="D188" s="8" t="s">
        <v>251</v>
      </c>
      <c r="E188" s="9" t="s">
        <v>252</v>
      </c>
      <c r="F188" s="10">
        <v>17434.8</v>
      </c>
      <c r="G188" s="10">
        <v>0</v>
      </c>
      <c r="H188" s="10">
        <v>1255</v>
      </c>
      <c r="I188" s="10">
        <v>55</v>
      </c>
      <c r="J188" s="10">
        <v>330</v>
      </c>
      <c r="K188" s="6">
        <f t="shared" si="4"/>
        <v>19074.8</v>
      </c>
    </row>
    <row r="189" spans="1:11" x14ac:dyDescent="0.25">
      <c r="A189" s="7">
        <v>2018</v>
      </c>
      <c r="B189" s="8" t="s">
        <v>253</v>
      </c>
      <c r="C189" s="8" t="s">
        <v>250</v>
      </c>
      <c r="D189" s="8" t="s">
        <v>251</v>
      </c>
      <c r="E189" s="9" t="s">
        <v>252</v>
      </c>
      <c r="F189" s="10">
        <v>17434.8</v>
      </c>
      <c r="G189" s="10">
        <v>0</v>
      </c>
      <c r="H189" s="10">
        <v>1255</v>
      </c>
      <c r="I189" s="10">
        <v>55</v>
      </c>
      <c r="J189" s="10">
        <v>330</v>
      </c>
      <c r="K189" s="6">
        <f t="shared" si="4"/>
        <v>19074.8</v>
      </c>
    </row>
    <row r="190" spans="1:11" x14ac:dyDescent="0.25">
      <c r="A190" s="7">
        <v>2018</v>
      </c>
      <c r="B190" s="8" t="s">
        <v>254</v>
      </c>
      <c r="C190" s="8"/>
      <c r="D190" s="8" t="s">
        <v>255</v>
      </c>
      <c r="E190" s="9" t="s">
        <v>256</v>
      </c>
      <c r="F190" s="10">
        <v>6992.2</v>
      </c>
      <c r="G190" s="10">
        <v>430.95</v>
      </c>
      <c r="H190" s="10">
        <v>1255</v>
      </c>
      <c r="I190" s="10">
        <v>55</v>
      </c>
      <c r="J190" s="10">
        <v>330</v>
      </c>
      <c r="K190" s="6">
        <f t="shared" si="4"/>
        <v>9063.15</v>
      </c>
    </row>
    <row r="191" spans="1:11" x14ac:dyDescent="0.25">
      <c r="A191" s="4">
        <v>2017</v>
      </c>
      <c r="B191" s="11" t="s">
        <v>210</v>
      </c>
      <c r="C191" s="11" t="s">
        <v>211</v>
      </c>
      <c r="D191" s="11" t="s">
        <v>212</v>
      </c>
      <c r="E191" s="12" t="s">
        <v>213</v>
      </c>
      <c r="F191" s="5">
        <v>7803.7</v>
      </c>
      <c r="G191" s="5">
        <v>0</v>
      </c>
      <c r="H191" s="5">
        <v>1255</v>
      </c>
      <c r="I191" s="5">
        <v>55</v>
      </c>
      <c r="J191" s="5">
        <v>330</v>
      </c>
      <c r="K191" s="6">
        <f t="shared" si="4"/>
        <v>9443.7000000000007</v>
      </c>
    </row>
    <row r="192" spans="1:11" x14ac:dyDescent="0.25">
      <c r="A192" s="4">
        <v>2017</v>
      </c>
      <c r="B192" s="11" t="s">
        <v>214</v>
      </c>
      <c r="C192" s="11" t="s">
        <v>215</v>
      </c>
      <c r="D192" s="11" t="s">
        <v>216</v>
      </c>
      <c r="E192" s="12" t="s">
        <v>217</v>
      </c>
      <c r="F192" s="5">
        <v>8362.6</v>
      </c>
      <c r="G192" s="5">
        <v>0</v>
      </c>
      <c r="H192" s="5">
        <v>1255</v>
      </c>
      <c r="I192" s="5">
        <v>55</v>
      </c>
      <c r="J192" s="5">
        <v>330</v>
      </c>
      <c r="K192" s="6">
        <f t="shared" si="4"/>
        <v>10002.6</v>
      </c>
    </row>
    <row r="193" spans="1:11" x14ac:dyDescent="0.25">
      <c r="A193" s="4">
        <v>2017</v>
      </c>
      <c r="B193" s="11" t="s">
        <v>218</v>
      </c>
      <c r="C193" s="11" t="s">
        <v>215</v>
      </c>
      <c r="D193" s="11" t="s">
        <v>216</v>
      </c>
      <c r="E193" s="12" t="s">
        <v>217</v>
      </c>
      <c r="F193" s="5">
        <v>8362.6</v>
      </c>
      <c r="G193" s="5">
        <v>0</v>
      </c>
      <c r="H193" s="5">
        <v>1255</v>
      </c>
      <c r="I193" s="5">
        <v>55</v>
      </c>
      <c r="J193" s="5">
        <v>330</v>
      </c>
      <c r="K193" s="6">
        <f t="shared" si="4"/>
        <v>10002.6</v>
      </c>
    </row>
    <row r="194" spans="1:11" x14ac:dyDescent="0.25">
      <c r="A194" s="4">
        <v>2017</v>
      </c>
      <c r="B194" s="11" t="s">
        <v>219</v>
      </c>
      <c r="C194" s="11" t="s">
        <v>220</v>
      </c>
      <c r="D194" s="11" t="s">
        <v>221</v>
      </c>
      <c r="E194" s="12" t="s">
        <v>280</v>
      </c>
      <c r="F194" s="5">
        <v>9478.6</v>
      </c>
      <c r="G194" s="5">
        <v>0</v>
      </c>
      <c r="H194" s="5">
        <v>1255</v>
      </c>
      <c r="I194" s="5">
        <v>55</v>
      </c>
      <c r="J194" s="5">
        <v>330</v>
      </c>
      <c r="K194" s="6">
        <f t="shared" si="4"/>
        <v>11118.6</v>
      </c>
    </row>
    <row r="195" spans="1:11" x14ac:dyDescent="0.25">
      <c r="A195" s="4">
        <v>2017</v>
      </c>
      <c r="B195" s="11" t="s">
        <v>222</v>
      </c>
      <c r="C195" s="11" t="s">
        <v>220</v>
      </c>
      <c r="D195" s="11" t="s">
        <v>221</v>
      </c>
      <c r="E195" s="12" t="s">
        <v>280</v>
      </c>
      <c r="F195" s="5">
        <v>9478.6</v>
      </c>
      <c r="G195" s="5">
        <v>0</v>
      </c>
      <c r="H195" s="5">
        <v>1255</v>
      </c>
      <c r="I195" s="5">
        <v>55</v>
      </c>
      <c r="J195" s="5">
        <v>330</v>
      </c>
      <c r="K195" s="6">
        <f t="shared" si="4"/>
        <v>11118.6</v>
      </c>
    </row>
    <row r="196" spans="1:11" x14ac:dyDescent="0.25">
      <c r="A196" s="4">
        <v>2017</v>
      </c>
      <c r="B196" s="11" t="s">
        <v>223</v>
      </c>
      <c r="C196" s="11" t="s">
        <v>224</v>
      </c>
      <c r="D196" s="11" t="s">
        <v>225</v>
      </c>
      <c r="E196" s="12" t="s">
        <v>226</v>
      </c>
      <c r="F196" s="5">
        <v>10677.7</v>
      </c>
      <c r="G196" s="5">
        <v>0</v>
      </c>
      <c r="H196" s="5">
        <v>1255</v>
      </c>
      <c r="I196" s="5">
        <v>55</v>
      </c>
      <c r="J196" s="5">
        <v>330</v>
      </c>
      <c r="K196" s="6">
        <f t="shared" si="4"/>
        <v>12317.7</v>
      </c>
    </row>
    <row r="197" spans="1:11" x14ac:dyDescent="0.25">
      <c r="A197" s="4">
        <v>2017</v>
      </c>
      <c r="B197" s="11" t="s">
        <v>227</v>
      </c>
      <c r="C197" s="11" t="s">
        <v>224</v>
      </c>
      <c r="D197" s="11" t="s">
        <v>225</v>
      </c>
      <c r="E197" s="12" t="s">
        <v>226</v>
      </c>
      <c r="F197" s="5">
        <v>10677.7</v>
      </c>
      <c r="G197" s="5">
        <v>0</v>
      </c>
      <c r="H197" s="5">
        <v>1255</v>
      </c>
      <c r="I197" s="5">
        <v>55</v>
      </c>
      <c r="J197" s="5">
        <v>330</v>
      </c>
      <c r="K197" s="6">
        <f t="shared" si="4"/>
        <v>12317.7</v>
      </c>
    </row>
    <row r="198" spans="1:11" x14ac:dyDescent="0.25">
      <c r="A198" s="4">
        <v>2017</v>
      </c>
      <c r="B198" s="11" t="s">
        <v>228</v>
      </c>
      <c r="C198" s="11" t="s">
        <v>224</v>
      </c>
      <c r="D198" s="11" t="s">
        <v>225</v>
      </c>
      <c r="E198" s="12" t="s">
        <v>226</v>
      </c>
      <c r="F198" s="5">
        <v>10677.7</v>
      </c>
      <c r="G198" s="5">
        <v>0</v>
      </c>
      <c r="H198" s="5">
        <v>1255</v>
      </c>
      <c r="I198" s="5">
        <v>55</v>
      </c>
      <c r="J198" s="5">
        <v>330</v>
      </c>
      <c r="K198" s="6">
        <f t="shared" si="4"/>
        <v>12317.7</v>
      </c>
    </row>
    <row r="199" spans="1:11" x14ac:dyDescent="0.25">
      <c r="A199" s="4">
        <v>2017</v>
      </c>
      <c r="B199" s="11" t="s">
        <v>229</v>
      </c>
      <c r="C199" s="11" t="s">
        <v>230</v>
      </c>
      <c r="D199" s="11" t="s">
        <v>231</v>
      </c>
      <c r="E199" s="12" t="s">
        <v>281</v>
      </c>
      <c r="F199" s="5">
        <v>10595.5</v>
      </c>
      <c r="G199" s="5">
        <v>0</v>
      </c>
      <c r="H199" s="5">
        <v>1255</v>
      </c>
      <c r="I199" s="5">
        <v>55</v>
      </c>
      <c r="J199" s="5">
        <v>330</v>
      </c>
      <c r="K199" s="6">
        <f t="shared" si="4"/>
        <v>12235.5</v>
      </c>
    </row>
    <row r="200" spans="1:11" x14ac:dyDescent="0.25">
      <c r="A200" s="4">
        <v>2017</v>
      </c>
      <c r="B200" s="11" t="s">
        <v>232</v>
      </c>
      <c r="C200" s="11" t="s">
        <v>224</v>
      </c>
      <c r="D200" s="11" t="s">
        <v>225</v>
      </c>
      <c r="E200" s="12" t="s">
        <v>226</v>
      </c>
      <c r="F200" s="5">
        <v>10677.7</v>
      </c>
      <c r="G200" s="5">
        <v>0</v>
      </c>
      <c r="H200" s="5">
        <v>1255</v>
      </c>
      <c r="I200" s="5">
        <v>55</v>
      </c>
      <c r="J200" s="5">
        <v>330</v>
      </c>
      <c r="K200" s="6">
        <f t="shared" si="4"/>
        <v>12317.7</v>
      </c>
    </row>
    <row r="201" spans="1:11" x14ac:dyDescent="0.25">
      <c r="A201" s="4">
        <v>2017</v>
      </c>
      <c r="B201" s="11" t="s">
        <v>233</v>
      </c>
      <c r="C201" s="11" t="s">
        <v>234</v>
      </c>
      <c r="D201" s="11" t="s">
        <v>235</v>
      </c>
      <c r="E201" s="12" t="s">
        <v>282</v>
      </c>
      <c r="F201" s="5">
        <v>11934</v>
      </c>
      <c r="G201" s="5">
        <v>0</v>
      </c>
      <c r="H201" s="5">
        <v>1255</v>
      </c>
      <c r="I201" s="5">
        <v>55</v>
      </c>
      <c r="J201" s="5">
        <v>330</v>
      </c>
      <c r="K201" s="6">
        <f>SUM(F201:J201)</f>
        <v>13574</v>
      </c>
    </row>
    <row r="202" spans="1:11" x14ac:dyDescent="0.25">
      <c r="A202" s="4">
        <v>2017</v>
      </c>
      <c r="B202" s="11" t="s">
        <v>236</v>
      </c>
      <c r="C202" s="11" t="s">
        <v>234</v>
      </c>
      <c r="D202" s="11" t="s">
        <v>235</v>
      </c>
      <c r="E202" s="12" t="s">
        <v>282</v>
      </c>
      <c r="F202" s="5">
        <v>11934</v>
      </c>
      <c r="G202" s="5">
        <v>0</v>
      </c>
      <c r="H202" s="5">
        <v>1255</v>
      </c>
      <c r="I202" s="5">
        <v>55</v>
      </c>
      <c r="J202" s="5">
        <v>330</v>
      </c>
      <c r="K202" s="6">
        <f t="shared" si="4"/>
        <v>13574</v>
      </c>
    </row>
    <row r="203" spans="1:11" x14ac:dyDescent="0.25">
      <c r="A203" s="4">
        <v>2017</v>
      </c>
      <c r="B203" s="11" t="s">
        <v>237</v>
      </c>
      <c r="C203" s="11" t="s">
        <v>234</v>
      </c>
      <c r="D203" s="11" t="s">
        <v>235</v>
      </c>
      <c r="E203" s="12" t="s">
        <v>282</v>
      </c>
      <c r="F203" s="5">
        <v>11934</v>
      </c>
      <c r="G203" s="5">
        <v>0</v>
      </c>
      <c r="H203" s="5">
        <v>1255</v>
      </c>
      <c r="I203" s="5">
        <v>55</v>
      </c>
      <c r="J203" s="5">
        <v>330</v>
      </c>
      <c r="K203" s="6">
        <f t="shared" si="4"/>
        <v>13574</v>
      </c>
    </row>
    <row r="204" spans="1:11" x14ac:dyDescent="0.25">
      <c r="A204" s="4">
        <v>2017</v>
      </c>
      <c r="B204" s="11" t="s">
        <v>238</v>
      </c>
      <c r="C204" s="11" t="s">
        <v>239</v>
      </c>
      <c r="D204" s="11" t="s">
        <v>235</v>
      </c>
      <c r="E204" s="12" t="s">
        <v>283</v>
      </c>
      <c r="F204" s="5">
        <v>11664.85</v>
      </c>
      <c r="G204" s="5">
        <v>0</v>
      </c>
      <c r="H204" s="5">
        <v>1255</v>
      </c>
      <c r="I204" s="5">
        <v>55</v>
      </c>
      <c r="J204" s="5">
        <v>330</v>
      </c>
      <c r="K204" s="6">
        <f t="shared" si="4"/>
        <v>13304.85</v>
      </c>
    </row>
    <row r="205" spans="1:11" x14ac:dyDescent="0.25">
      <c r="A205" s="4">
        <v>2017</v>
      </c>
      <c r="B205" s="11" t="s">
        <v>240</v>
      </c>
      <c r="C205" s="11" t="s">
        <v>239</v>
      </c>
      <c r="D205" s="11" t="s">
        <v>235</v>
      </c>
      <c r="E205" s="12" t="s">
        <v>283</v>
      </c>
      <c r="F205" s="15">
        <v>12258.55</v>
      </c>
      <c r="G205" s="15">
        <v>0</v>
      </c>
      <c r="H205" s="15">
        <v>1091</v>
      </c>
      <c r="I205" s="15">
        <v>50</v>
      </c>
      <c r="J205" s="15">
        <v>295</v>
      </c>
      <c r="K205" s="6">
        <f>SUM(F205:J205)</f>
        <v>13694.55</v>
      </c>
    </row>
    <row r="206" spans="1:11" x14ac:dyDescent="0.25">
      <c r="A206" s="4">
        <v>2017</v>
      </c>
      <c r="B206" s="11" t="s">
        <v>241</v>
      </c>
      <c r="C206" s="11" t="s">
        <v>239</v>
      </c>
      <c r="D206" s="11" t="s">
        <v>235</v>
      </c>
      <c r="E206" s="12" t="s">
        <v>283</v>
      </c>
      <c r="F206" s="15">
        <v>12258.55</v>
      </c>
      <c r="G206" s="15">
        <v>0</v>
      </c>
      <c r="H206" s="15">
        <v>1091</v>
      </c>
      <c r="I206" s="15">
        <v>50</v>
      </c>
      <c r="J206" s="15">
        <v>295</v>
      </c>
      <c r="K206" s="6">
        <f t="shared" ref="K206:K268" si="5">SUM(F206:J206)</f>
        <v>13694.55</v>
      </c>
    </row>
    <row r="207" spans="1:11" x14ac:dyDescent="0.25">
      <c r="A207" s="4">
        <v>2017</v>
      </c>
      <c r="B207" s="11" t="s">
        <v>242</v>
      </c>
      <c r="C207" s="11" t="s">
        <v>243</v>
      </c>
      <c r="D207" s="11" t="s">
        <v>244</v>
      </c>
      <c r="E207" s="12" t="s">
        <v>284</v>
      </c>
      <c r="F207" s="15">
        <v>14643.15</v>
      </c>
      <c r="G207" s="15">
        <v>0</v>
      </c>
      <c r="H207" s="15">
        <v>1091</v>
      </c>
      <c r="I207" s="15">
        <v>50</v>
      </c>
      <c r="J207" s="15">
        <v>295</v>
      </c>
      <c r="K207" s="6">
        <f t="shared" si="5"/>
        <v>16079.15</v>
      </c>
    </row>
    <row r="208" spans="1:11" x14ac:dyDescent="0.25">
      <c r="A208" s="4">
        <v>2017</v>
      </c>
      <c r="B208" s="11" t="s">
        <v>245</v>
      </c>
      <c r="C208" s="11" t="s">
        <v>243</v>
      </c>
      <c r="D208" s="11" t="s">
        <v>244</v>
      </c>
      <c r="E208" s="12" t="s">
        <v>284</v>
      </c>
      <c r="F208" s="15">
        <v>14643.15</v>
      </c>
      <c r="G208" s="15">
        <v>0</v>
      </c>
      <c r="H208" s="15">
        <v>1091</v>
      </c>
      <c r="I208" s="15">
        <v>50</v>
      </c>
      <c r="J208" s="15">
        <v>295</v>
      </c>
      <c r="K208" s="6">
        <f t="shared" si="5"/>
        <v>16079.15</v>
      </c>
    </row>
    <row r="209" spans="1:11" x14ac:dyDescent="0.25">
      <c r="A209" s="4">
        <v>2017</v>
      </c>
      <c r="B209" s="11" t="s">
        <v>246</v>
      </c>
      <c r="C209" s="11" t="s">
        <v>243</v>
      </c>
      <c r="D209" s="11" t="s">
        <v>244</v>
      </c>
      <c r="E209" s="12" t="s">
        <v>284</v>
      </c>
      <c r="F209" s="15">
        <v>14643.15</v>
      </c>
      <c r="G209" s="15">
        <v>0</v>
      </c>
      <c r="H209" s="15">
        <v>1091</v>
      </c>
      <c r="I209" s="15">
        <v>50</v>
      </c>
      <c r="J209" s="15">
        <v>295</v>
      </c>
      <c r="K209" s="6">
        <f t="shared" si="5"/>
        <v>16079.15</v>
      </c>
    </row>
    <row r="210" spans="1:11" x14ac:dyDescent="0.25">
      <c r="A210" s="4">
        <v>2017</v>
      </c>
      <c r="B210" s="11" t="s">
        <v>247</v>
      </c>
      <c r="C210" s="11" t="s">
        <v>243</v>
      </c>
      <c r="D210" s="11" t="s">
        <v>244</v>
      </c>
      <c r="E210" s="12" t="s">
        <v>284</v>
      </c>
      <c r="F210" s="15">
        <v>14643.15</v>
      </c>
      <c r="G210" s="15">
        <v>0</v>
      </c>
      <c r="H210" s="15">
        <v>1091</v>
      </c>
      <c r="I210" s="15">
        <v>50</v>
      </c>
      <c r="J210" s="15">
        <v>295</v>
      </c>
      <c r="K210" s="6">
        <f t="shared" si="5"/>
        <v>16079.15</v>
      </c>
    </row>
    <row r="211" spans="1:11" x14ac:dyDescent="0.25">
      <c r="A211" s="4">
        <v>2017</v>
      </c>
      <c r="B211" s="11" t="s">
        <v>248</v>
      </c>
      <c r="C211" s="11" t="s">
        <v>243</v>
      </c>
      <c r="D211" s="11" t="s">
        <v>244</v>
      </c>
      <c r="E211" s="12" t="s">
        <v>284</v>
      </c>
      <c r="F211" s="15">
        <v>14643.15</v>
      </c>
      <c r="G211" s="15">
        <v>0</v>
      </c>
      <c r="H211" s="15">
        <v>1091</v>
      </c>
      <c r="I211" s="15">
        <v>50</v>
      </c>
      <c r="J211" s="15">
        <v>295</v>
      </c>
      <c r="K211" s="6">
        <f t="shared" si="5"/>
        <v>16079.15</v>
      </c>
    </row>
    <row r="212" spans="1:11" x14ac:dyDescent="0.25">
      <c r="A212" s="4">
        <v>2017</v>
      </c>
      <c r="B212" s="11" t="s">
        <v>249</v>
      </c>
      <c r="C212" s="11" t="s">
        <v>250</v>
      </c>
      <c r="D212" s="11" t="s">
        <v>251</v>
      </c>
      <c r="E212" s="12" t="s">
        <v>252</v>
      </c>
      <c r="F212" s="15">
        <v>15829.7</v>
      </c>
      <c r="G212" s="15">
        <v>0</v>
      </c>
      <c r="H212" s="15">
        <v>1091</v>
      </c>
      <c r="I212" s="15">
        <v>50</v>
      </c>
      <c r="J212" s="15">
        <v>295</v>
      </c>
      <c r="K212" s="6">
        <f t="shared" si="5"/>
        <v>17265.7</v>
      </c>
    </row>
    <row r="213" spans="1:11" x14ac:dyDescent="0.25">
      <c r="A213" s="4">
        <v>2017</v>
      </c>
      <c r="B213" s="11" t="s">
        <v>250</v>
      </c>
      <c r="C213" s="11" t="s">
        <v>250</v>
      </c>
      <c r="D213" s="11" t="s">
        <v>251</v>
      </c>
      <c r="E213" s="12" t="s">
        <v>252</v>
      </c>
      <c r="F213" s="15">
        <v>15829.7</v>
      </c>
      <c r="G213" s="15">
        <v>0</v>
      </c>
      <c r="H213" s="15">
        <v>1091</v>
      </c>
      <c r="I213" s="15">
        <v>50</v>
      </c>
      <c r="J213" s="15">
        <v>295</v>
      </c>
      <c r="K213" s="6">
        <f t="shared" si="5"/>
        <v>17265.7</v>
      </c>
    </row>
    <row r="214" spans="1:11" x14ac:dyDescent="0.25">
      <c r="A214" s="4">
        <v>2017</v>
      </c>
      <c r="B214" s="11" t="s">
        <v>253</v>
      </c>
      <c r="C214" s="11" t="s">
        <v>250</v>
      </c>
      <c r="D214" s="11" t="s">
        <v>251</v>
      </c>
      <c r="E214" s="12" t="s">
        <v>252</v>
      </c>
      <c r="F214" s="15">
        <v>15829.7</v>
      </c>
      <c r="G214" s="15">
        <v>0</v>
      </c>
      <c r="H214" s="15">
        <v>1091</v>
      </c>
      <c r="I214" s="15">
        <v>50</v>
      </c>
      <c r="J214" s="15">
        <v>295</v>
      </c>
      <c r="K214" s="6">
        <f t="shared" si="5"/>
        <v>17265.7</v>
      </c>
    </row>
    <row r="215" spans="1:11" x14ac:dyDescent="0.25">
      <c r="A215" s="4">
        <v>2017</v>
      </c>
      <c r="B215" s="11" t="s">
        <v>254</v>
      </c>
      <c r="C215" s="11"/>
      <c r="D215" s="11" t="s">
        <v>255</v>
      </c>
      <c r="E215" s="12" t="s">
        <v>256</v>
      </c>
      <c r="F215" s="15">
        <v>6762.3</v>
      </c>
      <c r="G215" s="15">
        <v>416.8</v>
      </c>
      <c r="H215" s="15">
        <v>1091</v>
      </c>
      <c r="I215" s="15">
        <v>50</v>
      </c>
      <c r="J215" s="15">
        <v>295</v>
      </c>
      <c r="K215" s="6">
        <f t="shared" si="5"/>
        <v>8615.1</v>
      </c>
    </row>
    <row r="216" spans="1:11" x14ac:dyDescent="0.25">
      <c r="A216" s="7">
        <v>2016</v>
      </c>
      <c r="B216" s="8" t="s">
        <v>210</v>
      </c>
      <c r="C216" s="8" t="s">
        <v>211</v>
      </c>
      <c r="D216" s="8" t="s">
        <v>212</v>
      </c>
      <c r="E216" s="9" t="s">
        <v>213</v>
      </c>
      <c r="F216" s="10">
        <v>7570.55</v>
      </c>
      <c r="G216" s="10">
        <v>0</v>
      </c>
      <c r="H216" s="10">
        <v>1091</v>
      </c>
      <c r="I216" s="10">
        <v>50</v>
      </c>
      <c r="J216" s="10">
        <v>295</v>
      </c>
      <c r="K216" s="6">
        <f t="shared" si="5"/>
        <v>9006.5499999999993</v>
      </c>
    </row>
    <row r="217" spans="1:11" x14ac:dyDescent="0.25">
      <c r="A217" s="7">
        <v>2016</v>
      </c>
      <c r="B217" s="8" t="s">
        <v>214</v>
      </c>
      <c r="C217" s="8" t="s">
        <v>215</v>
      </c>
      <c r="D217" s="8" t="s">
        <v>216</v>
      </c>
      <c r="E217" s="9" t="s">
        <v>217</v>
      </c>
      <c r="F217" s="10">
        <v>8112.75</v>
      </c>
      <c r="G217" s="10">
        <v>0</v>
      </c>
      <c r="H217" s="10">
        <v>1091</v>
      </c>
      <c r="I217" s="10">
        <v>50</v>
      </c>
      <c r="J217" s="10">
        <v>295</v>
      </c>
      <c r="K217" s="6">
        <f t="shared" si="5"/>
        <v>9548.75</v>
      </c>
    </row>
    <row r="218" spans="1:11" x14ac:dyDescent="0.25">
      <c r="A218" s="7">
        <v>2016</v>
      </c>
      <c r="B218" s="8" t="s">
        <v>218</v>
      </c>
      <c r="C218" s="8" t="s">
        <v>215</v>
      </c>
      <c r="D218" s="8" t="s">
        <v>216</v>
      </c>
      <c r="E218" s="9" t="s">
        <v>217</v>
      </c>
      <c r="F218" s="10">
        <v>8112.75</v>
      </c>
      <c r="G218" s="10">
        <v>0</v>
      </c>
      <c r="H218" s="10">
        <v>1091</v>
      </c>
      <c r="I218" s="10">
        <v>50</v>
      </c>
      <c r="J218" s="10">
        <v>295</v>
      </c>
      <c r="K218" s="6">
        <f t="shared" si="5"/>
        <v>9548.75</v>
      </c>
    </row>
    <row r="219" spans="1:11" x14ac:dyDescent="0.25">
      <c r="A219" s="7">
        <v>2016</v>
      </c>
      <c r="B219" s="8" t="s">
        <v>219</v>
      </c>
      <c r="C219" s="8" t="s">
        <v>220</v>
      </c>
      <c r="D219" s="8" t="s">
        <v>221</v>
      </c>
      <c r="E219" s="9" t="s">
        <v>280</v>
      </c>
      <c r="F219" s="10">
        <v>9195.4</v>
      </c>
      <c r="G219" s="10">
        <v>0</v>
      </c>
      <c r="H219" s="10">
        <v>1091</v>
      </c>
      <c r="I219" s="10">
        <v>50</v>
      </c>
      <c r="J219" s="10">
        <v>295</v>
      </c>
      <c r="K219" s="6">
        <f t="shared" si="5"/>
        <v>10631.4</v>
      </c>
    </row>
    <row r="220" spans="1:11" x14ac:dyDescent="0.25">
      <c r="A220" s="7">
        <v>2016</v>
      </c>
      <c r="B220" s="8" t="s">
        <v>222</v>
      </c>
      <c r="C220" s="8" t="s">
        <v>220</v>
      </c>
      <c r="D220" s="8" t="s">
        <v>221</v>
      </c>
      <c r="E220" s="9" t="s">
        <v>280</v>
      </c>
      <c r="F220" s="10">
        <v>9195.4</v>
      </c>
      <c r="G220" s="10">
        <v>0</v>
      </c>
      <c r="H220" s="10">
        <v>1091</v>
      </c>
      <c r="I220" s="10">
        <v>50</v>
      </c>
      <c r="J220" s="10">
        <v>295</v>
      </c>
      <c r="K220" s="6">
        <f t="shared" si="5"/>
        <v>10631.4</v>
      </c>
    </row>
    <row r="221" spans="1:11" x14ac:dyDescent="0.25">
      <c r="A221" s="7">
        <v>2016</v>
      </c>
      <c r="B221" s="8" t="s">
        <v>223</v>
      </c>
      <c r="C221" s="8" t="s">
        <v>224</v>
      </c>
      <c r="D221" s="8" t="s">
        <v>225</v>
      </c>
      <c r="E221" s="9" t="s">
        <v>226</v>
      </c>
      <c r="F221" s="10">
        <v>10161.5</v>
      </c>
      <c r="G221" s="10">
        <v>0</v>
      </c>
      <c r="H221" s="10">
        <v>1091</v>
      </c>
      <c r="I221" s="10">
        <v>50</v>
      </c>
      <c r="J221" s="10">
        <v>295</v>
      </c>
      <c r="K221" s="6">
        <f t="shared" si="5"/>
        <v>11597.5</v>
      </c>
    </row>
    <row r="222" spans="1:11" x14ac:dyDescent="0.25">
      <c r="A222" s="7">
        <v>2016</v>
      </c>
      <c r="B222" s="8" t="s">
        <v>227</v>
      </c>
      <c r="C222" s="8" t="s">
        <v>224</v>
      </c>
      <c r="D222" s="8" t="s">
        <v>225</v>
      </c>
      <c r="E222" s="9" t="s">
        <v>226</v>
      </c>
      <c r="F222" s="10">
        <v>10161.5</v>
      </c>
      <c r="G222" s="10">
        <v>0</v>
      </c>
      <c r="H222" s="10">
        <v>1091</v>
      </c>
      <c r="I222" s="10">
        <v>50</v>
      </c>
      <c r="J222" s="10">
        <v>295</v>
      </c>
      <c r="K222" s="6">
        <f t="shared" si="5"/>
        <v>11597.5</v>
      </c>
    </row>
    <row r="223" spans="1:11" x14ac:dyDescent="0.25">
      <c r="A223" s="7">
        <v>2016</v>
      </c>
      <c r="B223" s="8" t="s">
        <v>228</v>
      </c>
      <c r="C223" s="8" t="s">
        <v>224</v>
      </c>
      <c r="D223" s="8" t="s">
        <v>225</v>
      </c>
      <c r="E223" s="9" t="s">
        <v>226</v>
      </c>
      <c r="F223" s="10">
        <v>10161.5</v>
      </c>
      <c r="G223" s="10">
        <v>0</v>
      </c>
      <c r="H223" s="10">
        <v>1091</v>
      </c>
      <c r="I223" s="10">
        <v>50</v>
      </c>
      <c r="J223" s="10">
        <v>295</v>
      </c>
      <c r="K223" s="6">
        <f t="shared" si="5"/>
        <v>11597.5</v>
      </c>
    </row>
    <row r="224" spans="1:11" x14ac:dyDescent="0.25">
      <c r="A224" s="7">
        <v>2016</v>
      </c>
      <c r="B224" s="8" t="s">
        <v>229</v>
      </c>
      <c r="C224" s="8" t="s">
        <v>230</v>
      </c>
      <c r="D224" s="8" t="s">
        <v>231</v>
      </c>
      <c r="E224" s="9" t="s">
        <v>281</v>
      </c>
      <c r="F224" s="10">
        <v>10278.9</v>
      </c>
      <c r="G224" s="10">
        <v>0</v>
      </c>
      <c r="H224" s="10">
        <v>1091</v>
      </c>
      <c r="I224" s="10">
        <v>50</v>
      </c>
      <c r="J224" s="10">
        <v>295</v>
      </c>
      <c r="K224" s="6">
        <f t="shared" si="5"/>
        <v>11714.9</v>
      </c>
    </row>
    <row r="225" spans="1:11" x14ac:dyDescent="0.25">
      <c r="A225" s="7">
        <v>2016</v>
      </c>
      <c r="B225" s="8" t="s">
        <v>232</v>
      </c>
      <c r="C225" s="8" t="s">
        <v>224</v>
      </c>
      <c r="D225" s="8" t="s">
        <v>225</v>
      </c>
      <c r="E225" s="9" t="s">
        <v>226</v>
      </c>
      <c r="F225" s="10">
        <v>10161.5</v>
      </c>
      <c r="G225" s="10">
        <v>0</v>
      </c>
      <c r="H225" s="10">
        <v>1091</v>
      </c>
      <c r="I225" s="10">
        <v>50</v>
      </c>
      <c r="J225" s="10">
        <v>295</v>
      </c>
      <c r="K225" s="6">
        <f t="shared" si="5"/>
        <v>11597.5</v>
      </c>
    </row>
    <row r="226" spans="1:11" x14ac:dyDescent="0.25">
      <c r="A226" s="7">
        <v>2016</v>
      </c>
      <c r="B226" s="8" t="s">
        <v>233</v>
      </c>
      <c r="C226" s="8" t="s">
        <v>234</v>
      </c>
      <c r="D226" s="8" t="s">
        <v>235</v>
      </c>
      <c r="E226" s="9" t="s">
        <v>282</v>
      </c>
      <c r="F226" s="10">
        <v>11357.05</v>
      </c>
      <c r="G226" s="10">
        <v>0</v>
      </c>
      <c r="H226" s="10">
        <v>1091</v>
      </c>
      <c r="I226" s="10">
        <v>50</v>
      </c>
      <c r="J226" s="10">
        <v>295</v>
      </c>
      <c r="K226" s="6">
        <f t="shared" si="5"/>
        <v>12793.05</v>
      </c>
    </row>
    <row r="227" spans="1:11" x14ac:dyDescent="0.25">
      <c r="A227" s="7">
        <v>2016</v>
      </c>
      <c r="B227" s="8" t="s">
        <v>236</v>
      </c>
      <c r="C227" s="8" t="s">
        <v>234</v>
      </c>
      <c r="D227" s="8" t="s">
        <v>235</v>
      </c>
      <c r="E227" s="9" t="s">
        <v>282</v>
      </c>
      <c r="F227" s="10">
        <v>11357.05</v>
      </c>
      <c r="G227" s="10">
        <v>0</v>
      </c>
      <c r="H227" s="10">
        <v>1091</v>
      </c>
      <c r="I227" s="10">
        <v>50</v>
      </c>
      <c r="J227" s="10">
        <v>295</v>
      </c>
      <c r="K227" s="6">
        <f t="shared" si="5"/>
        <v>12793.05</v>
      </c>
    </row>
    <row r="228" spans="1:11" x14ac:dyDescent="0.25">
      <c r="A228" s="7">
        <v>2016</v>
      </c>
      <c r="B228" s="8" t="s">
        <v>237</v>
      </c>
      <c r="C228" s="8" t="s">
        <v>234</v>
      </c>
      <c r="D228" s="8" t="s">
        <v>235</v>
      </c>
      <c r="E228" s="9" t="s">
        <v>282</v>
      </c>
      <c r="F228" s="10">
        <v>11357.05</v>
      </c>
      <c r="G228" s="10">
        <v>0</v>
      </c>
      <c r="H228" s="10">
        <v>1091</v>
      </c>
      <c r="I228" s="10">
        <v>50</v>
      </c>
      <c r="J228" s="10">
        <v>295</v>
      </c>
      <c r="K228" s="6">
        <f t="shared" si="5"/>
        <v>12793.05</v>
      </c>
    </row>
    <row r="229" spans="1:11" x14ac:dyDescent="0.25">
      <c r="A229" s="7">
        <v>2016</v>
      </c>
      <c r="B229" s="8" t="s">
        <v>238</v>
      </c>
      <c r="C229" s="8" t="s">
        <v>239</v>
      </c>
      <c r="D229" s="8" t="s">
        <v>235</v>
      </c>
      <c r="E229" s="9" t="s">
        <v>283</v>
      </c>
      <c r="F229" s="10">
        <v>11100.9</v>
      </c>
      <c r="G229" s="10">
        <v>0</v>
      </c>
      <c r="H229" s="10">
        <v>1091</v>
      </c>
      <c r="I229" s="10">
        <v>50</v>
      </c>
      <c r="J229" s="10">
        <v>295</v>
      </c>
      <c r="K229" s="6">
        <f t="shared" si="5"/>
        <v>12536.9</v>
      </c>
    </row>
    <row r="230" spans="1:11" x14ac:dyDescent="0.25">
      <c r="A230" s="7">
        <v>2016</v>
      </c>
      <c r="B230" s="8" t="s">
        <v>240</v>
      </c>
      <c r="C230" s="8" t="s">
        <v>239</v>
      </c>
      <c r="D230" s="8" t="s">
        <v>235</v>
      </c>
      <c r="E230" s="9" t="s">
        <v>283</v>
      </c>
      <c r="F230" s="10">
        <v>11892.25</v>
      </c>
      <c r="G230" s="10">
        <v>0</v>
      </c>
      <c r="H230" s="10">
        <v>1091</v>
      </c>
      <c r="I230" s="10">
        <v>50</v>
      </c>
      <c r="J230" s="10">
        <v>295</v>
      </c>
      <c r="K230" s="6">
        <f t="shared" si="5"/>
        <v>13328.25</v>
      </c>
    </row>
    <row r="231" spans="1:11" x14ac:dyDescent="0.25">
      <c r="A231" s="7">
        <v>2016</v>
      </c>
      <c r="B231" s="8" t="s">
        <v>241</v>
      </c>
      <c r="C231" s="8" t="s">
        <v>239</v>
      </c>
      <c r="D231" s="8" t="s">
        <v>235</v>
      </c>
      <c r="E231" s="9" t="s">
        <v>283</v>
      </c>
      <c r="F231" s="10">
        <v>11892.25</v>
      </c>
      <c r="G231" s="10">
        <v>0</v>
      </c>
      <c r="H231" s="10">
        <v>1091</v>
      </c>
      <c r="I231" s="10">
        <v>50</v>
      </c>
      <c r="J231" s="10">
        <v>295</v>
      </c>
      <c r="K231" s="6">
        <f t="shared" si="5"/>
        <v>13328.25</v>
      </c>
    </row>
    <row r="232" spans="1:11" x14ac:dyDescent="0.25">
      <c r="A232" s="7">
        <v>2016</v>
      </c>
      <c r="B232" s="8" t="s">
        <v>242</v>
      </c>
      <c r="C232" s="8" t="s">
        <v>243</v>
      </c>
      <c r="D232" s="8" t="s">
        <v>244</v>
      </c>
      <c r="E232" s="9" t="s">
        <v>284</v>
      </c>
      <c r="F232" s="10">
        <v>13662.6</v>
      </c>
      <c r="G232" s="10">
        <v>0</v>
      </c>
      <c r="H232" s="10">
        <v>1091</v>
      </c>
      <c r="I232" s="10">
        <v>50</v>
      </c>
      <c r="J232" s="10">
        <v>295</v>
      </c>
      <c r="K232" s="6">
        <f t="shared" si="5"/>
        <v>15098.6</v>
      </c>
    </row>
    <row r="233" spans="1:11" x14ac:dyDescent="0.25">
      <c r="A233" s="7">
        <v>2016</v>
      </c>
      <c r="B233" s="8" t="s">
        <v>245</v>
      </c>
      <c r="C233" s="8" t="s">
        <v>243</v>
      </c>
      <c r="D233" s="8" t="s">
        <v>244</v>
      </c>
      <c r="E233" s="9" t="s">
        <v>284</v>
      </c>
      <c r="F233" s="10">
        <v>13662.6</v>
      </c>
      <c r="G233" s="10">
        <v>0</v>
      </c>
      <c r="H233" s="10">
        <v>1091</v>
      </c>
      <c r="I233" s="10">
        <v>50</v>
      </c>
      <c r="J233" s="10">
        <v>295</v>
      </c>
      <c r="K233" s="6">
        <f t="shared" si="5"/>
        <v>15098.6</v>
      </c>
    </row>
    <row r="234" spans="1:11" x14ac:dyDescent="0.25">
      <c r="A234" s="7">
        <v>2016</v>
      </c>
      <c r="B234" s="8" t="s">
        <v>246</v>
      </c>
      <c r="C234" s="8" t="s">
        <v>243</v>
      </c>
      <c r="D234" s="8" t="s">
        <v>244</v>
      </c>
      <c r="E234" s="9" t="s">
        <v>284</v>
      </c>
      <c r="F234" s="10">
        <v>13662.6</v>
      </c>
      <c r="G234" s="10">
        <v>0</v>
      </c>
      <c r="H234" s="10">
        <v>1091</v>
      </c>
      <c r="I234" s="10">
        <v>50</v>
      </c>
      <c r="J234" s="10">
        <v>295</v>
      </c>
      <c r="K234" s="6">
        <f t="shared" si="5"/>
        <v>15098.6</v>
      </c>
    </row>
    <row r="235" spans="1:11" x14ac:dyDescent="0.25">
      <c r="A235" s="7">
        <v>2016</v>
      </c>
      <c r="B235" s="8" t="s">
        <v>247</v>
      </c>
      <c r="C235" s="8" t="s">
        <v>243</v>
      </c>
      <c r="D235" s="8" t="s">
        <v>244</v>
      </c>
      <c r="E235" s="9" t="s">
        <v>284</v>
      </c>
      <c r="F235" s="10">
        <v>13662.6</v>
      </c>
      <c r="G235" s="10">
        <v>0</v>
      </c>
      <c r="H235" s="10">
        <v>1091</v>
      </c>
      <c r="I235" s="10">
        <v>50</v>
      </c>
      <c r="J235" s="10">
        <v>295</v>
      </c>
      <c r="K235" s="6">
        <f t="shared" si="5"/>
        <v>15098.6</v>
      </c>
    </row>
    <row r="236" spans="1:11" x14ac:dyDescent="0.25">
      <c r="A236" s="7">
        <v>2016</v>
      </c>
      <c r="B236" s="8" t="s">
        <v>248</v>
      </c>
      <c r="C236" s="8" t="s">
        <v>243</v>
      </c>
      <c r="D236" s="8" t="s">
        <v>244</v>
      </c>
      <c r="E236" s="9" t="s">
        <v>284</v>
      </c>
      <c r="F236" s="10">
        <v>13662.6</v>
      </c>
      <c r="G236" s="10">
        <v>0</v>
      </c>
      <c r="H236" s="10">
        <v>1091</v>
      </c>
      <c r="I236" s="10">
        <v>50</v>
      </c>
      <c r="J236" s="10">
        <v>295</v>
      </c>
      <c r="K236" s="6">
        <f t="shared" si="5"/>
        <v>15098.6</v>
      </c>
    </row>
    <row r="237" spans="1:11" x14ac:dyDescent="0.25">
      <c r="A237" s="7">
        <v>2016</v>
      </c>
      <c r="B237" s="8" t="s">
        <v>249</v>
      </c>
      <c r="C237" s="8" t="s">
        <v>250</v>
      </c>
      <c r="D237" s="8" t="s">
        <v>251</v>
      </c>
      <c r="E237" s="9" t="s">
        <v>252</v>
      </c>
      <c r="F237" s="10">
        <v>15064.45</v>
      </c>
      <c r="G237" s="10">
        <v>0</v>
      </c>
      <c r="H237" s="10">
        <v>1091</v>
      </c>
      <c r="I237" s="10">
        <v>50</v>
      </c>
      <c r="J237" s="10">
        <v>295</v>
      </c>
      <c r="K237" s="6">
        <f t="shared" si="5"/>
        <v>16500.45</v>
      </c>
    </row>
    <row r="238" spans="1:11" x14ac:dyDescent="0.25">
      <c r="A238" s="7">
        <v>2016</v>
      </c>
      <c r="B238" s="8" t="s">
        <v>250</v>
      </c>
      <c r="C238" s="8" t="s">
        <v>250</v>
      </c>
      <c r="D238" s="8" t="s">
        <v>251</v>
      </c>
      <c r="E238" s="9" t="s">
        <v>252</v>
      </c>
      <c r="F238" s="10">
        <v>15064.45</v>
      </c>
      <c r="G238" s="10">
        <v>0</v>
      </c>
      <c r="H238" s="10">
        <v>1091</v>
      </c>
      <c r="I238" s="10">
        <v>50</v>
      </c>
      <c r="J238" s="10">
        <v>295</v>
      </c>
      <c r="K238" s="6">
        <f t="shared" si="5"/>
        <v>16500.45</v>
      </c>
    </row>
    <row r="239" spans="1:11" x14ac:dyDescent="0.25">
      <c r="A239" s="7">
        <v>2016</v>
      </c>
      <c r="B239" s="8" t="s">
        <v>253</v>
      </c>
      <c r="C239" s="8" t="s">
        <v>250</v>
      </c>
      <c r="D239" s="8" t="s">
        <v>251</v>
      </c>
      <c r="E239" s="9" t="s">
        <v>252</v>
      </c>
      <c r="F239" s="10">
        <v>15064.45</v>
      </c>
      <c r="G239" s="10">
        <v>0</v>
      </c>
      <c r="H239" s="10">
        <v>1091</v>
      </c>
      <c r="I239" s="10">
        <v>50</v>
      </c>
      <c r="J239" s="10">
        <v>295</v>
      </c>
      <c r="K239" s="6">
        <f t="shared" si="5"/>
        <v>16500.45</v>
      </c>
    </row>
    <row r="240" spans="1:11" x14ac:dyDescent="0.25">
      <c r="A240" s="7">
        <v>2016</v>
      </c>
      <c r="B240" s="8" t="s">
        <v>254</v>
      </c>
      <c r="C240" s="8"/>
      <c r="D240" s="8" t="s">
        <v>255</v>
      </c>
      <c r="E240" s="9" t="s">
        <v>256</v>
      </c>
      <c r="F240" s="10"/>
      <c r="G240" s="10">
        <v>0</v>
      </c>
      <c r="H240" s="10">
        <v>1091</v>
      </c>
      <c r="I240" s="10">
        <v>50</v>
      </c>
      <c r="J240" s="10">
        <v>295</v>
      </c>
      <c r="K240" s="6">
        <f t="shared" si="5"/>
        <v>1436</v>
      </c>
    </row>
    <row r="241" spans="1:11" x14ac:dyDescent="0.25">
      <c r="A241" s="4">
        <v>2015</v>
      </c>
      <c r="B241" s="11" t="s">
        <v>210</v>
      </c>
      <c r="C241" s="11" t="s">
        <v>211</v>
      </c>
      <c r="D241" s="11" t="s">
        <v>212</v>
      </c>
      <c r="E241" s="12" t="s">
        <v>213</v>
      </c>
      <c r="F241" s="15">
        <v>7339.35</v>
      </c>
      <c r="G241" s="15">
        <v>0</v>
      </c>
      <c r="H241" s="15">
        <v>1091</v>
      </c>
      <c r="I241" s="15">
        <v>50</v>
      </c>
      <c r="J241" s="15">
        <v>295</v>
      </c>
      <c r="K241" s="6">
        <f t="shared" si="5"/>
        <v>8775.35</v>
      </c>
    </row>
    <row r="242" spans="1:11" x14ac:dyDescent="0.25">
      <c r="A242" s="4">
        <v>2015</v>
      </c>
      <c r="B242" s="11" t="s">
        <v>214</v>
      </c>
      <c r="C242" s="11" t="s">
        <v>215</v>
      </c>
      <c r="D242" s="11" t="s">
        <v>216</v>
      </c>
      <c r="E242" s="12" t="s">
        <v>217</v>
      </c>
      <c r="F242" s="15">
        <v>7781.65</v>
      </c>
      <c r="G242" s="15">
        <v>0</v>
      </c>
      <c r="H242" s="15">
        <v>1091</v>
      </c>
      <c r="I242" s="15">
        <v>50</v>
      </c>
      <c r="J242" s="15">
        <v>295</v>
      </c>
      <c r="K242" s="6">
        <f t="shared" si="5"/>
        <v>9217.65</v>
      </c>
    </row>
    <row r="243" spans="1:11" x14ac:dyDescent="0.25">
      <c r="A243" s="4">
        <v>2015</v>
      </c>
      <c r="B243" s="11" t="s">
        <v>218</v>
      </c>
      <c r="C243" s="11" t="s">
        <v>215</v>
      </c>
      <c r="D243" s="11" t="s">
        <v>216</v>
      </c>
      <c r="E243" s="12" t="s">
        <v>217</v>
      </c>
      <c r="F243" s="15">
        <v>7865</v>
      </c>
      <c r="G243" s="15">
        <v>0</v>
      </c>
      <c r="H243" s="15">
        <v>1091</v>
      </c>
      <c r="I243" s="15">
        <v>50</v>
      </c>
      <c r="J243" s="15">
        <v>295</v>
      </c>
      <c r="K243" s="6">
        <f t="shared" si="5"/>
        <v>9301</v>
      </c>
    </row>
    <row r="244" spans="1:11" x14ac:dyDescent="0.25">
      <c r="A244" s="4">
        <v>2015</v>
      </c>
      <c r="B244" s="11" t="s">
        <v>219</v>
      </c>
      <c r="C244" s="11" t="s">
        <v>220</v>
      </c>
      <c r="D244" s="11" t="s">
        <v>221</v>
      </c>
      <c r="E244" s="12" t="s">
        <v>280</v>
      </c>
      <c r="F244" s="15">
        <v>8914.6</v>
      </c>
      <c r="G244" s="15">
        <v>0</v>
      </c>
      <c r="H244" s="15">
        <v>1091</v>
      </c>
      <c r="I244" s="15">
        <v>50</v>
      </c>
      <c r="J244" s="15">
        <v>295</v>
      </c>
      <c r="K244" s="6">
        <f t="shared" si="5"/>
        <v>10350.6</v>
      </c>
    </row>
    <row r="245" spans="1:11" x14ac:dyDescent="0.25">
      <c r="A245" s="4">
        <v>2015</v>
      </c>
      <c r="B245" s="11" t="s">
        <v>222</v>
      </c>
      <c r="C245" s="11" t="s">
        <v>220</v>
      </c>
      <c r="D245" s="11" t="s">
        <v>221</v>
      </c>
      <c r="E245" s="12" t="s">
        <v>280</v>
      </c>
      <c r="F245" s="15">
        <v>8914.6</v>
      </c>
      <c r="G245" s="15">
        <v>0</v>
      </c>
      <c r="H245" s="15">
        <v>1091</v>
      </c>
      <c r="I245" s="15">
        <v>50</v>
      </c>
      <c r="J245" s="15">
        <v>295</v>
      </c>
      <c r="K245" s="6">
        <f t="shared" si="5"/>
        <v>10350.6</v>
      </c>
    </row>
    <row r="246" spans="1:11" x14ac:dyDescent="0.25">
      <c r="A246" s="4">
        <v>2015</v>
      </c>
      <c r="B246" s="11" t="s">
        <v>223</v>
      </c>
      <c r="C246" s="11" t="s">
        <v>224</v>
      </c>
      <c r="D246" s="11" t="s">
        <v>225</v>
      </c>
      <c r="E246" s="12" t="s">
        <v>226</v>
      </c>
      <c r="F246" s="15">
        <v>9851.2000000000007</v>
      </c>
      <c r="G246" s="15">
        <v>0</v>
      </c>
      <c r="H246" s="15">
        <v>1091</v>
      </c>
      <c r="I246" s="15">
        <v>50</v>
      </c>
      <c r="J246" s="15">
        <v>295</v>
      </c>
      <c r="K246" s="6">
        <f t="shared" si="5"/>
        <v>11287.2</v>
      </c>
    </row>
    <row r="247" spans="1:11" x14ac:dyDescent="0.25">
      <c r="A247" s="4">
        <v>2015</v>
      </c>
      <c r="B247" s="11" t="s">
        <v>227</v>
      </c>
      <c r="C247" s="11" t="s">
        <v>224</v>
      </c>
      <c r="D247" s="11" t="s">
        <v>225</v>
      </c>
      <c r="E247" s="12" t="s">
        <v>226</v>
      </c>
      <c r="F247" s="15">
        <v>9851.2000000000007</v>
      </c>
      <c r="G247" s="15">
        <v>0</v>
      </c>
      <c r="H247" s="15">
        <v>1091</v>
      </c>
      <c r="I247" s="15">
        <v>50</v>
      </c>
      <c r="J247" s="15">
        <v>295</v>
      </c>
      <c r="K247" s="6">
        <f t="shared" si="5"/>
        <v>11287.2</v>
      </c>
    </row>
    <row r="248" spans="1:11" x14ac:dyDescent="0.25">
      <c r="A248" s="4">
        <v>2015</v>
      </c>
      <c r="B248" s="11" t="s">
        <v>228</v>
      </c>
      <c r="C248" s="11" t="s">
        <v>224</v>
      </c>
      <c r="D248" s="11" t="s">
        <v>225</v>
      </c>
      <c r="E248" s="12" t="s">
        <v>226</v>
      </c>
      <c r="F248" s="15">
        <v>9851.2000000000007</v>
      </c>
      <c r="G248" s="15">
        <v>0</v>
      </c>
      <c r="H248" s="15">
        <v>1091</v>
      </c>
      <c r="I248" s="15">
        <v>50</v>
      </c>
      <c r="J248" s="15">
        <v>295</v>
      </c>
      <c r="K248" s="6">
        <f t="shared" si="5"/>
        <v>11287.2</v>
      </c>
    </row>
    <row r="249" spans="1:11" x14ac:dyDescent="0.25">
      <c r="A249" s="4">
        <v>2015</v>
      </c>
      <c r="B249" s="11" t="s">
        <v>229</v>
      </c>
      <c r="C249" s="11" t="s">
        <v>230</v>
      </c>
      <c r="D249" s="11" t="s">
        <v>231</v>
      </c>
      <c r="E249" s="12" t="s">
        <v>281</v>
      </c>
      <c r="F249" s="15">
        <v>9851.2000000000007</v>
      </c>
      <c r="G249" s="15">
        <v>0</v>
      </c>
      <c r="H249" s="15">
        <v>1091</v>
      </c>
      <c r="I249" s="15">
        <v>50</v>
      </c>
      <c r="J249" s="15">
        <v>295</v>
      </c>
      <c r="K249" s="6">
        <f t="shared" si="5"/>
        <v>11287.2</v>
      </c>
    </row>
    <row r="250" spans="1:11" x14ac:dyDescent="0.25">
      <c r="A250" s="4">
        <v>2015</v>
      </c>
      <c r="B250" s="11" t="s">
        <v>232</v>
      </c>
      <c r="C250" s="11" t="s">
        <v>224</v>
      </c>
      <c r="D250" s="11" t="s">
        <v>225</v>
      </c>
      <c r="E250" s="12" t="s">
        <v>226</v>
      </c>
      <c r="F250" s="15">
        <v>9851.2000000000007</v>
      </c>
      <c r="G250" s="15">
        <v>0</v>
      </c>
      <c r="H250" s="15">
        <v>1091</v>
      </c>
      <c r="I250" s="15">
        <v>50</v>
      </c>
      <c r="J250" s="15">
        <v>295</v>
      </c>
      <c r="K250" s="6">
        <f t="shared" si="5"/>
        <v>11287.2</v>
      </c>
    </row>
    <row r="251" spans="1:11" x14ac:dyDescent="0.25">
      <c r="A251" s="4">
        <v>2015</v>
      </c>
      <c r="B251" s="11" t="s">
        <v>233</v>
      </c>
      <c r="C251" s="11" t="s">
        <v>234</v>
      </c>
      <c r="D251" s="11" t="s">
        <v>235</v>
      </c>
      <c r="E251" s="12" t="s">
        <v>282</v>
      </c>
      <c r="F251" s="15">
        <v>11010.25</v>
      </c>
      <c r="G251" s="15">
        <v>0</v>
      </c>
      <c r="H251" s="15">
        <v>1091</v>
      </c>
      <c r="I251" s="15">
        <v>50</v>
      </c>
      <c r="J251" s="15">
        <v>295</v>
      </c>
      <c r="K251" s="6">
        <f t="shared" si="5"/>
        <v>12446.25</v>
      </c>
    </row>
    <row r="252" spans="1:11" x14ac:dyDescent="0.25">
      <c r="A252" s="4">
        <v>2015</v>
      </c>
      <c r="B252" s="11" t="s">
        <v>236</v>
      </c>
      <c r="C252" s="11" t="s">
        <v>234</v>
      </c>
      <c r="D252" s="11" t="s">
        <v>235</v>
      </c>
      <c r="E252" s="12" t="s">
        <v>282</v>
      </c>
      <c r="F252" s="15">
        <v>11010.25</v>
      </c>
      <c r="G252" s="15">
        <v>0</v>
      </c>
      <c r="H252" s="15">
        <v>1091</v>
      </c>
      <c r="I252" s="15">
        <v>50</v>
      </c>
      <c r="J252" s="15">
        <v>295</v>
      </c>
      <c r="K252" s="6">
        <f t="shared" si="5"/>
        <v>12446.25</v>
      </c>
    </row>
    <row r="253" spans="1:11" x14ac:dyDescent="0.25">
      <c r="A253" s="4">
        <v>2015</v>
      </c>
      <c r="B253" s="11" t="s">
        <v>237</v>
      </c>
      <c r="C253" s="11" t="s">
        <v>234</v>
      </c>
      <c r="D253" s="11" t="s">
        <v>235</v>
      </c>
      <c r="E253" s="12" t="s">
        <v>282</v>
      </c>
      <c r="F253" s="15">
        <v>11010.25</v>
      </c>
      <c r="G253" s="15">
        <v>0</v>
      </c>
      <c r="H253" s="15">
        <v>1091</v>
      </c>
      <c r="I253" s="15">
        <v>50</v>
      </c>
      <c r="J253" s="15">
        <v>295</v>
      </c>
      <c r="K253" s="6">
        <f t="shared" si="5"/>
        <v>12446.25</v>
      </c>
    </row>
    <row r="254" spans="1:11" x14ac:dyDescent="0.25">
      <c r="A254" s="4">
        <v>2015</v>
      </c>
      <c r="B254" s="11" t="s">
        <v>238</v>
      </c>
      <c r="C254" s="11" t="s">
        <v>239</v>
      </c>
      <c r="D254" s="11" t="s">
        <v>235</v>
      </c>
      <c r="E254" s="12" t="s">
        <v>283</v>
      </c>
      <c r="F254" s="15">
        <v>10761.9</v>
      </c>
      <c r="G254" s="15">
        <v>0</v>
      </c>
      <c r="H254" s="15">
        <v>1091</v>
      </c>
      <c r="I254" s="15">
        <v>50</v>
      </c>
      <c r="J254" s="15">
        <v>295</v>
      </c>
      <c r="K254" s="6">
        <f t="shared" si="5"/>
        <v>12197.9</v>
      </c>
    </row>
    <row r="255" spans="1:11" x14ac:dyDescent="0.25">
      <c r="A255" s="4">
        <v>2015</v>
      </c>
      <c r="B255" s="11" t="s">
        <v>240</v>
      </c>
      <c r="C255" s="11" t="s">
        <v>239</v>
      </c>
      <c r="D255" s="11" t="s">
        <v>235</v>
      </c>
      <c r="E255" s="12" t="s">
        <v>283</v>
      </c>
      <c r="F255" s="15">
        <v>10529.1</v>
      </c>
      <c r="G255" s="15">
        <v>0</v>
      </c>
      <c r="H255" s="15">
        <v>1091</v>
      </c>
      <c r="I255" s="15">
        <v>50</v>
      </c>
      <c r="J255" s="15">
        <v>295</v>
      </c>
      <c r="K255" s="6">
        <f t="shared" si="5"/>
        <v>11965.1</v>
      </c>
    </row>
    <row r="256" spans="1:11" x14ac:dyDescent="0.25">
      <c r="A256" s="4">
        <v>2015</v>
      </c>
      <c r="B256" s="11" t="s">
        <v>241</v>
      </c>
      <c r="C256" s="11" t="s">
        <v>239</v>
      </c>
      <c r="D256" s="11" t="s">
        <v>235</v>
      </c>
      <c r="E256" s="12" t="s">
        <v>283</v>
      </c>
      <c r="F256" s="15">
        <v>10529.1</v>
      </c>
      <c r="G256" s="15">
        <v>0</v>
      </c>
      <c r="H256" s="15">
        <v>1091</v>
      </c>
      <c r="I256" s="15">
        <v>50</v>
      </c>
      <c r="J256" s="15">
        <v>295</v>
      </c>
      <c r="K256" s="6">
        <f t="shared" si="5"/>
        <v>11965.1</v>
      </c>
    </row>
    <row r="257" spans="1:11" x14ac:dyDescent="0.25">
      <c r="A257" s="4">
        <v>2015</v>
      </c>
      <c r="B257" s="11" t="s">
        <v>242</v>
      </c>
      <c r="C257" s="11" t="s">
        <v>243</v>
      </c>
      <c r="D257" s="11" t="s">
        <v>244</v>
      </c>
      <c r="E257" s="12" t="s">
        <v>284</v>
      </c>
      <c r="F257" s="15">
        <v>13245.35</v>
      </c>
      <c r="G257" s="15">
        <v>0</v>
      </c>
      <c r="H257" s="15">
        <v>1091</v>
      </c>
      <c r="I257" s="15">
        <v>50</v>
      </c>
      <c r="J257" s="15">
        <v>295</v>
      </c>
      <c r="K257" s="6">
        <f t="shared" si="5"/>
        <v>14681.35</v>
      </c>
    </row>
    <row r="258" spans="1:11" x14ac:dyDescent="0.25">
      <c r="A258" s="4">
        <v>2015</v>
      </c>
      <c r="B258" s="11" t="s">
        <v>245</v>
      </c>
      <c r="C258" s="11" t="s">
        <v>243</v>
      </c>
      <c r="D258" s="11" t="s">
        <v>244</v>
      </c>
      <c r="E258" s="12" t="s">
        <v>284</v>
      </c>
      <c r="F258" s="15">
        <v>13245.35</v>
      </c>
      <c r="G258" s="15">
        <v>0</v>
      </c>
      <c r="H258" s="15">
        <v>1091</v>
      </c>
      <c r="I258" s="15">
        <v>50</v>
      </c>
      <c r="J258" s="15">
        <v>295</v>
      </c>
      <c r="K258" s="6">
        <f t="shared" si="5"/>
        <v>14681.35</v>
      </c>
    </row>
    <row r="259" spans="1:11" x14ac:dyDescent="0.25">
      <c r="A259" s="4">
        <v>2015</v>
      </c>
      <c r="B259" s="11" t="s">
        <v>246</v>
      </c>
      <c r="C259" s="11" t="s">
        <v>243</v>
      </c>
      <c r="D259" s="11" t="s">
        <v>244</v>
      </c>
      <c r="E259" s="12" t="s">
        <v>284</v>
      </c>
      <c r="F259" s="15">
        <v>13245.35</v>
      </c>
      <c r="G259" s="15">
        <v>0</v>
      </c>
      <c r="H259" s="15">
        <v>1091</v>
      </c>
      <c r="I259" s="15">
        <v>50</v>
      </c>
      <c r="J259" s="15">
        <v>295</v>
      </c>
      <c r="K259" s="6">
        <f t="shared" si="5"/>
        <v>14681.35</v>
      </c>
    </row>
    <row r="260" spans="1:11" x14ac:dyDescent="0.25">
      <c r="A260" s="4">
        <v>2015</v>
      </c>
      <c r="B260" s="11" t="s">
        <v>247</v>
      </c>
      <c r="C260" s="11" t="s">
        <v>243</v>
      </c>
      <c r="D260" s="11" t="s">
        <v>244</v>
      </c>
      <c r="E260" s="12" t="s">
        <v>284</v>
      </c>
      <c r="F260" s="15">
        <v>13245.35</v>
      </c>
      <c r="G260" s="15">
        <v>0</v>
      </c>
      <c r="H260" s="15">
        <v>1091</v>
      </c>
      <c r="I260" s="15">
        <v>50</v>
      </c>
      <c r="J260" s="15">
        <v>295</v>
      </c>
      <c r="K260" s="6">
        <f t="shared" si="5"/>
        <v>14681.35</v>
      </c>
    </row>
    <row r="261" spans="1:11" x14ac:dyDescent="0.25">
      <c r="A261" s="4">
        <v>2015</v>
      </c>
      <c r="B261" s="11" t="s">
        <v>248</v>
      </c>
      <c r="C261" s="11" t="s">
        <v>243</v>
      </c>
      <c r="D261" s="11" t="s">
        <v>244</v>
      </c>
      <c r="E261" s="12" t="s">
        <v>284</v>
      </c>
      <c r="F261" s="15">
        <v>13245.35</v>
      </c>
      <c r="G261" s="15">
        <v>0</v>
      </c>
      <c r="H261" s="15">
        <v>1091</v>
      </c>
      <c r="I261" s="15">
        <v>50</v>
      </c>
      <c r="J261" s="15">
        <v>295</v>
      </c>
      <c r="K261" s="6">
        <f t="shared" si="5"/>
        <v>14681.35</v>
      </c>
    </row>
    <row r="262" spans="1:11" x14ac:dyDescent="0.25">
      <c r="A262" s="4">
        <v>2015</v>
      </c>
      <c r="B262" s="11" t="s">
        <v>249</v>
      </c>
      <c r="C262" s="11" t="s">
        <v>250</v>
      </c>
      <c r="D262" s="11" t="s">
        <v>251</v>
      </c>
      <c r="E262" s="12" t="s">
        <v>252</v>
      </c>
      <c r="F262" s="15">
        <v>14604.42</v>
      </c>
      <c r="G262" s="15">
        <v>0</v>
      </c>
      <c r="H262" s="15">
        <v>1091</v>
      </c>
      <c r="I262" s="15">
        <v>50</v>
      </c>
      <c r="J262" s="15">
        <v>295</v>
      </c>
      <c r="K262" s="6">
        <f t="shared" si="5"/>
        <v>16040.42</v>
      </c>
    </row>
    <row r="263" spans="1:11" x14ac:dyDescent="0.25">
      <c r="A263" s="4">
        <v>2015</v>
      </c>
      <c r="B263" s="11" t="s">
        <v>250</v>
      </c>
      <c r="C263" s="11" t="s">
        <v>250</v>
      </c>
      <c r="D263" s="11" t="s">
        <v>251</v>
      </c>
      <c r="E263" s="12" t="s">
        <v>252</v>
      </c>
      <c r="F263" s="15">
        <v>14604.42</v>
      </c>
      <c r="G263" s="15">
        <v>0</v>
      </c>
      <c r="H263" s="15">
        <v>1091</v>
      </c>
      <c r="I263" s="15">
        <v>50</v>
      </c>
      <c r="J263" s="15">
        <v>295</v>
      </c>
      <c r="K263" s="6">
        <f t="shared" si="5"/>
        <v>16040.42</v>
      </c>
    </row>
    <row r="264" spans="1:11" x14ac:dyDescent="0.25">
      <c r="A264" s="4">
        <v>2015</v>
      </c>
      <c r="B264" s="11" t="s">
        <v>253</v>
      </c>
      <c r="C264" s="11" t="s">
        <v>250</v>
      </c>
      <c r="D264" s="11" t="s">
        <v>251</v>
      </c>
      <c r="E264" s="12" t="s">
        <v>252</v>
      </c>
      <c r="F264" s="15">
        <v>14604.42</v>
      </c>
      <c r="G264" s="15">
        <v>0</v>
      </c>
      <c r="H264" s="15">
        <v>1091</v>
      </c>
      <c r="I264" s="15">
        <v>50</v>
      </c>
      <c r="J264" s="15">
        <v>295</v>
      </c>
      <c r="K264" s="6">
        <f t="shared" si="5"/>
        <v>16040.42</v>
      </c>
    </row>
    <row r="265" spans="1:11" x14ac:dyDescent="0.25">
      <c r="A265" s="4">
        <v>2015</v>
      </c>
      <c r="B265" s="11" t="s">
        <v>254</v>
      </c>
      <c r="C265" s="11"/>
      <c r="D265" s="11" t="s">
        <v>255</v>
      </c>
      <c r="E265" s="12" t="s">
        <v>256</v>
      </c>
      <c r="F265" s="15"/>
      <c r="G265" s="15">
        <v>0</v>
      </c>
      <c r="H265" s="15">
        <v>1091</v>
      </c>
      <c r="I265" s="15">
        <v>50</v>
      </c>
      <c r="J265" s="15">
        <v>295</v>
      </c>
      <c r="K265" s="6">
        <f t="shared" si="5"/>
        <v>1436</v>
      </c>
    </row>
    <row r="266" spans="1:11" x14ac:dyDescent="0.25">
      <c r="A266" s="7">
        <v>2014</v>
      </c>
      <c r="B266" s="8" t="s">
        <v>210</v>
      </c>
      <c r="C266" s="8" t="s">
        <v>211</v>
      </c>
      <c r="D266" s="8" t="s">
        <v>212</v>
      </c>
      <c r="E266" s="9" t="s">
        <v>213</v>
      </c>
      <c r="F266" s="10">
        <v>7098</v>
      </c>
      <c r="G266" s="10">
        <v>0</v>
      </c>
      <c r="H266" s="10">
        <v>1091</v>
      </c>
      <c r="I266" s="10">
        <v>50</v>
      </c>
      <c r="J266" s="10">
        <v>295</v>
      </c>
      <c r="K266" s="6">
        <f t="shared" si="5"/>
        <v>8534</v>
      </c>
    </row>
    <row r="267" spans="1:11" x14ac:dyDescent="0.25">
      <c r="A267" s="7">
        <v>2014</v>
      </c>
      <c r="B267" s="8" t="s">
        <v>214</v>
      </c>
      <c r="C267" s="8" t="s">
        <v>215</v>
      </c>
      <c r="D267" s="8" t="s">
        <v>216</v>
      </c>
      <c r="E267" s="9" t="s">
        <v>217</v>
      </c>
      <c r="F267" s="10">
        <v>7375.98</v>
      </c>
      <c r="G267" s="10">
        <v>0</v>
      </c>
      <c r="H267" s="10">
        <v>1091</v>
      </c>
      <c r="I267" s="10">
        <v>50</v>
      </c>
      <c r="J267" s="10">
        <v>295</v>
      </c>
      <c r="K267" s="6">
        <f t="shared" si="5"/>
        <v>8811.98</v>
      </c>
    </row>
    <row r="268" spans="1:11" x14ac:dyDescent="0.25">
      <c r="A268" s="7">
        <v>2014</v>
      </c>
      <c r="B268" s="8" t="s">
        <v>218</v>
      </c>
      <c r="C268" s="8" t="s">
        <v>215</v>
      </c>
      <c r="D268" s="8" t="s">
        <v>216</v>
      </c>
      <c r="E268" s="9" t="s">
        <v>217</v>
      </c>
      <c r="F268" s="10">
        <v>7606.4</v>
      </c>
      <c r="G268" s="10">
        <v>0</v>
      </c>
      <c r="H268" s="10">
        <v>1091</v>
      </c>
      <c r="I268" s="10">
        <v>50</v>
      </c>
      <c r="J268" s="10">
        <v>295</v>
      </c>
      <c r="K268" s="6">
        <f t="shared" si="5"/>
        <v>9042.4</v>
      </c>
    </row>
    <row r="269" spans="1:11" x14ac:dyDescent="0.25">
      <c r="A269" s="7">
        <v>2014</v>
      </c>
      <c r="B269" s="8" t="s">
        <v>219</v>
      </c>
      <c r="C269" s="8" t="s">
        <v>220</v>
      </c>
      <c r="D269" s="8" t="s">
        <v>221</v>
      </c>
      <c r="E269" s="9" t="s">
        <v>280</v>
      </c>
      <c r="F269" s="10">
        <v>8474.51</v>
      </c>
      <c r="G269" s="10">
        <v>0</v>
      </c>
      <c r="H269" s="10">
        <v>1091</v>
      </c>
      <c r="I269" s="10">
        <v>50</v>
      </c>
      <c r="J269" s="10">
        <v>295</v>
      </c>
      <c r="K269" s="6">
        <f>SUM(F269:J269)</f>
        <v>9910.51</v>
      </c>
    </row>
    <row r="270" spans="1:11" x14ac:dyDescent="0.25">
      <c r="A270" s="7">
        <v>2014</v>
      </c>
      <c r="B270" s="8" t="s">
        <v>222</v>
      </c>
      <c r="C270" s="8" t="s">
        <v>220</v>
      </c>
      <c r="D270" s="8" t="s">
        <v>221</v>
      </c>
      <c r="E270" s="9" t="s">
        <v>280</v>
      </c>
      <c r="F270" s="10">
        <v>8474.51</v>
      </c>
      <c r="G270" s="10">
        <v>0</v>
      </c>
      <c r="H270" s="10">
        <v>1091</v>
      </c>
      <c r="I270" s="10">
        <v>50</v>
      </c>
      <c r="J270" s="10">
        <v>295</v>
      </c>
      <c r="K270" s="6">
        <f t="shared" ref="K270:K332" si="6">SUM(F270:J270)</f>
        <v>9910.51</v>
      </c>
    </row>
    <row r="271" spans="1:11" x14ac:dyDescent="0.25">
      <c r="A271" s="7">
        <v>2014</v>
      </c>
      <c r="B271" s="8" t="s">
        <v>223</v>
      </c>
      <c r="C271" s="8" t="s">
        <v>224</v>
      </c>
      <c r="D271" s="8" t="s">
        <v>225</v>
      </c>
      <c r="E271" s="9" t="s">
        <v>226</v>
      </c>
      <c r="F271" s="10">
        <v>9337.65</v>
      </c>
      <c r="G271" s="10">
        <v>0</v>
      </c>
      <c r="H271" s="10">
        <v>1091</v>
      </c>
      <c r="I271" s="10">
        <v>50</v>
      </c>
      <c r="J271" s="10">
        <v>295</v>
      </c>
      <c r="K271" s="6">
        <f t="shared" si="6"/>
        <v>10773.65</v>
      </c>
    </row>
    <row r="272" spans="1:11" x14ac:dyDescent="0.25">
      <c r="A272" s="7">
        <v>2014</v>
      </c>
      <c r="B272" s="8" t="s">
        <v>227</v>
      </c>
      <c r="C272" s="8" t="s">
        <v>224</v>
      </c>
      <c r="D272" s="8" t="s">
        <v>225</v>
      </c>
      <c r="E272" s="9" t="s">
        <v>226</v>
      </c>
      <c r="F272" s="10">
        <v>9337.65</v>
      </c>
      <c r="G272" s="10">
        <v>0</v>
      </c>
      <c r="H272" s="10">
        <v>1091</v>
      </c>
      <c r="I272" s="10">
        <v>50</v>
      </c>
      <c r="J272" s="10">
        <v>295</v>
      </c>
      <c r="K272" s="6">
        <f t="shared" si="6"/>
        <v>10773.65</v>
      </c>
    </row>
    <row r="273" spans="1:11" x14ac:dyDescent="0.25">
      <c r="A273" s="7">
        <v>2014</v>
      </c>
      <c r="B273" s="8" t="s">
        <v>228</v>
      </c>
      <c r="C273" s="8" t="s">
        <v>224</v>
      </c>
      <c r="D273" s="8" t="s">
        <v>225</v>
      </c>
      <c r="E273" s="9" t="s">
        <v>226</v>
      </c>
      <c r="F273" s="10">
        <v>9337.65</v>
      </c>
      <c r="G273" s="10">
        <v>0</v>
      </c>
      <c r="H273" s="10">
        <v>1091</v>
      </c>
      <c r="I273" s="10">
        <v>50</v>
      </c>
      <c r="J273" s="10">
        <v>295</v>
      </c>
      <c r="K273" s="6">
        <f t="shared" si="6"/>
        <v>10773.65</v>
      </c>
    </row>
    <row r="274" spans="1:11" x14ac:dyDescent="0.25">
      <c r="A274" s="7">
        <v>2014</v>
      </c>
      <c r="B274" s="8" t="s">
        <v>229</v>
      </c>
      <c r="C274" s="8" t="s">
        <v>230</v>
      </c>
      <c r="D274" s="8" t="s">
        <v>231</v>
      </c>
      <c r="E274" s="9" t="s">
        <v>281</v>
      </c>
      <c r="F274" s="10">
        <v>9337.65</v>
      </c>
      <c r="G274" s="10">
        <v>0</v>
      </c>
      <c r="H274" s="10">
        <v>1091</v>
      </c>
      <c r="I274" s="10">
        <v>50</v>
      </c>
      <c r="J274" s="10">
        <v>295</v>
      </c>
      <c r="K274" s="6">
        <f t="shared" si="6"/>
        <v>10773.65</v>
      </c>
    </row>
    <row r="275" spans="1:11" x14ac:dyDescent="0.25">
      <c r="A275" s="7">
        <v>2014</v>
      </c>
      <c r="B275" s="8" t="s">
        <v>232</v>
      </c>
      <c r="C275" s="8" t="s">
        <v>224</v>
      </c>
      <c r="D275" s="8" t="s">
        <v>225</v>
      </c>
      <c r="E275" s="9" t="s">
        <v>226</v>
      </c>
      <c r="F275" s="10">
        <v>9337.65</v>
      </c>
      <c r="G275" s="10">
        <v>0</v>
      </c>
      <c r="H275" s="10">
        <v>1091</v>
      </c>
      <c r="I275" s="10">
        <v>50</v>
      </c>
      <c r="J275" s="10">
        <v>295</v>
      </c>
      <c r="K275" s="6">
        <f t="shared" si="6"/>
        <v>10773.65</v>
      </c>
    </row>
    <row r="276" spans="1:11" x14ac:dyDescent="0.25">
      <c r="A276" s="7">
        <v>2014</v>
      </c>
      <c r="B276" s="8" t="s">
        <v>233</v>
      </c>
      <c r="C276" s="8" t="s">
        <v>234</v>
      </c>
      <c r="D276" s="8" t="s">
        <v>235</v>
      </c>
      <c r="E276" s="9" t="s">
        <v>282</v>
      </c>
      <c r="F276" s="10">
        <v>10436.280000000001</v>
      </c>
      <c r="G276" s="10">
        <v>0</v>
      </c>
      <c r="H276" s="10">
        <v>1091</v>
      </c>
      <c r="I276" s="10">
        <v>50</v>
      </c>
      <c r="J276" s="10">
        <v>295</v>
      </c>
      <c r="K276" s="6">
        <f t="shared" si="6"/>
        <v>11872.28</v>
      </c>
    </row>
    <row r="277" spans="1:11" x14ac:dyDescent="0.25">
      <c r="A277" s="7">
        <v>2014</v>
      </c>
      <c r="B277" s="8" t="s">
        <v>236</v>
      </c>
      <c r="C277" s="8" t="s">
        <v>234</v>
      </c>
      <c r="D277" s="8" t="s">
        <v>235</v>
      </c>
      <c r="E277" s="9" t="s">
        <v>282</v>
      </c>
      <c r="F277" s="10">
        <v>10436.280000000001</v>
      </c>
      <c r="G277" s="10">
        <v>0</v>
      </c>
      <c r="H277" s="10">
        <v>1091</v>
      </c>
      <c r="I277" s="10">
        <v>50</v>
      </c>
      <c r="J277" s="10">
        <v>295</v>
      </c>
      <c r="K277" s="6">
        <f t="shared" si="6"/>
        <v>11872.28</v>
      </c>
    </row>
    <row r="278" spans="1:11" x14ac:dyDescent="0.25">
      <c r="A278" s="7">
        <v>2014</v>
      </c>
      <c r="B278" s="8" t="s">
        <v>237</v>
      </c>
      <c r="C278" s="8" t="s">
        <v>234</v>
      </c>
      <c r="D278" s="8" t="s">
        <v>235</v>
      </c>
      <c r="E278" s="9" t="s">
        <v>282</v>
      </c>
      <c r="F278" s="10">
        <v>10436.280000000001</v>
      </c>
      <c r="G278" s="10">
        <v>0</v>
      </c>
      <c r="H278" s="10">
        <v>1091</v>
      </c>
      <c r="I278" s="10">
        <v>50</v>
      </c>
      <c r="J278" s="10">
        <v>295</v>
      </c>
      <c r="K278" s="6">
        <f t="shared" si="6"/>
        <v>11872.28</v>
      </c>
    </row>
    <row r="279" spans="1:11" x14ac:dyDescent="0.25">
      <c r="A279" s="7">
        <v>2014</v>
      </c>
      <c r="B279" s="8" t="s">
        <v>238</v>
      </c>
      <c r="C279" s="8" t="s">
        <v>239</v>
      </c>
      <c r="D279" s="8" t="s">
        <v>235</v>
      </c>
      <c r="E279" s="9" t="s">
        <v>283</v>
      </c>
      <c r="F279" s="10">
        <v>10200.85</v>
      </c>
      <c r="G279" s="10">
        <v>0</v>
      </c>
      <c r="H279" s="10">
        <v>1091</v>
      </c>
      <c r="I279" s="10">
        <v>50</v>
      </c>
      <c r="J279" s="10">
        <v>295</v>
      </c>
      <c r="K279" s="6">
        <f t="shared" si="6"/>
        <v>11636.85</v>
      </c>
    </row>
    <row r="280" spans="1:11" x14ac:dyDescent="0.25">
      <c r="A280" s="7">
        <v>2014</v>
      </c>
      <c r="B280" s="8" t="s">
        <v>240</v>
      </c>
      <c r="C280" s="8" t="s">
        <v>239</v>
      </c>
      <c r="D280" s="8" t="s">
        <v>235</v>
      </c>
      <c r="E280" s="9" t="s">
        <v>283</v>
      </c>
      <c r="F280" s="10">
        <v>11150</v>
      </c>
      <c r="G280" s="10">
        <v>0</v>
      </c>
      <c r="H280" s="10">
        <v>1091</v>
      </c>
      <c r="I280" s="10">
        <v>50</v>
      </c>
      <c r="J280" s="10">
        <v>295</v>
      </c>
      <c r="K280" s="6">
        <f t="shared" si="6"/>
        <v>12586</v>
      </c>
    </row>
    <row r="281" spans="1:11" x14ac:dyDescent="0.25">
      <c r="A281" s="7">
        <v>2014</v>
      </c>
      <c r="B281" s="8" t="s">
        <v>241</v>
      </c>
      <c r="C281" s="8" t="s">
        <v>239</v>
      </c>
      <c r="D281" s="8" t="s">
        <v>235</v>
      </c>
      <c r="E281" s="9" t="s">
        <v>283</v>
      </c>
      <c r="F281" s="10">
        <v>11150</v>
      </c>
      <c r="G281" s="10">
        <v>0</v>
      </c>
      <c r="H281" s="10">
        <v>1091</v>
      </c>
      <c r="I281" s="10">
        <v>50</v>
      </c>
      <c r="J281" s="10">
        <v>295</v>
      </c>
      <c r="K281" s="6">
        <f t="shared" si="6"/>
        <v>12586</v>
      </c>
    </row>
    <row r="282" spans="1:11" x14ac:dyDescent="0.25">
      <c r="A282" s="7">
        <v>2014</v>
      </c>
      <c r="B282" s="8" t="s">
        <v>242</v>
      </c>
      <c r="C282" s="8" t="s">
        <v>243</v>
      </c>
      <c r="D282" s="8" t="s">
        <v>244</v>
      </c>
      <c r="E282" s="9" t="s">
        <v>284</v>
      </c>
      <c r="F282" s="10">
        <v>12554.86</v>
      </c>
      <c r="G282" s="10">
        <v>0</v>
      </c>
      <c r="H282" s="10">
        <v>1091</v>
      </c>
      <c r="I282" s="10">
        <v>50</v>
      </c>
      <c r="J282" s="10">
        <v>295</v>
      </c>
      <c r="K282" s="6">
        <f t="shared" si="6"/>
        <v>13990.86</v>
      </c>
    </row>
    <row r="283" spans="1:11" x14ac:dyDescent="0.25">
      <c r="A283" s="7">
        <v>2014</v>
      </c>
      <c r="B283" s="8" t="s">
        <v>245</v>
      </c>
      <c r="C283" s="8" t="s">
        <v>243</v>
      </c>
      <c r="D283" s="8" t="s">
        <v>244</v>
      </c>
      <c r="E283" s="9" t="s">
        <v>284</v>
      </c>
      <c r="F283" s="10">
        <v>12554.86</v>
      </c>
      <c r="G283" s="10">
        <v>0</v>
      </c>
      <c r="H283" s="10">
        <v>1091</v>
      </c>
      <c r="I283" s="10">
        <v>50</v>
      </c>
      <c r="J283" s="10">
        <v>295</v>
      </c>
      <c r="K283" s="6">
        <f t="shared" si="6"/>
        <v>13990.86</v>
      </c>
    </row>
    <row r="284" spans="1:11" x14ac:dyDescent="0.25">
      <c r="A284" s="7">
        <v>2014</v>
      </c>
      <c r="B284" s="8" t="s">
        <v>246</v>
      </c>
      <c r="C284" s="8" t="s">
        <v>243</v>
      </c>
      <c r="D284" s="8" t="s">
        <v>244</v>
      </c>
      <c r="E284" s="9" t="s">
        <v>284</v>
      </c>
      <c r="F284" s="10">
        <v>12554.86</v>
      </c>
      <c r="G284" s="10">
        <v>0</v>
      </c>
      <c r="H284" s="10">
        <v>1091</v>
      </c>
      <c r="I284" s="10">
        <v>50</v>
      </c>
      <c r="J284" s="10">
        <v>295</v>
      </c>
      <c r="K284" s="6">
        <f t="shared" si="6"/>
        <v>13990.86</v>
      </c>
    </row>
    <row r="285" spans="1:11" x14ac:dyDescent="0.25">
      <c r="A285" s="7">
        <v>2014</v>
      </c>
      <c r="B285" s="8" t="s">
        <v>247</v>
      </c>
      <c r="C285" s="8" t="s">
        <v>243</v>
      </c>
      <c r="D285" s="8" t="s">
        <v>244</v>
      </c>
      <c r="E285" s="9" t="s">
        <v>284</v>
      </c>
      <c r="F285" s="10">
        <v>12554.86</v>
      </c>
      <c r="G285" s="10">
        <v>0</v>
      </c>
      <c r="H285" s="10">
        <v>1091</v>
      </c>
      <c r="I285" s="10">
        <v>50</v>
      </c>
      <c r="J285" s="10">
        <v>295</v>
      </c>
      <c r="K285" s="6">
        <f t="shared" si="6"/>
        <v>13990.86</v>
      </c>
    </row>
    <row r="286" spans="1:11" x14ac:dyDescent="0.25">
      <c r="A286" s="7">
        <v>2014</v>
      </c>
      <c r="B286" s="8" t="s">
        <v>248</v>
      </c>
      <c r="C286" s="8" t="s">
        <v>243</v>
      </c>
      <c r="D286" s="8" t="s">
        <v>244</v>
      </c>
      <c r="E286" s="9" t="s">
        <v>284</v>
      </c>
      <c r="F286" s="10">
        <v>12554.86</v>
      </c>
      <c r="G286" s="10">
        <v>0</v>
      </c>
      <c r="H286" s="10">
        <v>1091</v>
      </c>
      <c r="I286" s="10">
        <v>50</v>
      </c>
      <c r="J286" s="10">
        <v>295</v>
      </c>
      <c r="K286" s="6">
        <f t="shared" si="6"/>
        <v>13990.86</v>
      </c>
    </row>
    <row r="287" spans="1:11" x14ac:dyDescent="0.25">
      <c r="A287" s="7">
        <v>2014</v>
      </c>
      <c r="B287" s="8" t="s">
        <v>249</v>
      </c>
      <c r="C287" s="8" t="s">
        <v>250</v>
      </c>
      <c r="D287" s="8" t="s">
        <v>251</v>
      </c>
      <c r="E287" s="9" t="s">
        <v>252</v>
      </c>
      <c r="F287" s="10">
        <v>14604</v>
      </c>
      <c r="G287" s="10">
        <v>0</v>
      </c>
      <c r="H287" s="10">
        <v>1091</v>
      </c>
      <c r="I287" s="10">
        <v>50</v>
      </c>
      <c r="J287" s="10">
        <v>295</v>
      </c>
      <c r="K287" s="6">
        <f t="shared" si="6"/>
        <v>16040</v>
      </c>
    </row>
    <row r="288" spans="1:11" x14ac:dyDescent="0.25">
      <c r="A288" s="7">
        <v>2014</v>
      </c>
      <c r="B288" s="8" t="s">
        <v>250</v>
      </c>
      <c r="C288" s="8" t="s">
        <v>250</v>
      </c>
      <c r="D288" s="8" t="s">
        <v>251</v>
      </c>
      <c r="E288" s="9" t="s">
        <v>252</v>
      </c>
      <c r="F288" s="10">
        <v>14604</v>
      </c>
      <c r="G288" s="10">
        <v>0</v>
      </c>
      <c r="H288" s="10">
        <v>1091</v>
      </c>
      <c r="I288" s="10">
        <v>50</v>
      </c>
      <c r="J288" s="10">
        <v>295</v>
      </c>
      <c r="K288" s="6">
        <f t="shared" si="6"/>
        <v>16040</v>
      </c>
    </row>
    <row r="289" spans="1:11" x14ac:dyDescent="0.25">
      <c r="A289" s="7">
        <v>2014</v>
      </c>
      <c r="B289" s="8" t="s">
        <v>253</v>
      </c>
      <c r="C289" s="8" t="s">
        <v>250</v>
      </c>
      <c r="D289" s="8" t="s">
        <v>251</v>
      </c>
      <c r="E289" s="9" t="s">
        <v>252</v>
      </c>
      <c r="F289" s="10">
        <v>14604</v>
      </c>
      <c r="G289" s="10">
        <v>0</v>
      </c>
      <c r="H289" s="10">
        <v>1091</v>
      </c>
      <c r="I289" s="10">
        <v>50</v>
      </c>
      <c r="J289" s="10">
        <v>295</v>
      </c>
      <c r="K289" s="6">
        <f t="shared" si="6"/>
        <v>16040</v>
      </c>
    </row>
    <row r="290" spans="1:11" x14ac:dyDescent="0.25">
      <c r="A290" s="7">
        <v>2014</v>
      </c>
      <c r="B290" s="8" t="s">
        <v>254</v>
      </c>
      <c r="C290" s="8"/>
      <c r="D290" s="8" t="s">
        <v>255</v>
      </c>
      <c r="E290" s="9" t="s">
        <v>256</v>
      </c>
      <c r="F290" s="10"/>
      <c r="G290" s="10">
        <v>0</v>
      </c>
      <c r="H290" s="10">
        <v>1091</v>
      </c>
      <c r="I290" s="10">
        <v>50</v>
      </c>
      <c r="J290" s="10">
        <v>295</v>
      </c>
      <c r="K290" s="6">
        <f t="shared" si="6"/>
        <v>1436</v>
      </c>
    </row>
    <row r="291" spans="1:11" x14ac:dyDescent="0.25">
      <c r="A291" s="4">
        <v>2013</v>
      </c>
      <c r="B291" s="11" t="s">
        <v>210</v>
      </c>
      <c r="C291" s="11" t="s">
        <v>211</v>
      </c>
      <c r="D291" s="11" t="s">
        <v>212</v>
      </c>
      <c r="E291" s="12" t="s">
        <v>213</v>
      </c>
      <c r="F291" s="5">
        <v>6644.85</v>
      </c>
      <c r="G291" s="5">
        <v>0</v>
      </c>
      <c r="H291" s="5">
        <v>1091</v>
      </c>
      <c r="I291" s="5">
        <v>50</v>
      </c>
      <c r="J291" s="5">
        <v>295</v>
      </c>
      <c r="K291" s="6">
        <f t="shared" si="6"/>
        <v>8080.85</v>
      </c>
    </row>
    <row r="292" spans="1:11" x14ac:dyDescent="0.25">
      <c r="A292" s="4">
        <v>2013</v>
      </c>
      <c r="B292" s="11" t="s">
        <v>214</v>
      </c>
      <c r="C292" s="11" t="s">
        <v>215</v>
      </c>
      <c r="D292" s="11" t="s">
        <v>216</v>
      </c>
      <c r="E292" s="12" t="s">
        <v>217</v>
      </c>
      <c r="F292" s="5">
        <v>6896.1</v>
      </c>
      <c r="G292" s="5">
        <v>0</v>
      </c>
      <c r="H292" s="5">
        <v>1091</v>
      </c>
      <c r="I292" s="5">
        <v>50</v>
      </c>
      <c r="J292" s="5">
        <v>295</v>
      </c>
      <c r="K292" s="6">
        <f t="shared" si="6"/>
        <v>8332.1</v>
      </c>
    </row>
    <row r="293" spans="1:11" x14ac:dyDescent="0.25">
      <c r="A293" s="4">
        <v>2013</v>
      </c>
      <c r="B293" s="11" t="s">
        <v>218</v>
      </c>
      <c r="C293" s="11" t="s">
        <v>215</v>
      </c>
      <c r="D293" s="11" t="s">
        <v>216</v>
      </c>
      <c r="E293" s="12" t="s">
        <v>217</v>
      </c>
      <c r="F293" s="5">
        <v>7281.75</v>
      </c>
      <c r="G293" s="5">
        <v>0</v>
      </c>
      <c r="H293" s="5">
        <v>1091</v>
      </c>
      <c r="I293" s="5">
        <v>50</v>
      </c>
      <c r="J293" s="5">
        <v>295</v>
      </c>
      <c r="K293" s="6">
        <f t="shared" si="6"/>
        <v>8717.75</v>
      </c>
    </row>
    <row r="294" spans="1:11" x14ac:dyDescent="0.25">
      <c r="A294" s="4">
        <v>2013</v>
      </c>
      <c r="B294" s="11" t="s">
        <v>219</v>
      </c>
      <c r="C294" s="11" t="s">
        <v>220</v>
      </c>
      <c r="D294" s="11" t="s">
        <v>221</v>
      </c>
      <c r="E294" s="12" t="s">
        <v>280</v>
      </c>
      <c r="F294" s="5">
        <v>7923.15</v>
      </c>
      <c r="G294" s="5">
        <v>0</v>
      </c>
      <c r="H294" s="5">
        <v>1091</v>
      </c>
      <c r="I294" s="5">
        <v>50</v>
      </c>
      <c r="J294" s="5">
        <v>295</v>
      </c>
      <c r="K294" s="6">
        <f t="shared" si="6"/>
        <v>9359.15</v>
      </c>
    </row>
    <row r="295" spans="1:11" x14ac:dyDescent="0.25">
      <c r="A295" s="4">
        <v>2013</v>
      </c>
      <c r="B295" s="11" t="s">
        <v>222</v>
      </c>
      <c r="C295" s="11" t="s">
        <v>220</v>
      </c>
      <c r="D295" s="11" t="s">
        <v>221</v>
      </c>
      <c r="E295" s="12" t="s">
        <v>280</v>
      </c>
      <c r="F295" s="5">
        <v>7923.15</v>
      </c>
      <c r="G295" s="5">
        <v>0</v>
      </c>
      <c r="H295" s="5">
        <v>1091</v>
      </c>
      <c r="I295" s="5">
        <v>50</v>
      </c>
      <c r="J295" s="5">
        <v>295</v>
      </c>
      <c r="K295" s="6">
        <f t="shared" si="6"/>
        <v>9359.15</v>
      </c>
    </row>
    <row r="296" spans="1:11" x14ac:dyDescent="0.25">
      <c r="A296" s="4">
        <v>2013</v>
      </c>
      <c r="B296" s="11" t="s">
        <v>223</v>
      </c>
      <c r="C296" s="11" t="s">
        <v>224</v>
      </c>
      <c r="D296" s="11" t="s">
        <v>225</v>
      </c>
      <c r="E296" s="12" t="s">
        <v>226</v>
      </c>
      <c r="F296" s="5">
        <v>8730.15</v>
      </c>
      <c r="G296" s="5">
        <v>0</v>
      </c>
      <c r="H296" s="5">
        <v>1091</v>
      </c>
      <c r="I296" s="5">
        <v>50</v>
      </c>
      <c r="J296" s="5">
        <v>295</v>
      </c>
      <c r="K296" s="6">
        <f t="shared" si="6"/>
        <v>10166.15</v>
      </c>
    </row>
    <row r="297" spans="1:11" x14ac:dyDescent="0.25">
      <c r="A297" s="4">
        <v>2013</v>
      </c>
      <c r="B297" s="11" t="s">
        <v>227</v>
      </c>
      <c r="C297" s="11" t="s">
        <v>224</v>
      </c>
      <c r="D297" s="11" t="s">
        <v>225</v>
      </c>
      <c r="E297" s="12" t="s">
        <v>226</v>
      </c>
      <c r="F297" s="5">
        <v>8730.15</v>
      </c>
      <c r="G297" s="5">
        <v>0</v>
      </c>
      <c r="H297" s="5">
        <v>1091</v>
      </c>
      <c r="I297" s="5">
        <v>50</v>
      </c>
      <c r="J297" s="5">
        <v>295</v>
      </c>
      <c r="K297" s="6">
        <f t="shared" si="6"/>
        <v>10166.15</v>
      </c>
    </row>
    <row r="298" spans="1:11" x14ac:dyDescent="0.25">
      <c r="A298" s="4">
        <v>2013</v>
      </c>
      <c r="B298" s="11" t="s">
        <v>228</v>
      </c>
      <c r="C298" s="11" t="s">
        <v>224</v>
      </c>
      <c r="D298" s="11" t="s">
        <v>225</v>
      </c>
      <c r="E298" s="12" t="s">
        <v>226</v>
      </c>
      <c r="F298" s="5">
        <v>8730.15</v>
      </c>
      <c r="G298" s="5">
        <v>0</v>
      </c>
      <c r="H298" s="5">
        <v>1091</v>
      </c>
      <c r="I298" s="5">
        <v>50</v>
      </c>
      <c r="J298" s="5">
        <v>295</v>
      </c>
      <c r="K298" s="6">
        <f t="shared" si="6"/>
        <v>10166.15</v>
      </c>
    </row>
    <row r="299" spans="1:11" x14ac:dyDescent="0.25">
      <c r="A299" s="4">
        <v>2013</v>
      </c>
      <c r="B299" s="11" t="s">
        <v>229</v>
      </c>
      <c r="C299" s="11" t="s">
        <v>230</v>
      </c>
      <c r="D299" s="11" t="s">
        <v>231</v>
      </c>
      <c r="E299" s="12" t="s">
        <v>281</v>
      </c>
      <c r="F299" s="5">
        <v>8730.15</v>
      </c>
      <c r="G299" s="5">
        <v>0</v>
      </c>
      <c r="H299" s="5">
        <v>1091</v>
      </c>
      <c r="I299" s="5">
        <v>50</v>
      </c>
      <c r="J299" s="5">
        <v>295</v>
      </c>
      <c r="K299" s="6">
        <f t="shared" si="6"/>
        <v>10166.15</v>
      </c>
    </row>
    <row r="300" spans="1:11" x14ac:dyDescent="0.25">
      <c r="A300" s="4">
        <v>2013</v>
      </c>
      <c r="B300" s="11" t="s">
        <v>232</v>
      </c>
      <c r="C300" s="11" t="s">
        <v>224</v>
      </c>
      <c r="D300" s="11" t="s">
        <v>225</v>
      </c>
      <c r="E300" s="12" t="s">
        <v>226</v>
      </c>
      <c r="F300" s="5">
        <v>8730.15</v>
      </c>
      <c r="G300" s="5">
        <v>0</v>
      </c>
      <c r="H300" s="5">
        <v>1091</v>
      </c>
      <c r="I300" s="5">
        <v>50</v>
      </c>
      <c r="J300" s="5">
        <v>295</v>
      </c>
      <c r="K300" s="6">
        <f t="shared" si="6"/>
        <v>10166.15</v>
      </c>
    </row>
    <row r="301" spans="1:11" x14ac:dyDescent="0.25">
      <c r="A301" s="4">
        <v>2013</v>
      </c>
      <c r="B301" s="11" t="s">
        <v>233</v>
      </c>
      <c r="C301" s="11" t="s">
        <v>234</v>
      </c>
      <c r="D301" s="11" t="s">
        <v>235</v>
      </c>
      <c r="E301" s="12" t="s">
        <v>282</v>
      </c>
      <c r="F301" s="5">
        <v>9757.25</v>
      </c>
      <c r="G301" s="5">
        <v>0</v>
      </c>
      <c r="H301" s="5">
        <v>1091</v>
      </c>
      <c r="I301" s="5">
        <v>50</v>
      </c>
      <c r="J301" s="5">
        <v>295</v>
      </c>
      <c r="K301" s="6">
        <f t="shared" si="6"/>
        <v>11193.25</v>
      </c>
    </row>
    <row r="302" spans="1:11" x14ac:dyDescent="0.25">
      <c r="A302" s="4">
        <v>2013</v>
      </c>
      <c r="B302" s="11" t="s">
        <v>236</v>
      </c>
      <c r="C302" s="11" t="s">
        <v>234</v>
      </c>
      <c r="D302" s="11" t="s">
        <v>235</v>
      </c>
      <c r="E302" s="12" t="s">
        <v>282</v>
      </c>
      <c r="F302" s="5">
        <v>9757.25</v>
      </c>
      <c r="G302" s="5">
        <v>0</v>
      </c>
      <c r="H302" s="5">
        <v>1091</v>
      </c>
      <c r="I302" s="5">
        <v>50</v>
      </c>
      <c r="J302" s="5">
        <v>295</v>
      </c>
      <c r="K302" s="6">
        <f t="shared" si="6"/>
        <v>11193.25</v>
      </c>
    </row>
    <row r="303" spans="1:11" x14ac:dyDescent="0.25">
      <c r="A303" s="4">
        <v>2013</v>
      </c>
      <c r="B303" s="11" t="s">
        <v>237</v>
      </c>
      <c r="C303" s="11" t="s">
        <v>234</v>
      </c>
      <c r="D303" s="11" t="s">
        <v>235</v>
      </c>
      <c r="E303" s="12" t="s">
        <v>282</v>
      </c>
      <c r="F303" s="5">
        <v>9757.25</v>
      </c>
      <c r="G303" s="5">
        <v>0</v>
      </c>
      <c r="H303" s="5">
        <v>1091</v>
      </c>
      <c r="I303" s="5">
        <v>50</v>
      </c>
      <c r="J303" s="5">
        <v>295</v>
      </c>
      <c r="K303" s="6">
        <f t="shared" si="6"/>
        <v>11193.25</v>
      </c>
    </row>
    <row r="304" spans="1:11" x14ac:dyDescent="0.25">
      <c r="A304" s="4">
        <v>2013</v>
      </c>
      <c r="B304" s="11" t="s">
        <v>238</v>
      </c>
      <c r="C304" s="11" t="s">
        <v>239</v>
      </c>
      <c r="D304" s="11" t="s">
        <v>235</v>
      </c>
      <c r="E304" s="12" t="s">
        <v>283</v>
      </c>
      <c r="F304" s="5">
        <v>9537.15</v>
      </c>
      <c r="G304" s="5">
        <v>0</v>
      </c>
      <c r="H304" s="5">
        <v>1091</v>
      </c>
      <c r="I304" s="5">
        <v>50</v>
      </c>
      <c r="J304" s="5">
        <v>295</v>
      </c>
      <c r="K304" s="6">
        <f t="shared" si="6"/>
        <v>10973.15</v>
      </c>
    </row>
    <row r="305" spans="1:11" x14ac:dyDescent="0.25">
      <c r="A305" s="4">
        <v>2013</v>
      </c>
      <c r="B305" s="11" t="s">
        <v>240</v>
      </c>
      <c r="C305" s="11" t="s">
        <v>239</v>
      </c>
      <c r="D305" s="11" t="s">
        <v>235</v>
      </c>
      <c r="E305" s="12" t="s">
        <v>283</v>
      </c>
      <c r="F305" s="5">
        <v>10674.15</v>
      </c>
      <c r="G305" s="5">
        <v>0</v>
      </c>
      <c r="H305" s="5">
        <v>1091</v>
      </c>
      <c r="I305" s="5">
        <v>50</v>
      </c>
      <c r="J305" s="5">
        <v>295</v>
      </c>
      <c r="K305" s="6">
        <f t="shared" si="6"/>
        <v>12110.15</v>
      </c>
    </row>
    <row r="306" spans="1:11" x14ac:dyDescent="0.25">
      <c r="A306" s="4">
        <v>2013</v>
      </c>
      <c r="B306" s="11" t="s">
        <v>241</v>
      </c>
      <c r="C306" s="11" t="s">
        <v>239</v>
      </c>
      <c r="D306" s="11" t="s">
        <v>235</v>
      </c>
      <c r="E306" s="12" t="s">
        <v>283</v>
      </c>
      <c r="F306" s="5">
        <v>10674.15</v>
      </c>
      <c r="G306" s="5">
        <v>0</v>
      </c>
      <c r="H306" s="5">
        <v>1091</v>
      </c>
      <c r="I306" s="5">
        <v>50</v>
      </c>
      <c r="J306" s="5">
        <v>295</v>
      </c>
      <c r="K306" s="6">
        <f t="shared" si="6"/>
        <v>12110.15</v>
      </c>
    </row>
    <row r="307" spans="1:11" x14ac:dyDescent="0.25">
      <c r="A307" s="4">
        <v>2013</v>
      </c>
      <c r="B307" s="11" t="s">
        <v>242</v>
      </c>
      <c r="C307" s="11" t="s">
        <v>243</v>
      </c>
      <c r="D307" s="11" t="s">
        <v>244</v>
      </c>
      <c r="E307" s="12" t="s">
        <v>284</v>
      </c>
      <c r="F307" s="5">
        <v>11738</v>
      </c>
      <c r="G307" s="5">
        <v>0</v>
      </c>
      <c r="H307" s="5">
        <v>1091</v>
      </c>
      <c r="I307" s="5">
        <v>50</v>
      </c>
      <c r="J307" s="5">
        <v>295</v>
      </c>
      <c r="K307" s="6">
        <f t="shared" si="6"/>
        <v>13174</v>
      </c>
    </row>
    <row r="308" spans="1:11" x14ac:dyDescent="0.25">
      <c r="A308" s="4">
        <v>2013</v>
      </c>
      <c r="B308" s="11" t="s">
        <v>245</v>
      </c>
      <c r="C308" s="11" t="s">
        <v>243</v>
      </c>
      <c r="D308" s="11" t="s">
        <v>244</v>
      </c>
      <c r="E308" s="12" t="s">
        <v>284</v>
      </c>
      <c r="F308" s="5">
        <v>11738</v>
      </c>
      <c r="G308" s="5">
        <v>0</v>
      </c>
      <c r="H308" s="5">
        <v>1091</v>
      </c>
      <c r="I308" s="5">
        <v>50</v>
      </c>
      <c r="J308" s="5">
        <v>295</v>
      </c>
      <c r="K308" s="6">
        <f t="shared" si="6"/>
        <v>13174</v>
      </c>
    </row>
    <row r="309" spans="1:11" x14ac:dyDescent="0.25">
      <c r="A309" s="4">
        <v>2013</v>
      </c>
      <c r="B309" s="11" t="s">
        <v>246</v>
      </c>
      <c r="C309" s="11" t="s">
        <v>243</v>
      </c>
      <c r="D309" s="11" t="s">
        <v>244</v>
      </c>
      <c r="E309" s="12" t="s">
        <v>284</v>
      </c>
      <c r="F309" s="5">
        <v>11738</v>
      </c>
      <c r="G309" s="5">
        <v>0</v>
      </c>
      <c r="H309" s="5">
        <v>1091</v>
      </c>
      <c r="I309" s="5">
        <v>50</v>
      </c>
      <c r="J309" s="5">
        <v>295</v>
      </c>
      <c r="K309" s="6">
        <f t="shared" si="6"/>
        <v>13174</v>
      </c>
    </row>
    <row r="310" spans="1:11" x14ac:dyDescent="0.25">
      <c r="A310" s="4">
        <v>2013</v>
      </c>
      <c r="B310" s="11" t="s">
        <v>247</v>
      </c>
      <c r="C310" s="11" t="s">
        <v>243</v>
      </c>
      <c r="D310" s="11" t="s">
        <v>244</v>
      </c>
      <c r="E310" s="12" t="s">
        <v>284</v>
      </c>
      <c r="F310" s="5">
        <v>11738</v>
      </c>
      <c r="G310" s="5">
        <v>0</v>
      </c>
      <c r="H310" s="5">
        <v>1091</v>
      </c>
      <c r="I310" s="5">
        <v>50</v>
      </c>
      <c r="J310" s="5">
        <v>295</v>
      </c>
      <c r="K310" s="6">
        <f t="shared" si="6"/>
        <v>13174</v>
      </c>
    </row>
    <row r="311" spans="1:11" x14ac:dyDescent="0.25">
      <c r="A311" s="4">
        <v>2013</v>
      </c>
      <c r="B311" s="11" t="s">
        <v>248</v>
      </c>
      <c r="C311" s="11" t="s">
        <v>243</v>
      </c>
      <c r="D311" s="11" t="s">
        <v>244</v>
      </c>
      <c r="E311" s="12" t="s">
        <v>284</v>
      </c>
      <c r="F311" s="5">
        <v>11738</v>
      </c>
      <c r="G311" s="5">
        <v>0</v>
      </c>
      <c r="H311" s="5">
        <v>1091</v>
      </c>
      <c r="I311" s="5">
        <v>50</v>
      </c>
      <c r="J311" s="5">
        <v>295</v>
      </c>
      <c r="K311" s="6">
        <f t="shared" si="6"/>
        <v>13174</v>
      </c>
    </row>
    <row r="312" spans="1:11" x14ac:dyDescent="0.25">
      <c r="A312" s="4">
        <v>2013</v>
      </c>
      <c r="B312" s="11" t="s">
        <v>249</v>
      </c>
      <c r="C312" s="11" t="s">
        <v>250</v>
      </c>
      <c r="D312" s="11" t="s">
        <v>251</v>
      </c>
      <c r="E312" s="12" t="s">
        <v>252</v>
      </c>
      <c r="F312" s="5">
        <v>13205.25</v>
      </c>
      <c r="G312" s="5">
        <v>0</v>
      </c>
      <c r="H312" s="5">
        <v>1091</v>
      </c>
      <c r="I312" s="5">
        <v>50</v>
      </c>
      <c r="J312" s="5">
        <v>295</v>
      </c>
      <c r="K312" s="6">
        <f t="shared" si="6"/>
        <v>14641.25</v>
      </c>
    </row>
    <row r="313" spans="1:11" x14ac:dyDescent="0.25">
      <c r="A313" s="4">
        <v>2013</v>
      </c>
      <c r="B313" s="11" t="s">
        <v>250</v>
      </c>
      <c r="C313" s="11" t="s">
        <v>250</v>
      </c>
      <c r="D313" s="11" t="s">
        <v>251</v>
      </c>
      <c r="E313" s="12" t="s">
        <v>252</v>
      </c>
      <c r="F313" s="5">
        <v>13205.25</v>
      </c>
      <c r="G313" s="5">
        <v>0</v>
      </c>
      <c r="H313" s="5">
        <v>1091</v>
      </c>
      <c r="I313" s="5">
        <v>50</v>
      </c>
      <c r="J313" s="5">
        <v>295</v>
      </c>
      <c r="K313" s="6">
        <f t="shared" si="6"/>
        <v>14641.25</v>
      </c>
    </row>
    <row r="314" spans="1:11" x14ac:dyDescent="0.25">
      <c r="A314" s="4">
        <v>2013</v>
      </c>
      <c r="B314" s="11" t="s">
        <v>253</v>
      </c>
      <c r="C314" s="11" t="s">
        <v>250</v>
      </c>
      <c r="D314" s="11" t="s">
        <v>251</v>
      </c>
      <c r="E314" s="12" t="s">
        <v>252</v>
      </c>
      <c r="F314" s="5">
        <v>13205.25</v>
      </c>
      <c r="G314" s="5">
        <v>0</v>
      </c>
      <c r="H314" s="5">
        <v>1091</v>
      </c>
      <c r="I314" s="5">
        <v>50</v>
      </c>
      <c r="J314" s="5">
        <v>295</v>
      </c>
      <c r="K314" s="6">
        <f t="shared" si="6"/>
        <v>14641.25</v>
      </c>
    </row>
    <row r="315" spans="1:11" x14ac:dyDescent="0.25">
      <c r="A315" s="4">
        <v>2013</v>
      </c>
      <c r="B315" s="11" t="s">
        <v>254</v>
      </c>
      <c r="C315" s="11"/>
      <c r="D315" s="11" t="s">
        <v>255</v>
      </c>
      <c r="E315" s="12" t="s">
        <v>256</v>
      </c>
      <c r="F315" s="5"/>
      <c r="G315" s="5">
        <v>0</v>
      </c>
      <c r="H315" s="5">
        <v>1091</v>
      </c>
      <c r="I315" s="5">
        <v>50</v>
      </c>
      <c r="J315" s="5">
        <v>295</v>
      </c>
      <c r="K315" s="6">
        <f t="shared" si="6"/>
        <v>1436</v>
      </c>
    </row>
    <row r="316" spans="1:11" x14ac:dyDescent="0.25">
      <c r="A316" s="7">
        <v>2012</v>
      </c>
      <c r="B316" s="8" t="s">
        <v>210</v>
      </c>
      <c r="C316" s="8" t="s">
        <v>211</v>
      </c>
      <c r="D316" s="8" t="s">
        <v>212</v>
      </c>
      <c r="E316" s="9" t="s">
        <v>213</v>
      </c>
      <c r="F316" s="10">
        <v>6395.45</v>
      </c>
      <c r="G316" s="10">
        <v>0</v>
      </c>
      <c r="H316" s="10">
        <v>1091</v>
      </c>
      <c r="I316" s="10">
        <v>50</v>
      </c>
      <c r="J316" s="10">
        <v>295</v>
      </c>
      <c r="K316" s="6">
        <f t="shared" si="6"/>
        <v>7831.45</v>
      </c>
    </row>
    <row r="317" spans="1:11" x14ac:dyDescent="0.25">
      <c r="A317" s="7">
        <v>2012</v>
      </c>
      <c r="B317" s="8" t="s">
        <v>214</v>
      </c>
      <c r="C317" s="8" t="s">
        <v>215</v>
      </c>
      <c r="D317" s="8" t="s">
        <v>216</v>
      </c>
      <c r="E317" s="9" t="s">
        <v>217</v>
      </c>
      <c r="F317" s="10">
        <v>6637.25</v>
      </c>
      <c r="G317" s="10">
        <v>0</v>
      </c>
      <c r="H317" s="10">
        <v>1091</v>
      </c>
      <c r="I317" s="10">
        <v>50</v>
      </c>
      <c r="J317" s="10">
        <v>295</v>
      </c>
      <c r="K317" s="6">
        <f t="shared" si="6"/>
        <v>8073.25</v>
      </c>
    </row>
    <row r="318" spans="1:11" x14ac:dyDescent="0.25">
      <c r="A318" s="7">
        <v>2012</v>
      </c>
      <c r="B318" s="8" t="s">
        <v>218</v>
      </c>
      <c r="C318" s="8" t="s">
        <v>215</v>
      </c>
      <c r="D318" s="8" t="s">
        <v>216</v>
      </c>
      <c r="E318" s="9" t="s">
        <v>217</v>
      </c>
      <c r="F318" s="10">
        <v>7008.4</v>
      </c>
      <c r="G318" s="10">
        <v>0</v>
      </c>
      <c r="H318" s="10">
        <v>1091</v>
      </c>
      <c r="I318" s="10">
        <v>50</v>
      </c>
      <c r="J318" s="10">
        <v>295</v>
      </c>
      <c r="K318" s="6">
        <f t="shared" si="6"/>
        <v>8444.4</v>
      </c>
    </row>
    <row r="319" spans="1:11" x14ac:dyDescent="0.25">
      <c r="A319" s="7">
        <v>2012</v>
      </c>
      <c r="B319" s="8" t="s">
        <v>219</v>
      </c>
      <c r="C319" s="8" t="s">
        <v>220</v>
      </c>
      <c r="D319" s="8" t="s">
        <v>221</v>
      </c>
      <c r="E319" s="9" t="s">
        <v>280</v>
      </c>
      <c r="F319" s="10">
        <v>7625.75</v>
      </c>
      <c r="G319" s="10">
        <v>0</v>
      </c>
      <c r="H319" s="10">
        <v>1091</v>
      </c>
      <c r="I319" s="10">
        <v>50</v>
      </c>
      <c r="J319" s="10">
        <v>295</v>
      </c>
      <c r="K319" s="6">
        <f t="shared" si="6"/>
        <v>9061.75</v>
      </c>
    </row>
    <row r="320" spans="1:11" x14ac:dyDescent="0.25">
      <c r="A320" s="7">
        <v>2012</v>
      </c>
      <c r="B320" s="8" t="s">
        <v>222</v>
      </c>
      <c r="C320" s="8" t="s">
        <v>220</v>
      </c>
      <c r="D320" s="8" t="s">
        <v>221</v>
      </c>
      <c r="E320" s="9" t="s">
        <v>280</v>
      </c>
      <c r="F320" s="10">
        <v>7625.75</v>
      </c>
      <c r="G320" s="10">
        <v>0</v>
      </c>
      <c r="H320" s="10">
        <v>1091</v>
      </c>
      <c r="I320" s="10">
        <v>50</v>
      </c>
      <c r="J320" s="10">
        <v>295</v>
      </c>
      <c r="K320" s="6">
        <f t="shared" si="6"/>
        <v>9061.75</v>
      </c>
    </row>
    <row r="321" spans="1:11" x14ac:dyDescent="0.25">
      <c r="A321" s="7">
        <v>2012</v>
      </c>
      <c r="B321" s="8" t="s">
        <v>223</v>
      </c>
      <c r="C321" s="8" t="s">
        <v>224</v>
      </c>
      <c r="D321" s="8" t="s">
        <v>225</v>
      </c>
      <c r="E321" s="9" t="s">
        <v>226</v>
      </c>
      <c r="F321" s="10">
        <v>8402.4500000000007</v>
      </c>
      <c r="G321" s="10">
        <v>0</v>
      </c>
      <c r="H321" s="10">
        <v>1091</v>
      </c>
      <c r="I321" s="10">
        <v>50</v>
      </c>
      <c r="J321" s="10">
        <v>295</v>
      </c>
      <c r="K321" s="6">
        <f t="shared" si="6"/>
        <v>9838.4500000000007</v>
      </c>
    </row>
    <row r="322" spans="1:11" x14ac:dyDescent="0.25">
      <c r="A322" s="7">
        <v>2012</v>
      </c>
      <c r="B322" s="8" t="s">
        <v>227</v>
      </c>
      <c r="C322" s="8" t="s">
        <v>224</v>
      </c>
      <c r="D322" s="8" t="s">
        <v>225</v>
      </c>
      <c r="E322" s="9" t="s">
        <v>226</v>
      </c>
      <c r="F322" s="10">
        <v>8402.4500000000007</v>
      </c>
      <c r="G322" s="10">
        <v>0</v>
      </c>
      <c r="H322" s="10">
        <v>1091</v>
      </c>
      <c r="I322" s="10">
        <v>50</v>
      </c>
      <c r="J322" s="10">
        <v>295</v>
      </c>
      <c r="K322" s="6">
        <f t="shared" si="6"/>
        <v>9838.4500000000007</v>
      </c>
    </row>
    <row r="323" spans="1:11" x14ac:dyDescent="0.25">
      <c r="A323" s="7">
        <v>2012</v>
      </c>
      <c r="B323" s="8" t="s">
        <v>228</v>
      </c>
      <c r="C323" s="8" t="s">
        <v>224</v>
      </c>
      <c r="D323" s="8" t="s">
        <v>225</v>
      </c>
      <c r="E323" s="9" t="s">
        <v>226</v>
      </c>
      <c r="F323" s="10">
        <v>8402.4500000000007</v>
      </c>
      <c r="G323" s="10">
        <v>0</v>
      </c>
      <c r="H323" s="10">
        <v>1091</v>
      </c>
      <c r="I323" s="10">
        <v>50</v>
      </c>
      <c r="J323" s="10">
        <v>295</v>
      </c>
      <c r="K323" s="6">
        <f t="shared" si="6"/>
        <v>9838.4500000000007</v>
      </c>
    </row>
    <row r="324" spans="1:11" x14ac:dyDescent="0.25">
      <c r="A324" s="7">
        <v>2012</v>
      </c>
      <c r="B324" s="8" t="s">
        <v>229</v>
      </c>
      <c r="C324" s="8" t="s">
        <v>230</v>
      </c>
      <c r="D324" s="8" t="s">
        <v>231</v>
      </c>
      <c r="E324" s="9" t="s">
        <v>281</v>
      </c>
      <c r="F324" s="10">
        <v>8402.4500000000007</v>
      </c>
      <c r="G324" s="10">
        <v>0</v>
      </c>
      <c r="H324" s="10">
        <v>1091</v>
      </c>
      <c r="I324" s="10">
        <v>50</v>
      </c>
      <c r="J324" s="10">
        <v>295</v>
      </c>
      <c r="K324" s="6">
        <f t="shared" si="6"/>
        <v>9838.4500000000007</v>
      </c>
    </row>
    <row r="325" spans="1:11" x14ac:dyDescent="0.25">
      <c r="A325" s="7">
        <v>2012</v>
      </c>
      <c r="B325" s="8" t="s">
        <v>232</v>
      </c>
      <c r="C325" s="8" t="s">
        <v>224</v>
      </c>
      <c r="D325" s="8" t="s">
        <v>225</v>
      </c>
      <c r="E325" s="9" t="s">
        <v>226</v>
      </c>
      <c r="F325" s="10">
        <v>8402.4500000000007</v>
      </c>
      <c r="G325" s="10">
        <v>0</v>
      </c>
      <c r="H325" s="10">
        <v>1091</v>
      </c>
      <c r="I325" s="10">
        <v>50</v>
      </c>
      <c r="J325" s="10">
        <v>295</v>
      </c>
      <c r="K325" s="6">
        <f t="shared" si="6"/>
        <v>9838.4500000000007</v>
      </c>
    </row>
    <row r="326" spans="1:11" x14ac:dyDescent="0.25">
      <c r="A326" s="7">
        <v>2012</v>
      </c>
      <c r="B326" s="8" t="s">
        <v>233</v>
      </c>
      <c r="C326" s="8" t="s">
        <v>234</v>
      </c>
      <c r="D326" s="8" t="s">
        <v>235</v>
      </c>
      <c r="E326" s="9" t="s">
        <v>282</v>
      </c>
      <c r="F326" s="10">
        <v>9391</v>
      </c>
      <c r="G326" s="10">
        <v>0</v>
      </c>
      <c r="H326" s="10">
        <v>1091</v>
      </c>
      <c r="I326" s="10">
        <v>50</v>
      </c>
      <c r="J326" s="10">
        <v>295</v>
      </c>
      <c r="K326" s="6">
        <f t="shared" si="6"/>
        <v>10827</v>
      </c>
    </row>
    <row r="327" spans="1:11" x14ac:dyDescent="0.25">
      <c r="A327" s="7">
        <v>2012</v>
      </c>
      <c r="B327" s="8" t="s">
        <v>236</v>
      </c>
      <c r="C327" s="8" t="s">
        <v>234</v>
      </c>
      <c r="D327" s="8" t="s">
        <v>235</v>
      </c>
      <c r="E327" s="9" t="s">
        <v>282</v>
      </c>
      <c r="F327" s="10">
        <v>9391</v>
      </c>
      <c r="G327" s="10">
        <v>0</v>
      </c>
      <c r="H327" s="10">
        <v>1091</v>
      </c>
      <c r="I327" s="10">
        <v>50</v>
      </c>
      <c r="J327" s="10">
        <v>295</v>
      </c>
      <c r="K327" s="6">
        <f t="shared" si="6"/>
        <v>10827</v>
      </c>
    </row>
    <row r="328" spans="1:11" x14ac:dyDescent="0.25">
      <c r="A328" s="7">
        <v>2012</v>
      </c>
      <c r="B328" s="8" t="s">
        <v>237</v>
      </c>
      <c r="C328" s="8" t="s">
        <v>234</v>
      </c>
      <c r="D328" s="8" t="s">
        <v>235</v>
      </c>
      <c r="E328" s="9" t="s">
        <v>282</v>
      </c>
      <c r="F328" s="10">
        <v>9391</v>
      </c>
      <c r="G328" s="10">
        <v>0</v>
      </c>
      <c r="H328" s="10">
        <v>1091</v>
      </c>
      <c r="I328" s="10">
        <v>50</v>
      </c>
      <c r="J328" s="10">
        <v>295</v>
      </c>
      <c r="K328" s="6">
        <f t="shared" si="6"/>
        <v>10827</v>
      </c>
    </row>
    <row r="329" spans="1:11" x14ac:dyDescent="0.25">
      <c r="A329" s="7">
        <v>2012</v>
      </c>
      <c r="B329" s="8" t="s">
        <v>238</v>
      </c>
      <c r="C329" s="8" t="s">
        <v>239</v>
      </c>
      <c r="D329" s="8" t="s">
        <v>235</v>
      </c>
      <c r="E329" s="9" t="s">
        <v>283</v>
      </c>
      <c r="F329" s="10">
        <v>9179.15</v>
      </c>
      <c r="G329" s="10">
        <v>0</v>
      </c>
      <c r="H329" s="10">
        <v>1091</v>
      </c>
      <c r="I329" s="10">
        <v>50</v>
      </c>
      <c r="J329" s="10">
        <v>295</v>
      </c>
      <c r="K329" s="6">
        <f t="shared" si="6"/>
        <v>10615.15</v>
      </c>
    </row>
    <row r="330" spans="1:11" x14ac:dyDescent="0.25">
      <c r="A330" s="7">
        <v>2012</v>
      </c>
      <c r="B330" s="8" t="s">
        <v>240</v>
      </c>
      <c r="C330" s="8" t="s">
        <v>239</v>
      </c>
      <c r="D330" s="8" t="s">
        <v>235</v>
      </c>
      <c r="E330" s="9" t="s">
        <v>283</v>
      </c>
      <c r="F330" s="10">
        <v>10273.5</v>
      </c>
      <c r="G330" s="10">
        <v>0</v>
      </c>
      <c r="H330" s="10">
        <v>1091</v>
      </c>
      <c r="I330" s="10">
        <v>50</v>
      </c>
      <c r="J330" s="10">
        <v>295</v>
      </c>
      <c r="K330" s="6">
        <f t="shared" si="6"/>
        <v>11709.5</v>
      </c>
    </row>
    <row r="331" spans="1:11" x14ac:dyDescent="0.25">
      <c r="A331" s="7">
        <v>2012</v>
      </c>
      <c r="B331" s="8" t="s">
        <v>241</v>
      </c>
      <c r="C331" s="8" t="s">
        <v>239</v>
      </c>
      <c r="D331" s="8" t="s">
        <v>235</v>
      </c>
      <c r="E331" s="9" t="s">
        <v>283</v>
      </c>
      <c r="F331" s="10">
        <v>10273.5</v>
      </c>
      <c r="G331" s="10">
        <v>0</v>
      </c>
      <c r="H331" s="10">
        <v>1091</v>
      </c>
      <c r="I331" s="10">
        <v>50</v>
      </c>
      <c r="J331" s="10">
        <v>295</v>
      </c>
      <c r="K331" s="6">
        <f t="shared" si="6"/>
        <v>11709.5</v>
      </c>
    </row>
    <row r="332" spans="1:11" x14ac:dyDescent="0.25">
      <c r="A332" s="7">
        <v>2012</v>
      </c>
      <c r="B332" s="8" t="s">
        <v>242</v>
      </c>
      <c r="C332" s="8" t="s">
        <v>243</v>
      </c>
      <c r="D332" s="8" t="s">
        <v>244</v>
      </c>
      <c r="E332" s="9" t="s">
        <v>284</v>
      </c>
      <c r="F332" s="10">
        <v>11297.4</v>
      </c>
      <c r="G332" s="10">
        <v>0</v>
      </c>
      <c r="H332" s="10">
        <v>1091</v>
      </c>
      <c r="I332" s="10">
        <v>50</v>
      </c>
      <c r="J332" s="10">
        <v>295</v>
      </c>
      <c r="K332" s="6">
        <f t="shared" si="6"/>
        <v>12733.4</v>
      </c>
    </row>
    <row r="333" spans="1:11" x14ac:dyDescent="0.25">
      <c r="A333" s="7">
        <v>2012</v>
      </c>
      <c r="B333" s="8" t="s">
        <v>245</v>
      </c>
      <c r="C333" s="8" t="s">
        <v>243</v>
      </c>
      <c r="D333" s="8" t="s">
        <v>244</v>
      </c>
      <c r="E333" s="9" t="s">
        <v>284</v>
      </c>
      <c r="F333" s="10">
        <v>11297.4</v>
      </c>
      <c r="G333" s="10">
        <v>0</v>
      </c>
      <c r="H333" s="10">
        <v>931</v>
      </c>
      <c r="I333" s="10">
        <v>40</v>
      </c>
      <c r="J333" s="10">
        <v>266</v>
      </c>
      <c r="K333" s="6">
        <f>SUM(F333:J333)</f>
        <v>12534.4</v>
      </c>
    </row>
    <row r="334" spans="1:11" x14ac:dyDescent="0.25">
      <c r="A334" s="7">
        <v>2012</v>
      </c>
      <c r="B334" s="8" t="s">
        <v>246</v>
      </c>
      <c r="C334" s="8" t="s">
        <v>243</v>
      </c>
      <c r="D334" s="8" t="s">
        <v>244</v>
      </c>
      <c r="E334" s="9" t="s">
        <v>284</v>
      </c>
      <c r="F334" s="10">
        <v>11297.4</v>
      </c>
      <c r="G334" s="10">
        <v>0</v>
      </c>
      <c r="H334" s="10">
        <v>931</v>
      </c>
      <c r="I334" s="10">
        <v>40</v>
      </c>
      <c r="J334" s="10">
        <v>266</v>
      </c>
      <c r="K334" s="6">
        <f t="shared" ref="K334:K396" si="7">SUM(F334:J334)</f>
        <v>12534.4</v>
      </c>
    </row>
    <row r="335" spans="1:11" x14ac:dyDescent="0.25">
      <c r="A335" s="7">
        <v>2012</v>
      </c>
      <c r="B335" s="8" t="s">
        <v>247</v>
      </c>
      <c r="C335" s="8" t="s">
        <v>243</v>
      </c>
      <c r="D335" s="8" t="s">
        <v>244</v>
      </c>
      <c r="E335" s="9" t="s">
        <v>284</v>
      </c>
      <c r="F335" s="10">
        <v>11297.4</v>
      </c>
      <c r="G335" s="10">
        <v>0</v>
      </c>
      <c r="H335" s="10">
        <v>931</v>
      </c>
      <c r="I335" s="10">
        <v>40</v>
      </c>
      <c r="J335" s="10">
        <v>266</v>
      </c>
      <c r="K335" s="6">
        <f t="shared" si="7"/>
        <v>12534.4</v>
      </c>
    </row>
    <row r="336" spans="1:11" x14ac:dyDescent="0.25">
      <c r="A336" s="7">
        <v>2012</v>
      </c>
      <c r="B336" s="8" t="s">
        <v>248</v>
      </c>
      <c r="C336" s="8" t="s">
        <v>243</v>
      </c>
      <c r="D336" s="8" t="s">
        <v>244</v>
      </c>
      <c r="E336" s="9" t="s">
        <v>284</v>
      </c>
      <c r="F336" s="10">
        <v>11297.4</v>
      </c>
      <c r="G336" s="10">
        <v>0</v>
      </c>
      <c r="H336" s="10">
        <v>931</v>
      </c>
      <c r="I336" s="10">
        <v>40</v>
      </c>
      <c r="J336" s="10">
        <v>266</v>
      </c>
      <c r="K336" s="6">
        <f t="shared" si="7"/>
        <v>12534.4</v>
      </c>
    </row>
    <row r="337" spans="1:11" x14ac:dyDescent="0.25">
      <c r="A337" s="7">
        <v>2012</v>
      </c>
      <c r="B337" s="8" t="s">
        <v>249</v>
      </c>
      <c r="C337" s="8" t="s">
        <v>250</v>
      </c>
      <c r="D337" s="8" t="s">
        <v>251</v>
      </c>
      <c r="E337" s="9" t="s">
        <v>252</v>
      </c>
      <c r="F337" s="10">
        <v>12709.6</v>
      </c>
      <c r="G337" s="10">
        <v>0</v>
      </c>
      <c r="H337" s="10">
        <v>931</v>
      </c>
      <c r="I337" s="10">
        <v>40</v>
      </c>
      <c r="J337" s="10">
        <v>266</v>
      </c>
      <c r="K337" s="6">
        <f t="shared" si="7"/>
        <v>13946.6</v>
      </c>
    </row>
    <row r="338" spans="1:11" x14ac:dyDescent="0.25">
      <c r="A338" s="7">
        <v>2012</v>
      </c>
      <c r="B338" s="8" t="s">
        <v>250</v>
      </c>
      <c r="C338" s="8" t="s">
        <v>250</v>
      </c>
      <c r="D338" s="8" t="s">
        <v>251</v>
      </c>
      <c r="E338" s="9" t="s">
        <v>252</v>
      </c>
      <c r="F338" s="10">
        <v>12709.6</v>
      </c>
      <c r="G338" s="10">
        <v>0</v>
      </c>
      <c r="H338" s="10">
        <v>931</v>
      </c>
      <c r="I338" s="10">
        <v>40</v>
      </c>
      <c r="J338" s="10">
        <v>266</v>
      </c>
      <c r="K338" s="6">
        <f t="shared" si="7"/>
        <v>13946.6</v>
      </c>
    </row>
    <row r="339" spans="1:11" x14ac:dyDescent="0.25">
      <c r="A339" s="7">
        <v>2012</v>
      </c>
      <c r="B339" s="8" t="s">
        <v>253</v>
      </c>
      <c r="C339" s="8" t="s">
        <v>250</v>
      </c>
      <c r="D339" s="8" t="s">
        <v>251</v>
      </c>
      <c r="E339" s="9" t="s">
        <v>252</v>
      </c>
      <c r="F339" s="10">
        <v>12709.6</v>
      </c>
      <c r="G339" s="10">
        <v>0</v>
      </c>
      <c r="H339" s="10">
        <v>931</v>
      </c>
      <c r="I339" s="10">
        <v>40</v>
      </c>
      <c r="J339" s="10">
        <v>266</v>
      </c>
      <c r="K339" s="6">
        <f t="shared" si="7"/>
        <v>13946.6</v>
      </c>
    </row>
    <row r="340" spans="1:11" x14ac:dyDescent="0.25">
      <c r="A340" s="7">
        <v>2012</v>
      </c>
      <c r="B340" s="8" t="s">
        <v>254</v>
      </c>
      <c r="C340" s="8"/>
      <c r="D340" s="8" t="s">
        <v>255</v>
      </c>
      <c r="E340" s="9" t="s">
        <v>256</v>
      </c>
      <c r="F340" s="10"/>
      <c r="G340" s="10">
        <v>0</v>
      </c>
      <c r="H340" s="10">
        <v>931</v>
      </c>
      <c r="I340" s="10">
        <v>40</v>
      </c>
      <c r="J340" s="10">
        <v>266</v>
      </c>
      <c r="K340" s="6">
        <f t="shared" si="7"/>
        <v>1237</v>
      </c>
    </row>
    <row r="341" spans="1:11" x14ac:dyDescent="0.25">
      <c r="A341" s="4">
        <v>2011</v>
      </c>
      <c r="B341" s="11" t="s">
        <v>210</v>
      </c>
      <c r="C341" s="11" t="s">
        <v>211</v>
      </c>
      <c r="D341" s="11" t="s">
        <v>212</v>
      </c>
      <c r="E341" s="12" t="s">
        <v>258</v>
      </c>
      <c r="F341" s="15">
        <v>5999.07</v>
      </c>
      <c r="G341" s="15">
        <v>0</v>
      </c>
      <c r="H341" s="15">
        <v>931</v>
      </c>
      <c r="I341" s="15">
        <v>40</v>
      </c>
      <c r="J341" s="15">
        <v>266</v>
      </c>
      <c r="K341" s="6">
        <f t="shared" si="7"/>
        <v>7236.07</v>
      </c>
    </row>
    <row r="342" spans="1:11" x14ac:dyDescent="0.25">
      <c r="A342" s="4">
        <v>2011</v>
      </c>
      <c r="B342" s="11" t="s">
        <v>214</v>
      </c>
      <c r="C342" s="11" t="s">
        <v>215</v>
      </c>
      <c r="D342" s="11" t="s">
        <v>216</v>
      </c>
      <c r="E342" s="12" t="s">
        <v>259</v>
      </c>
      <c r="F342" s="15">
        <v>6225.88</v>
      </c>
      <c r="G342" s="15">
        <v>0</v>
      </c>
      <c r="H342" s="15">
        <v>931</v>
      </c>
      <c r="I342" s="15">
        <v>40</v>
      </c>
      <c r="J342" s="15">
        <v>266</v>
      </c>
      <c r="K342" s="6">
        <f t="shared" si="7"/>
        <v>7462.88</v>
      </c>
    </row>
    <row r="343" spans="1:11" x14ac:dyDescent="0.25">
      <c r="A343" s="4">
        <v>2011</v>
      </c>
      <c r="B343" s="11" t="s">
        <v>218</v>
      </c>
      <c r="C343" s="11" t="s">
        <v>215</v>
      </c>
      <c r="D343" s="11" t="s">
        <v>216</v>
      </c>
      <c r="E343" s="12" t="s">
        <v>261</v>
      </c>
      <c r="F343" s="15">
        <v>6578.21</v>
      </c>
      <c r="G343" s="15">
        <v>0</v>
      </c>
      <c r="H343" s="15">
        <v>931</v>
      </c>
      <c r="I343" s="15">
        <v>40</v>
      </c>
      <c r="J343" s="15">
        <v>266</v>
      </c>
      <c r="K343" s="6">
        <f t="shared" si="7"/>
        <v>7815.21</v>
      </c>
    </row>
    <row r="344" spans="1:11" x14ac:dyDescent="0.25">
      <c r="A344" s="4">
        <v>2011</v>
      </c>
      <c r="B344" s="11" t="s">
        <v>219</v>
      </c>
      <c r="C344" s="11" t="s">
        <v>220</v>
      </c>
      <c r="D344" s="11" t="s">
        <v>221</v>
      </c>
      <c r="E344" s="12" t="s">
        <v>260</v>
      </c>
      <c r="F344" s="15">
        <v>7153.16</v>
      </c>
      <c r="G344" s="15">
        <v>0</v>
      </c>
      <c r="H344" s="15">
        <v>931</v>
      </c>
      <c r="I344" s="15">
        <v>40</v>
      </c>
      <c r="J344" s="15">
        <v>266</v>
      </c>
      <c r="K344" s="6">
        <f t="shared" si="7"/>
        <v>8390.16</v>
      </c>
    </row>
    <row r="345" spans="1:11" x14ac:dyDescent="0.25">
      <c r="A345" s="4">
        <v>2011</v>
      </c>
      <c r="B345" s="11" t="s">
        <v>222</v>
      </c>
      <c r="C345" s="11" t="s">
        <v>220</v>
      </c>
      <c r="D345" s="11" t="s">
        <v>221</v>
      </c>
      <c r="E345" s="12" t="s">
        <v>262</v>
      </c>
      <c r="F345" s="15">
        <v>7153.16</v>
      </c>
      <c r="G345" s="15">
        <v>0</v>
      </c>
      <c r="H345" s="15">
        <v>931</v>
      </c>
      <c r="I345" s="15">
        <v>40</v>
      </c>
      <c r="J345" s="15">
        <v>266</v>
      </c>
      <c r="K345" s="6">
        <f t="shared" si="7"/>
        <v>8390.16</v>
      </c>
    </row>
    <row r="346" spans="1:11" x14ac:dyDescent="0.25">
      <c r="A346" s="4">
        <v>2011</v>
      </c>
      <c r="B346" s="11" t="s">
        <v>223</v>
      </c>
      <c r="C346" s="11" t="s">
        <v>224</v>
      </c>
      <c r="D346" s="11" t="s">
        <v>225</v>
      </c>
      <c r="E346" s="12" t="s">
        <v>263</v>
      </c>
      <c r="F346" s="15">
        <v>7881.7</v>
      </c>
      <c r="G346" s="15">
        <v>0</v>
      </c>
      <c r="H346" s="15">
        <v>931</v>
      </c>
      <c r="I346" s="15">
        <v>40</v>
      </c>
      <c r="J346" s="15">
        <v>266</v>
      </c>
      <c r="K346" s="6">
        <f t="shared" si="7"/>
        <v>9118.7000000000007</v>
      </c>
    </row>
    <row r="347" spans="1:11" x14ac:dyDescent="0.25">
      <c r="A347" s="4">
        <v>2011</v>
      </c>
      <c r="B347" s="11" t="s">
        <v>227</v>
      </c>
      <c r="C347" s="11" t="s">
        <v>224</v>
      </c>
      <c r="D347" s="11" t="s">
        <v>225</v>
      </c>
      <c r="E347" s="12" t="s">
        <v>264</v>
      </c>
      <c r="F347" s="15">
        <v>7881.7</v>
      </c>
      <c r="G347" s="15">
        <v>0</v>
      </c>
      <c r="H347" s="15">
        <v>931</v>
      </c>
      <c r="I347" s="15">
        <v>40</v>
      </c>
      <c r="J347" s="15">
        <v>266</v>
      </c>
      <c r="K347" s="6">
        <f t="shared" si="7"/>
        <v>9118.7000000000007</v>
      </c>
    </row>
    <row r="348" spans="1:11" x14ac:dyDescent="0.25">
      <c r="A348" s="4">
        <v>2011</v>
      </c>
      <c r="B348" s="11" t="s">
        <v>228</v>
      </c>
      <c r="C348" s="11" t="s">
        <v>224</v>
      </c>
      <c r="D348" s="11" t="s">
        <v>225</v>
      </c>
      <c r="E348" s="12" t="s">
        <v>265</v>
      </c>
      <c r="F348" s="15">
        <v>7881.7</v>
      </c>
      <c r="G348" s="15">
        <v>0</v>
      </c>
      <c r="H348" s="15">
        <v>931</v>
      </c>
      <c r="I348" s="15">
        <v>40</v>
      </c>
      <c r="J348" s="15">
        <v>266</v>
      </c>
      <c r="K348" s="6">
        <f t="shared" si="7"/>
        <v>9118.7000000000007</v>
      </c>
    </row>
    <row r="349" spans="1:11" x14ac:dyDescent="0.25">
      <c r="A349" s="4">
        <v>2011</v>
      </c>
      <c r="B349" s="11" t="s">
        <v>229</v>
      </c>
      <c r="C349" s="11" t="s">
        <v>230</v>
      </c>
      <c r="D349" s="11" t="s">
        <v>231</v>
      </c>
      <c r="E349" s="12"/>
      <c r="F349" s="15"/>
      <c r="G349" s="15">
        <v>0</v>
      </c>
      <c r="H349" s="15">
        <v>931</v>
      </c>
      <c r="I349" s="15">
        <v>40</v>
      </c>
      <c r="J349" s="15">
        <v>266</v>
      </c>
      <c r="K349" s="6">
        <f t="shared" si="7"/>
        <v>1237</v>
      </c>
    </row>
    <row r="350" spans="1:11" x14ac:dyDescent="0.25">
      <c r="A350" s="4">
        <v>2011</v>
      </c>
      <c r="B350" s="11" t="s">
        <v>232</v>
      </c>
      <c r="C350" s="11" t="s">
        <v>224</v>
      </c>
      <c r="D350" s="11" t="s">
        <v>225</v>
      </c>
      <c r="E350" s="12" t="s">
        <v>257</v>
      </c>
      <c r="F350" s="15">
        <v>7881.7</v>
      </c>
      <c r="G350" s="15">
        <v>0</v>
      </c>
      <c r="H350" s="15">
        <v>931</v>
      </c>
      <c r="I350" s="15">
        <v>40</v>
      </c>
      <c r="J350" s="15">
        <v>266</v>
      </c>
      <c r="K350" s="6">
        <f t="shared" si="7"/>
        <v>9118.7000000000007</v>
      </c>
    </row>
    <row r="351" spans="1:11" x14ac:dyDescent="0.25">
      <c r="A351" s="4">
        <v>2011</v>
      </c>
      <c r="B351" s="11" t="s">
        <v>233</v>
      </c>
      <c r="C351" s="11" t="s">
        <v>234</v>
      </c>
      <c r="D351" s="11" t="s">
        <v>235</v>
      </c>
      <c r="E351" s="12" t="s">
        <v>266</v>
      </c>
      <c r="F351" s="15">
        <v>8809</v>
      </c>
      <c r="G351" s="15">
        <v>0</v>
      </c>
      <c r="H351" s="15">
        <v>931</v>
      </c>
      <c r="I351" s="15">
        <v>40</v>
      </c>
      <c r="J351" s="15">
        <v>266</v>
      </c>
      <c r="K351" s="6">
        <f t="shared" si="7"/>
        <v>10046</v>
      </c>
    </row>
    <row r="352" spans="1:11" x14ac:dyDescent="0.25">
      <c r="A352" s="4">
        <v>2011</v>
      </c>
      <c r="B352" s="11" t="s">
        <v>236</v>
      </c>
      <c r="C352" s="11" t="s">
        <v>234</v>
      </c>
      <c r="D352" s="11" t="s">
        <v>235</v>
      </c>
      <c r="E352" s="12" t="s">
        <v>267</v>
      </c>
      <c r="F352" s="15">
        <v>8809</v>
      </c>
      <c r="G352" s="15">
        <v>0</v>
      </c>
      <c r="H352" s="15">
        <v>931</v>
      </c>
      <c r="I352" s="15">
        <v>40</v>
      </c>
      <c r="J352" s="15">
        <v>266</v>
      </c>
      <c r="K352" s="6">
        <f t="shared" si="7"/>
        <v>10046</v>
      </c>
    </row>
    <row r="353" spans="1:11" x14ac:dyDescent="0.25">
      <c r="A353" s="4">
        <v>2011</v>
      </c>
      <c r="B353" s="11" t="s">
        <v>237</v>
      </c>
      <c r="C353" s="11" t="s">
        <v>234</v>
      </c>
      <c r="D353" s="11" t="s">
        <v>235</v>
      </c>
      <c r="E353" s="12" t="s">
        <v>268</v>
      </c>
      <c r="F353" s="15">
        <v>8809</v>
      </c>
      <c r="G353" s="15">
        <v>0</v>
      </c>
      <c r="H353" s="15">
        <v>931</v>
      </c>
      <c r="I353" s="15">
        <v>40</v>
      </c>
      <c r="J353" s="15">
        <v>266</v>
      </c>
      <c r="K353" s="6">
        <f t="shared" si="7"/>
        <v>10046</v>
      </c>
    </row>
    <row r="354" spans="1:11" x14ac:dyDescent="0.25">
      <c r="A354" s="4">
        <v>2011</v>
      </c>
      <c r="B354" s="11" t="s">
        <v>238</v>
      </c>
      <c r="C354" s="11" t="s">
        <v>239</v>
      </c>
      <c r="D354" s="11" t="s">
        <v>235</v>
      </c>
      <c r="E354" s="12" t="s">
        <v>269</v>
      </c>
      <c r="F354" s="15">
        <v>8610.25</v>
      </c>
      <c r="G354" s="15">
        <v>0</v>
      </c>
      <c r="H354" s="15">
        <v>931</v>
      </c>
      <c r="I354" s="15">
        <v>40</v>
      </c>
      <c r="J354" s="15">
        <v>266</v>
      </c>
      <c r="K354" s="6">
        <f t="shared" si="7"/>
        <v>9847.25</v>
      </c>
    </row>
    <row r="355" spans="1:11" x14ac:dyDescent="0.25">
      <c r="A355" s="4">
        <v>2011</v>
      </c>
      <c r="B355" s="11" t="s">
        <v>240</v>
      </c>
      <c r="C355" s="11" t="s">
        <v>239</v>
      </c>
      <c r="D355" s="11" t="s">
        <v>235</v>
      </c>
      <c r="E355" s="12" t="s">
        <v>270</v>
      </c>
      <c r="F355" s="15">
        <v>9670.01</v>
      </c>
      <c r="G355" s="15">
        <v>0</v>
      </c>
      <c r="H355" s="15">
        <v>931</v>
      </c>
      <c r="I355" s="15">
        <v>40</v>
      </c>
      <c r="J355" s="15">
        <v>266</v>
      </c>
      <c r="K355" s="6">
        <f t="shared" si="7"/>
        <v>10907.01</v>
      </c>
    </row>
    <row r="356" spans="1:11" x14ac:dyDescent="0.25">
      <c r="A356" s="4">
        <v>2011</v>
      </c>
      <c r="B356" s="11" t="s">
        <v>241</v>
      </c>
      <c r="C356" s="11" t="s">
        <v>239</v>
      </c>
      <c r="D356" s="11" t="s">
        <v>235</v>
      </c>
      <c r="E356" s="12" t="s">
        <v>279</v>
      </c>
      <c r="F356" s="15">
        <v>9670.01</v>
      </c>
      <c r="G356" s="15">
        <v>0</v>
      </c>
      <c r="H356" s="15">
        <v>931</v>
      </c>
      <c r="I356" s="15">
        <v>40</v>
      </c>
      <c r="J356" s="15">
        <v>266</v>
      </c>
      <c r="K356" s="6">
        <f t="shared" si="7"/>
        <v>10907.01</v>
      </c>
    </row>
    <row r="357" spans="1:11" x14ac:dyDescent="0.25">
      <c r="A357" s="4">
        <v>2011</v>
      </c>
      <c r="B357" s="11" t="s">
        <v>242</v>
      </c>
      <c r="C357" s="11" t="s">
        <v>243</v>
      </c>
      <c r="D357" s="11" t="s">
        <v>244</v>
      </c>
      <c r="E357" s="12" t="s">
        <v>271</v>
      </c>
      <c r="F357" s="15">
        <v>10597.23</v>
      </c>
      <c r="G357" s="15">
        <v>0</v>
      </c>
      <c r="H357" s="15">
        <v>931</v>
      </c>
      <c r="I357" s="15">
        <v>40</v>
      </c>
      <c r="J357" s="15">
        <v>266</v>
      </c>
      <c r="K357" s="6">
        <f t="shared" si="7"/>
        <v>11834.23</v>
      </c>
    </row>
    <row r="358" spans="1:11" x14ac:dyDescent="0.25">
      <c r="A358" s="4">
        <v>2011</v>
      </c>
      <c r="B358" s="11" t="s">
        <v>245</v>
      </c>
      <c r="C358" s="11" t="s">
        <v>243</v>
      </c>
      <c r="D358" s="11" t="s">
        <v>244</v>
      </c>
      <c r="E358" s="12" t="s">
        <v>272</v>
      </c>
      <c r="F358" s="15">
        <v>10597.23</v>
      </c>
      <c r="G358" s="15">
        <v>0</v>
      </c>
      <c r="H358" s="15">
        <v>931</v>
      </c>
      <c r="I358" s="15">
        <v>40</v>
      </c>
      <c r="J358" s="15">
        <v>266</v>
      </c>
      <c r="K358" s="6">
        <f t="shared" si="7"/>
        <v>11834.23</v>
      </c>
    </row>
    <row r="359" spans="1:11" x14ac:dyDescent="0.25">
      <c r="A359" s="4">
        <v>2011</v>
      </c>
      <c r="B359" s="11" t="s">
        <v>246</v>
      </c>
      <c r="C359" s="11" t="s">
        <v>243</v>
      </c>
      <c r="D359" s="11" t="s">
        <v>244</v>
      </c>
      <c r="E359" s="12" t="s">
        <v>273</v>
      </c>
      <c r="F359" s="15">
        <v>10597.23</v>
      </c>
      <c r="G359" s="15">
        <v>0</v>
      </c>
      <c r="H359" s="15">
        <v>931</v>
      </c>
      <c r="I359" s="15">
        <v>40</v>
      </c>
      <c r="J359" s="15">
        <v>266</v>
      </c>
      <c r="K359" s="6">
        <f t="shared" si="7"/>
        <v>11834.23</v>
      </c>
    </row>
    <row r="360" spans="1:11" x14ac:dyDescent="0.25">
      <c r="A360" s="4">
        <v>2011</v>
      </c>
      <c r="B360" s="11" t="s">
        <v>247</v>
      </c>
      <c r="C360" s="11" t="s">
        <v>243</v>
      </c>
      <c r="D360" s="11" t="s">
        <v>244</v>
      </c>
      <c r="E360" s="12" t="s">
        <v>274</v>
      </c>
      <c r="F360" s="15">
        <v>10597.23</v>
      </c>
      <c r="G360" s="15">
        <v>0</v>
      </c>
      <c r="H360" s="15">
        <v>931</v>
      </c>
      <c r="I360" s="15">
        <v>40</v>
      </c>
      <c r="J360" s="15">
        <v>266</v>
      </c>
      <c r="K360" s="6">
        <f t="shared" si="7"/>
        <v>11834.23</v>
      </c>
    </row>
    <row r="361" spans="1:11" x14ac:dyDescent="0.25">
      <c r="A361" s="4">
        <v>2011</v>
      </c>
      <c r="B361" s="11" t="s">
        <v>248</v>
      </c>
      <c r="C361" s="11" t="s">
        <v>243</v>
      </c>
      <c r="D361" s="11" t="s">
        <v>244</v>
      </c>
      <c r="E361" s="12" t="s">
        <v>275</v>
      </c>
      <c r="F361" s="15">
        <v>10597.23</v>
      </c>
      <c r="G361" s="15">
        <v>0</v>
      </c>
      <c r="H361" s="15">
        <v>931</v>
      </c>
      <c r="I361" s="15">
        <v>40</v>
      </c>
      <c r="J361" s="15">
        <v>266</v>
      </c>
      <c r="K361" s="6">
        <f t="shared" si="7"/>
        <v>11834.23</v>
      </c>
    </row>
    <row r="362" spans="1:11" x14ac:dyDescent="0.25">
      <c r="A362" s="4">
        <v>2011</v>
      </c>
      <c r="B362" s="11" t="s">
        <v>249</v>
      </c>
      <c r="C362" s="11" t="s">
        <v>250</v>
      </c>
      <c r="D362" s="11" t="s">
        <v>251</v>
      </c>
      <c r="E362" s="12" t="s">
        <v>276</v>
      </c>
      <c r="F362" s="15">
        <v>11921.9</v>
      </c>
      <c r="G362" s="15">
        <v>0</v>
      </c>
      <c r="H362" s="15">
        <v>931</v>
      </c>
      <c r="I362" s="15">
        <v>40</v>
      </c>
      <c r="J362" s="15">
        <v>266</v>
      </c>
      <c r="K362" s="6">
        <f t="shared" si="7"/>
        <v>13158.9</v>
      </c>
    </row>
    <row r="363" spans="1:11" x14ac:dyDescent="0.25">
      <c r="A363" s="4">
        <v>2011</v>
      </c>
      <c r="B363" s="11" t="s">
        <v>250</v>
      </c>
      <c r="C363" s="11" t="s">
        <v>250</v>
      </c>
      <c r="D363" s="11" t="s">
        <v>251</v>
      </c>
      <c r="E363" s="12" t="s">
        <v>277</v>
      </c>
      <c r="F363" s="15">
        <v>11921.9</v>
      </c>
      <c r="G363" s="15">
        <v>0</v>
      </c>
      <c r="H363" s="15">
        <v>931</v>
      </c>
      <c r="I363" s="15">
        <v>40</v>
      </c>
      <c r="J363" s="15">
        <v>266</v>
      </c>
      <c r="K363" s="6">
        <f t="shared" si="7"/>
        <v>13158.9</v>
      </c>
    </row>
    <row r="364" spans="1:11" x14ac:dyDescent="0.25">
      <c r="A364" s="4">
        <v>2011</v>
      </c>
      <c r="B364" s="11" t="s">
        <v>253</v>
      </c>
      <c r="C364" s="11" t="s">
        <v>250</v>
      </c>
      <c r="D364" s="11" t="s">
        <v>251</v>
      </c>
      <c r="E364" s="12" t="s">
        <v>278</v>
      </c>
      <c r="F364" s="15">
        <v>11921.9</v>
      </c>
      <c r="G364" s="15">
        <v>0</v>
      </c>
      <c r="H364" s="15">
        <v>931</v>
      </c>
      <c r="I364" s="15">
        <v>40</v>
      </c>
      <c r="J364" s="15">
        <v>266</v>
      </c>
      <c r="K364" s="6">
        <f t="shared" si="7"/>
        <v>13158.9</v>
      </c>
    </row>
    <row r="365" spans="1:11" x14ac:dyDescent="0.25">
      <c r="A365" s="4">
        <v>2011</v>
      </c>
      <c r="B365" s="11" t="s">
        <v>254</v>
      </c>
      <c r="C365" s="11"/>
      <c r="D365" s="11" t="s">
        <v>255</v>
      </c>
      <c r="E365" s="12" t="s">
        <v>256</v>
      </c>
      <c r="F365" s="15"/>
      <c r="G365" s="15">
        <v>0</v>
      </c>
      <c r="H365" s="15">
        <v>931</v>
      </c>
      <c r="I365" s="15">
        <v>40</v>
      </c>
      <c r="J365" s="15">
        <v>266</v>
      </c>
      <c r="K365" s="6">
        <f t="shared" si="7"/>
        <v>1237</v>
      </c>
    </row>
    <row r="366" spans="1:11" x14ac:dyDescent="0.25">
      <c r="A366" s="7">
        <v>2010</v>
      </c>
      <c r="B366" s="8" t="s">
        <v>210</v>
      </c>
      <c r="C366" s="8" t="s">
        <v>211</v>
      </c>
      <c r="D366" s="8" t="s">
        <v>212</v>
      </c>
      <c r="E366" s="9" t="s">
        <v>258</v>
      </c>
      <c r="F366" s="10">
        <v>5773.89</v>
      </c>
      <c r="G366" s="10"/>
      <c r="H366" s="10">
        <v>931</v>
      </c>
      <c r="I366" s="10">
        <v>40</v>
      </c>
      <c r="J366" s="10">
        <v>266</v>
      </c>
      <c r="K366" s="6">
        <f t="shared" si="7"/>
        <v>7010.89</v>
      </c>
    </row>
    <row r="367" spans="1:11" x14ac:dyDescent="0.25">
      <c r="A367" s="7">
        <v>2010</v>
      </c>
      <c r="B367" s="8" t="s">
        <v>214</v>
      </c>
      <c r="C367" s="8" t="s">
        <v>215</v>
      </c>
      <c r="D367" s="8" t="s">
        <v>216</v>
      </c>
      <c r="E367" s="9" t="s">
        <v>259</v>
      </c>
      <c r="F367" s="10">
        <v>5992.19</v>
      </c>
      <c r="G367" s="10"/>
      <c r="H367" s="10">
        <v>931</v>
      </c>
      <c r="I367" s="10">
        <v>40</v>
      </c>
      <c r="J367" s="10">
        <v>266</v>
      </c>
      <c r="K367" s="6">
        <f t="shared" si="7"/>
        <v>7229.19</v>
      </c>
    </row>
    <row r="368" spans="1:11" x14ac:dyDescent="0.25">
      <c r="A368" s="7">
        <v>2010</v>
      </c>
      <c r="B368" s="8" t="s">
        <v>218</v>
      </c>
      <c r="C368" s="8" t="s">
        <v>215</v>
      </c>
      <c r="D368" s="8" t="s">
        <v>216</v>
      </c>
      <c r="E368" s="9" t="s">
        <v>261</v>
      </c>
      <c r="F368" s="10">
        <v>6331.29</v>
      </c>
      <c r="G368" s="10"/>
      <c r="H368" s="10">
        <v>931</v>
      </c>
      <c r="I368" s="10">
        <v>40</v>
      </c>
      <c r="J368" s="10">
        <v>266</v>
      </c>
      <c r="K368" s="6">
        <f t="shared" si="7"/>
        <v>7568.29</v>
      </c>
    </row>
    <row r="369" spans="1:11" x14ac:dyDescent="0.25">
      <c r="A369" s="7">
        <v>2010</v>
      </c>
      <c r="B369" s="8" t="s">
        <v>219</v>
      </c>
      <c r="C369" s="8" t="s">
        <v>220</v>
      </c>
      <c r="D369" s="8" t="s">
        <v>221</v>
      </c>
      <c r="E369" s="9" t="s">
        <v>260</v>
      </c>
      <c r="F369" s="10">
        <v>6884.66</v>
      </c>
      <c r="G369" s="10"/>
      <c r="H369" s="10">
        <v>931</v>
      </c>
      <c r="I369" s="10">
        <v>40</v>
      </c>
      <c r="J369" s="10">
        <v>266</v>
      </c>
      <c r="K369" s="6">
        <f t="shared" si="7"/>
        <v>8121.66</v>
      </c>
    </row>
    <row r="370" spans="1:11" x14ac:dyDescent="0.25">
      <c r="A370" s="7">
        <v>2010</v>
      </c>
      <c r="B370" s="8" t="s">
        <v>222</v>
      </c>
      <c r="C370" s="8" t="s">
        <v>220</v>
      </c>
      <c r="D370" s="8" t="s">
        <v>221</v>
      </c>
      <c r="E370" s="9" t="s">
        <v>262</v>
      </c>
      <c r="F370" s="10">
        <v>6884.66</v>
      </c>
      <c r="G370" s="10"/>
      <c r="H370" s="10">
        <v>931</v>
      </c>
      <c r="I370" s="10">
        <v>40</v>
      </c>
      <c r="J370" s="10">
        <v>266</v>
      </c>
      <c r="K370" s="6">
        <f t="shared" si="7"/>
        <v>8121.66</v>
      </c>
    </row>
    <row r="371" spans="1:11" x14ac:dyDescent="0.25">
      <c r="A371" s="7">
        <v>2010</v>
      </c>
      <c r="B371" s="8" t="s">
        <v>223</v>
      </c>
      <c r="C371" s="8" t="s">
        <v>224</v>
      </c>
      <c r="D371" s="8" t="s">
        <v>225</v>
      </c>
      <c r="E371" s="9" t="s">
        <v>263</v>
      </c>
      <c r="F371" s="10">
        <v>7585.85</v>
      </c>
      <c r="G371" s="10"/>
      <c r="H371" s="10">
        <v>931</v>
      </c>
      <c r="I371" s="10">
        <v>40</v>
      </c>
      <c r="J371" s="10">
        <v>266</v>
      </c>
      <c r="K371" s="6">
        <f t="shared" si="7"/>
        <v>8822.85</v>
      </c>
    </row>
    <row r="372" spans="1:11" x14ac:dyDescent="0.25">
      <c r="A372" s="7">
        <v>2010</v>
      </c>
      <c r="B372" s="8" t="s">
        <v>227</v>
      </c>
      <c r="C372" s="8" t="s">
        <v>224</v>
      </c>
      <c r="D372" s="8" t="s">
        <v>225</v>
      </c>
      <c r="E372" s="9" t="s">
        <v>264</v>
      </c>
      <c r="F372" s="10">
        <v>7585.85</v>
      </c>
      <c r="G372" s="10"/>
      <c r="H372" s="10">
        <v>931</v>
      </c>
      <c r="I372" s="10">
        <v>40</v>
      </c>
      <c r="J372" s="10">
        <v>266</v>
      </c>
      <c r="K372" s="6">
        <f t="shared" si="7"/>
        <v>8822.85</v>
      </c>
    </row>
    <row r="373" spans="1:11" x14ac:dyDescent="0.25">
      <c r="A373" s="7">
        <v>2010</v>
      </c>
      <c r="B373" s="8" t="s">
        <v>228</v>
      </c>
      <c r="C373" s="8" t="s">
        <v>224</v>
      </c>
      <c r="D373" s="8" t="s">
        <v>225</v>
      </c>
      <c r="E373" s="9" t="s">
        <v>265</v>
      </c>
      <c r="F373" s="10">
        <v>7585.85</v>
      </c>
      <c r="G373" s="10"/>
      <c r="H373" s="10">
        <v>931</v>
      </c>
      <c r="I373" s="10">
        <v>40</v>
      </c>
      <c r="J373" s="10">
        <v>266</v>
      </c>
      <c r="K373" s="6">
        <f t="shared" si="7"/>
        <v>8822.85</v>
      </c>
    </row>
    <row r="374" spans="1:11" x14ac:dyDescent="0.25">
      <c r="A374" s="7">
        <v>2010</v>
      </c>
      <c r="B374" s="8" t="s">
        <v>229</v>
      </c>
      <c r="C374" s="8" t="s">
        <v>230</v>
      </c>
      <c r="D374" s="8" t="s">
        <v>231</v>
      </c>
      <c r="E374" s="9"/>
      <c r="F374" s="10">
        <v>0</v>
      </c>
      <c r="G374" s="10"/>
      <c r="H374" s="10">
        <v>931</v>
      </c>
      <c r="I374" s="10">
        <v>40</v>
      </c>
      <c r="J374" s="10">
        <v>266</v>
      </c>
      <c r="K374" s="6">
        <f t="shared" si="7"/>
        <v>1237</v>
      </c>
    </row>
    <row r="375" spans="1:11" x14ac:dyDescent="0.25">
      <c r="A375" s="7">
        <v>2010</v>
      </c>
      <c r="B375" s="8" t="s">
        <v>232</v>
      </c>
      <c r="C375" s="8" t="s">
        <v>224</v>
      </c>
      <c r="D375" s="8" t="s">
        <v>225</v>
      </c>
      <c r="E375" s="9" t="s">
        <v>257</v>
      </c>
      <c r="F375" s="10">
        <v>7585.85</v>
      </c>
      <c r="G375" s="10"/>
      <c r="H375" s="10">
        <v>931</v>
      </c>
      <c r="I375" s="10">
        <v>40</v>
      </c>
      <c r="J375" s="10">
        <v>266</v>
      </c>
      <c r="K375" s="6">
        <f t="shared" si="7"/>
        <v>8822.85</v>
      </c>
    </row>
    <row r="376" spans="1:11" x14ac:dyDescent="0.25">
      <c r="A376" s="7">
        <v>2010</v>
      </c>
      <c r="B376" s="8" t="s">
        <v>233</v>
      </c>
      <c r="C376" s="8" t="s">
        <v>234</v>
      </c>
      <c r="D376" s="8" t="s">
        <v>235</v>
      </c>
      <c r="E376" s="9" t="s">
        <v>266</v>
      </c>
      <c r="F376" s="10">
        <v>8478.35</v>
      </c>
      <c r="G376" s="10"/>
      <c r="H376" s="10">
        <v>931</v>
      </c>
      <c r="I376" s="10">
        <v>40</v>
      </c>
      <c r="J376" s="10">
        <v>266</v>
      </c>
      <c r="K376" s="6">
        <f t="shared" si="7"/>
        <v>9715.35</v>
      </c>
    </row>
    <row r="377" spans="1:11" x14ac:dyDescent="0.25">
      <c r="A377" s="7">
        <v>2010</v>
      </c>
      <c r="B377" s="8" t="s">
        <v>236</v>
      </c>
      <c r="C377" s="8" t="s">
        <v>234</v>
      </c>
      <c r="D377" s="8" t="s">
        <v>235</v>
      </c>
      <c r="E377" s="9" t="s">
        <v>267</v>
      </c>
      <c r="F377" s="10">
        <v>8478.35</v>
      </c>
      <c r="G377" s="10"/>
      <c r="H377" s="10">
        <v>931</v>
      </c>
      <c r="I377" s="10">
        <v>40</v>
      </c>
      <c r="J377" s="10">
        <v>266</v>
      </c>
      <c r="K377" s="6">
        <f t="shared" si="7"/>
        <v>9715.35</v>
      </c>
    </row>
    <row r="378" spans="1:11" x14ac:dyDescent="0.25">
      <c r="A378" s="7">
        <v>2010</v>
      </c>
      <c r="B378" s="8" t="s">
        <v>237</v>
      </c>
      <c r="C378" s="8" t="s">
        <v>234</v>
      </c>
      <c r="D378" s="8" t="s">
        <v>235</v>
      </c>
      <c r="E378" s="9" t="s">
        <v>268</v>
      </c>
      <c r="F378" s="10">
        <v>8478.35</v>
      </c>
      <c r="G378" s="10"/>
      <c r="H378" s="10">
        <v>931</v>
      </c>
      <c r="I378" s="10">
        <v>40</v>
      </c>
      <c r="J378" s="10">
        <v>266</v>
      </c>
      <c r="K378" s="6">
        <f t="shared" si="7"/>
        <v>9715.35</v>
      </c>
    </row>
    <row r="379" spans="1:11" x14ac:dyDescent="0.25">
      <c r="A379" s="7">
        <v>2010</v>
      </c>
      <c r="B379" s="8" t="s">
        <v>238</v>
      </c>
      <c r="C379" s="8" t="s">
        <v>239</v>
      </c>
      <c r="D379" s="8" t="s">
        <v>235</v>
      </c>
      <c r="E379" s="9" t="s">
        <v>269</v>
      </c>
      <c r="F379" s="10">
        <v>8287.06</v>
      </c>
      <c r="G379" s="10"/>
      <c r="H379" s="10">
        <v>931</v>
      </c>
      <c r="I379" s="10">
        <v>40</v>
      </c>
      <c r="J379" s="10">
        <v>266</v>
      </c>
      <c r="K379" s="6">
        <f t="shared" si="7"/>
        <v>9524.06</v>
      </c>
    </row>
    <row r="380" spans="1:11" x14ac:dyDescent="0.25">
      <c r="A380" s="7">
        <v>2010</v>
      </c>
      <c r="B380" s="8" t="s">
        <v>240</v>
      </c>
      <c r="C380" s="8" t="s">
        <v>239</v>
      </c>
      <c r="D380" s="8" t="s">
        <v>235</v>
      </c>
      <c r="E380" s="9" t="s">
        <v>270</v>
      </c>
      <c r="F380" s="10">
        <v>9307.0400000000009</v>
      </c>
      <c r="G380" s="10"/>
      <c r="H380" s="10">
        <v>931</v>
      </c>
      <c r="I380" s="10">
        <v>40</v>
      </c>
      <c r="J380" s="10">
        <v>266</v>
      </c>
      <c r="K380" s="6">
        <f t="shared" si="7"/>
        <v>10544.04</v>
      </c>
    </row>
    <row r="381" spans="1:11" x14ac:dyDescent="0.25">
      <c r="A381" s="7">
        <v>2010</v>
      </c>
      <c r="B381" s="8" t="s">
        <v>241</v>
      </c>
      <c r="C381" s="8" t="s">
        <v>239</v>
      </c>
      <c r="D381" s="8" t="s">
        <v>235</v>
      </c>
      <c r="E381" s="9" t="s">
        <v>279</v>
      </c>
      <c r="F381" s="10">
        <v>9307.0400000000009</v>
      </c>
      <c r="G381" s="10"/>
      <c r="H381" s="10">
        <v>931</v>
      </c>
      <c r="I381" s="10">
        <v>40</v>
      </c>
      <c r="J381" s="10">
        <v>266</v>
      </c>
      <c r="K381" s="6">
        <f t="shared" si="7"/>
        <v>10544.04</v>
      </c>
    </row>
    <row r="382" spans="1:11" x14ac:dyDescent="0.25">
      <c r="A382" s="7">
        <v>2010</v>
      </c>
      <c r="B382" s="8" t="s">
        <v>242</v>
      </c>
      <c r="C382" s="8" t="s">
        <v>243</v>
      </c>
      <c r="D382" s="8" t="s">
        <v>244</v>
      </c>
      <c r="E382" s="9" t="s">
        <v>271</v>
      </c>
      <c r="F382" s="10">
        <v>10199.450000000001</v>
      </c>
      <c r="G382" s="10"/>
      <c r="H382" s="10">
        <v>931</v>
      </c>
      <c r="I382" s="10">
        <v>40</v>
      </c>
      <c r="J382" s="10">
        <v>266</v>
      </c>
      <c r="K382" s="6">
        <f t="shared" si="7"/>
        <v>11436.45</v>
      </c>
    </row>
    <row r="383" spans="1:11" x14ac:dyDescent="0.25">
      <c r="A383" s="7">
        <v>2010</v>
      </c>
      <c r="B383" s="8" t="s">
        <v>245</v>
      </c>
      <c r="C383" s="8" t="s">
        <v>243</v>
      </c>
      <c r="D383" s="8" t="s">
        <v>244</v>
      </c>
      <c r="E383" s="9" t="s">
        <v>272</v>
      </c>
      <c r="F383" s="10">
        <v>10199.450000000001</v>
      </c>
      <c r="G383" s="10"/>
      <c r="H383" s="10">
        <v>931</v>
      </c>
      <c r="I383" s="10">
        <v>40</v>
      </c>
      <c r="J383" s="10">
        <v>266</v>
      </c>
      <c r="K383" s="6">
        <f t="shared" si="7"/>
        <v>11436.45</v>
      </c>
    </row>
    <row r="384" spans="1:11" x14ac:dyDescent="0.25">
      <c r="A384" s="7">
        <v>2010</v>
      </c>
      <c r="B384" s="8" t="s">
        <v>246</v>
      </c>
      <c r="C384" s="8" t="s">
        <v>243</v>
      </c>
      <c r="D384" s="8" t="s">
        <v>244</v>
      </c>
      <c r="E384" s="9" t="s">
        <v>273</v>
      </c>
      <c r="F384" s="10">
        <v>10199.450000000001</v>
      </c>
      <c r="G384" s="10"/>
      <c r="H384" s="10">
        <v>931</v>
      </c>
      <c r="I384" s="10">
        <v>40</v>
      </c>
      <c r="J384" s="10">
        <v>266</v>
      </c>
      <c r="K384" s="6">
        <f t="shared" si="7"/>
        <v>11436.45</v>
      </c>
    </row>
    <row r="385" spans="1:11" x14ac:dyDescent="0.25">
      <c r="A385" s="7">
        <v>2010</v>
      </c>
      <c r="B385" s="8" t="s">
        <v>247</v>
      </c>
      <c r="C385" s="8" t="s">
        <v>243</v>
      </c>
      <c r="D385" s="8" t="s">
        <v>244</v>
      </c>
      <c r="E385" s="9" t="s">
        <v>274</v>
      </c>
      <c r="F385" s="10">
        <v>10199.450000000001</v>
      </c>
      <c r="G385" s="10"/>
      <c r="H385" s="10">
        <v>931</v>
      </c>
      <c r="I385" s="10">
        <v>40</v>
      </c>
      <c r="J385" s="10">
        <v>266</v>
      </c>
      <c r="K385" s="6">
        <f t="shared" si="7"/>
        <v>11436.45</v>
      </c>
    </row>
    <row r="386" spans="1:11" x14ac:dyDescent="0.25">
      <c r="A386" s="7">
        <v>2010</v>
      </c>
      <c r="B386" s="8" t="s">
        <v>248</v>
      </c>
      <c r="C386" s="8" t="s">
        <v>243</v>
      </c>
      <c r="D386" s="8" t="s">
        <v>244</v>
      </c>
      <c r="E386" s="9" t="s">
        <v>275</v>
      </c>
      <c r="F386" s="10">
        <v>10199.450000000001</v>
      </c>
      <c r="G386" s="10"/>
      <c r="H386" s="10">
        <v>931</v>
      </c>
      <c r="I386" s="10">
        <v>40</v>
      </c>
      <c r="J386" s="10">
        <v>266</v>
      </c>
      <c r="K386" s="6">
        <f t="shared" si="7"/>
        <v>11436.45</v>
      </c>
    </row>
    <row r="387" spans="1:11" x14ac:dyDescent="0.25">
      <c r="A387" s="7">
        <v>2010</v>
      </c>
      <c r="B387" s="8" t="s">
        <v>249</v>
      </c>
      <c r="C387" s="8" t="s">
        <v>250</v>
      </c>
      <c r="D387" s="8" t="s">
        <v>251</v>
      </c>
      <c r="E387" s="9" t="s">
        <v>276</v>
      </c>
      <c r="F387" s="10">
        <v>11474.4</v>
      </c>
      <c r="G387" s="10"/>
      <c r="H387" s="10">
        <v>931</v>
      </c>
      <c r="I387" s="10">
        <v>40</v>
      </c>
      <c r="J387" s="10">
        <v>266</v>
      </c>
      <c r="K387" s="6">
        <f t="shared" si="7"/>
        <v>12711.4</v>
      </c>
    </row>
    <row r="388" spans="1:11" x14ac:dyDescent="0.25">
      <c r="A388" s="7">
        <v>2010</v>
      </c>
      <c r="B388" s="8" t="s">
        <v>250</v>
      </c>
      <c r="C388" s="8" t="s">
        <v>250</v>
      </c>
      <c r="D388" s="8" t="s">
        <v>251</v>
      </c>
      <c r="E388" s="9" t="s">
        <v>277</v>
      </c>
      <c r="F388" s="10">
        <v>11474.4</v>
      </c>
      <c r="G388" s="10"/>
      <c r="H388" s="10">
        <v>931</v>
      </c>
      <c r="I388" s="10">
        <v>40</v>
      </c>
      <c r="J388" s="10">
        <v>266</v>
      </c>
      <c r="K388" s="6">
        <f t="shared" si="7"/>
        <v>12711.4</v>
      </c>
    </row>
    <row r="389" spans="1:11" x14ac:dyDescent="0.25">
      <c r="A389" s="7">
        <v>2010</v>
      </c>
      <c r="B389" s="8" t="s">
        <v>253</v>
      </c>
      <c r="C389" s="8" t="s">
        <v>250</v>
      </c>
      <c r="D389" s="8" t="s">
        <v>251</v>
      </c>
      <c r="E389" s="9" t="s">
        <v>278</v>
      </c>
      <c r="F389" s="10">
        <v>11474.4</v>
      </c>
      <c r="G389" s="10"/>
      <c r="H389" s="10">
        <v>931</v>
      </c>
      <c r="I389" s="10">
        <v>40</v>
      </c>
      <c r="J389" s="10">
        <v>266</v>
      </c>
      <c r="K389" s="6">
        <f t="shared" si="7"/>
        <v>12711.4</v>
      </c>
    </row>
    <row r="390" spans="1:11" x14ac:dyDescent="0.25">
      <c r="A390" s="7">
        <v>2010</v>
      </c>
      <c r="B390" s="8" t="s">
        <v>254</v>
      </c>
      <c r="C390" s="8"/>
      <c r="D390" s="8" t="s">
        <v>255</v>
      </c>
      <c r="E390" s="9" t="s">
        <v>256</v>
      </c>
      <c r="F390" s="10">
        <v>0</v>
      </c>
      <c r="G390" s="10"/>
      <c r="H390" s="10">
        <v>931</v>
      </c>
      <c r="I390" s="10">
        <v>40</v>
      </c>
      <c r="J390" s="10">
        <v>266</v>
      </c>
      <c r="K390" s="6">
        <f t="shared" si="7"/>
        <v>1237</v>
      </c>
    </row>
    <row r="391" spans="1:11" x14ac:dyDescent="0.25">
      <c r="A391" s="4">
        <v>2009</v>
      </c>
      <c r="B391" s="11" t="s">
        <v>210</v>
      </c>
      <c r="C391" s="11" t="s">
        <v>211</v>
      </c>
      <c r="D391" s="11" t="s">
        <v>212</v>
      </c>
      <c r="E391" s="12" t="s">
        <v>258</v>
      </c>
      <c r="F391" s="15">
        <v>5551.81</v>
      </c>
      <c r="G391" s="15"/>
      <c r="H391" s="15">
        <v>931</v>
      </c>
      <c r="I391" s="15">
        <v>40</v>
      </c>
      <c r="J391" s="15">
        <v>266</v>
      </c>
      <c r="K391" s="6">
        <f t="shared" si="7"/>
        <v>6788.81</v>
      </c>
    </row>
    <row r="392" spans="1:11" x14ac:dyDescent="0.25">
      <c r="A392" s="4">
        <v>2009</v>
      </c>
      <c r="B392" s="11" t="s">
        <v>214</v>
      </c>
      <c r="C392" s="11" t="s">
        <v>215</v>
      </c>
      <c r="D392" s="11" t="s">
        <v>216</v>
      </c>
      <c r="E392" s="12" t="s">
        <v>259</v>
      </c>
      <c r="F392" s="15">
        <v>5761.72</v>
      </c>
      <c r="G392" s="15"/>
      <c r="H392" s="15">
        <v>931</v>
      </c>
      <c r="I392" s="15">
        <v>40</v>
      </c>
      <c r="J392" s="15">
        <v>266</v>
      </c>
      <c r="K392" s="6">
        <f t="shared" si="7"/>
        <v>6998.72</v>
      </c>
    </row>
    <row r="393" spans="1:11" x14ac:dyDescent="0.25">
      <c r="A393" s="4">
        <v>2009</v>
      </c>
      <c r="B393" s="11" t="s">
        <v>218</v>
      </c>
      <c r="C393" s="11" t="s">
        <v>215</v>
      </c>
      <c r="D393" s="11" t="s">
        <v>216</v>
      </c>
      <c r="E393" s="12" t="s">
        <v>261</v>
      </c>
      <c r="F393" s="15">
        <v>6087.78</v>
      </c>
      <c r="G393" s="15"/>
      <c r="H393" s="15">
        <v>931</v>
      </c>
      <c r="I393" s="15">
        <v>40</v>
      </c>
      <c r="J393" s="15">
        <v>266</v>
      </c>
      <c r="K393" s="6">
        <f t="shared" si="7"/>
        <v>7324.78</v>
      </c>
    </row>
    <row r="394" spans="1:11" x14ac:dyDescent="0.25">
      <c r="A394" s="4">
        <v>2009</v>
      </c>
      <c r="B394" s="11" t="s">
        <v>219</v>
      </c>
      <c r="C394" s="11" t="s">
        <v>220</v>
      </c>
      <c r="D394" s="11" t="s">
        <v>221</v>
      </c>
      <c r="E394" s="12" t="s">
        <v>260</v>
      </c>
      <c r="F394" s="15">
        <v>6619.86</v>
      </c>
      <c r="G394" s="15"/>
      <c r="H394" s="15">
        <v>931</v>
      </c>
      <c r="I394" s="15">
        <v>40</v>
      </c>
      <c r="J394" s="15">
        <v>266</v>
      </c>
      <c r="K394" s="6">
        <f t="shared" si="7"/>
        <v>7856.86</v>
      </c>
    </row>
    <row r="395" spans="1:11" x14ac:dyDescent="0.25">
      <c r="A395" s="4">
        <v>2009</v>
      </c>
      <c r="B395" s="11" t="s">
        <v>222</v>
      </c>
      <c r="C395" s="11" t="s">
        <v>220</v>
      </c>
      <c r="D395" s="11" t="s">
        <v>221</v>
      </c>
      <c r="E395" s="12" t="s">
        <v>262</v>
      </c>
      <c r="F395" s="15">
        <v>6619.86</v>
      </c>
      <c r="G395" s="15"/>
      <c r="H395" s="15">
        <v>931</v>
      </c>
      <c r="I395" s="15">
        <v>40</v>
      </c>
      <c r="J395" s="15">
        <v>266</v>
      </c>
      <c r="K395" s="6">
        <f t="shared" si="7"/>
        <v>7856.86</v>
      </c>
    </row>
    <row r="396" spans="1:11" x14ac:dyDescent="0.25">
      <c r="A396" s="4">
        <v>2009</v>
      </c>
      <c r="B396" s="11" t="s">
        <v>223</v>
      </c>
      <c r="C396" s="11" t="s">
        <v>224</v>
      </c>
      <c r="D396" s="11" t="s">
        <v>225</v>
      </c>
      <c r="E396" s="12" t="s">
        <v>263</v>
      </c>
      <c r="F396" s="15">
        <v>7294.09</v>
      </c>
      <c r="G396" s="15"/>
      <c r="H396" s="15">
        <v>931</v>
      </c>
      <c r="I396" s="15">
        <v>40</v>
      </c>
      <c r="J396" s="15">
        <v>266</v>
      </c>
      <c r="K396" s="6">
        <f t="shared" si="7"/>
        <v>8531.09</v>
      </c>
    </row>
    <row r="397" spans="1:11" x14ac:dyDescent="0.25">
      <c r="A397" s="4">
        <v>2009</v>
      </c>
      <c r="B397" s="11" t="s">
        <v>227</v>
      </c>
      <c r="C397" s="11" t="s">
        <v>224</v>
      </c>
      <c r="D397" s="11" t="s">
        <v>225</v>
      </c>
      <c r="E397" s="12" t="s">
        <v>264</v>
      </c>
      <c r="F397" s="15">
        <v>7294.09</v>
      </c>
      <c r="G397" s="15"/>
      <c r="H397" s="15">
        <v>931</v>
      </c>
      <c r="I397" s="15">
        <v>40</v>
      </c>
      <c r="J397" s="15">
        <v>266</v>
      </c>
      <c r="K397" s="6">
        <f>SUM(F397:J397)</f>
        <v>8531.09</v>
      </c>
    </row>
    <row r="398" spans="1:11" x14ac:dyDescent="0.25">
      <c r="A398" s="4">
        <v>2009</v>
      </c>
      <c r="B398" s="11" t="s">
        <v>228</v>
      </c>
      <c r="C398" s="11" t="s">
        <v>224</v>
      </c>
      <c r="D398" s="11" t="s">
        <v>225</v>
      </c>
      <c r="E398" s="12" t="s">
        <v>265</v>
      </c>
      <c r="F398" s="15">
        <v>7294.09</v>
      </c>
      <c r="G398" s="15"/>
      <c r="H398" s="15">
        <v>931</v>
      </c>
      <c r="I398" s="15">
        <v>40</v>
      </c>
      <c r="J398" s="15">
        <v>266</v>
      </c>
      <c r="K398" s="6">
        <f t="shared" ref="K398:K456" si="8">SUM(F398:J398)</f>
        <v>8531.09</v>
      </c>
    </row>
    <row r="399" spans="1:11" x14ac:dyDescent="0.25">
      <c r="A399" s="4">
        <v>2009</v>
      </c>
      <c r="B399" s="11" t="s">
        <v>229</v>
      </c>
      <c r="C399" s="11" t="s">
        <v>230</v>
      </c>
      <c r="D399" s="11" t="s">
        <v>231</v>
      </c>
      <c r="E399" s="12"/>
      <c r="F399" s="15"/>
      <c r="G399" s="15"/>
      <c r="H399" s="15"/>
      <c r="I399" s="15"/>
      <c r="J399" s="15"/>
      <c r="K399" s="6">
        <f t="shared" si="8"/>
        <v>0</v>
      </c>
    </row>
    <row r="400" spans="1:11" x14ac:dyDescent="0.25">
      <c r="A400" s="4">
        <v>2009</v>
      </c>
      <c r="B400" s="11" t="s">
        <v>232</v>
      </c>
      <c r="C400" s="11" t="s">
        <v>224</v>
      </c>
      <c r="D400" s="11" t="s">
        <v>225</v>
      </c>
      <c r="E400" s="12" t="s">
        <v>257</v>
      </c>
      <c r="F400" s="15">
        <v>7294.09</v>
      </c>
      <c r="G400" s="15"/>
      <c r="H400" s="15">
        <v>931</v>
      </c>
      <c r="I400" s="15">
        <v>40</v>
      </c>
      <c r="J400" s="15">
        <v>266</v>
      </c>
      <c r="K400" s="6">
        <f t="shared" si="8"/>
        <v>8531.09</v>
      </c>
    </row>
    <row r="401" spans="1:11" x14ac:dyDescent="0.25">
      <c r="A401" s="4">
        <v>2009</v>
      </c>
      <c r="B401" s="11" t="s">
        <v>233</v>
      </c>
      <c r="C401" s="11" t="s">
        <v>234</v>
      </c>
      <c r="D401" s="11" t="s">
        <v>235</v>
      </c>
      <c r="E401" s="12" t="s">
        <v>266</v>
      </c>
      <c r="F401" s="15">
        <v>8152.26</v>
      </c>
      <c r="G401" s="15"/>
      <c r="H401" s="15">
        <v>931</v>
      </c>
      <c r="I401" s="15">
        <v>40</v>
      </c>
      <c r="J401" s="15">
        <v>266</v>
      </c>
      <c r="K401" s="6">
        <f t="shared" si="8"/>
        <v>9389.26</v>
      </c>
    </row>
    <row r="402" spans="1:11" x14ac:dyDescent="0.25">
      <c r="A402" s="4">
        <v>2009</v>
      </c>
      <c r="B402" s="11" t="s">
        <v>236</v>
      </c>
      <c r="C402" s="11" t="s">
        <v>234</v>
      </c>
      <c r="D402" s="11" t="s">
        <v>235</v>
      </c>
      <c r="E402" s="12" t="s">
        <v>267</v>
      </c>
      <c r="F402" s="15">
        <v>8152.26</v>
      </c>
      <c r="G402" s="15"/>
      <c r="H402" s="15">
        <v>931</v>
      </c>
      <c r="I402" s="15">
        <v>40</v>
      </c>
      <c r="J402" s="15">
        <v>266</v>
      </c>
      <c r="K402" s="6">
        <f t="shared" si="8"/>
        <v>9389.26</v>
      </c>
    </row>
    <row r="403" spans="1:11" x14ac:dyDescent="0.25">
      <c r="A403" s="4">
        <v>2009</v>
      </c>
      <c r="B403" s="11" t="s">
        <v>237</v>
      </c>
      <c r="C403" s="11" t="s">
        <v>234</v>
      </c>
      <c r="D403" s="11" t="s">
        <v>235</v>
      </c>
      <c r="E403" s="12" t="s">
        <v>268</v>
      </c>
      <c r="F403" s="15">
        <v>8152.26</v>
      </c>
      <c r="G403" s="15"/>
      <c r="H403" s="15">
        <v>931</v>
      </c>
      <c r="I403" s="15">
        <v>40</v>
      </c>
      <c r="J403" s="15">
        <v>266</v>
      </c>
      <c r="K403" s="6">
        <f t="shared" si="8"/>
        <v>9389.26</v>
      </c>
    </row>
    <row r="404" spans="1:11" x14ac:dyDescent="0.25">
      <c r="A404" s="4">
        <v>2009</v>
      </c>
      <c r="B404" s="11" t="s">
        <v>238</v>
      </c>
      <c r="C404" s="11" t="s">
        <v>239</v>
      </c>
      <c r="D404" s="11" t="s">
        <v>235</v>
      </c>
      <c r="E404" s="12" t="s">
        <v>269</v>
      </c>
      <c r="F404" s="15">
        <v>7968.32</v>
      </c>
      <c r="G404" s="15"/>
      <c r="H404" s="15">
        <v>931</v>
      </c>
      <c r="I404" s="15">
        <v>40</v>
      </c>
      <c r="J404" s="15">
        <v>266</v>
      </c>
      <c r="K404" s="6">
        <f t="shared" si="8"/>
        <v>9205.32</v>
      </c>
    </row>
    <row r="405" spans="1:11" x14ac:dyDescent="0.25">
      <c r="A405" s="4">
        <v>2009</v>
      </c>
      <c r="B405" s="11" t="s">
        <v>240</v>
      </c>
      <c r="C405" s="11" t="s">
        <v>239</v>
      </c>
      <c r="D405" s="11" t="s">
        <v>235</v>
      </c>
      <c r="E405" s="12" t="s">
        <v>270</v>
      </c>
      <c r="F405" s="15">
        <v>8949.08</v>
      </c>
      <c r="G405" s="15"/>
      <c r="H405" s="15">
        <v>931</v>
      </c>
      <c r="I405" s="15">
        <v>40</v>
      </c>
      <c r="J405" s="15">
        <v>266</v>
      </c>
      <c r="K405" s="6">
        <f t="shared" si="8"/>
        <v>10186.08</v>
      </c>
    </row>
    <row r="406" spans="1:11" x14ac:dyDescent="0.25">
      <c r="A406" s="4">
        <v>2009</v>
      </c>
      <c r="B406" s="11" t="s">
        <v>241</v>
      </c>
      <c r="C406" s="11" t="s">
        <v>239</v>
      </c>
      <c r="D406" s="11" t="s">
        <v>235</v>
      </c>
      <c r="E406" s="12" t="s">
        <v>279</v>
      </c>
      <c r="F406" s="15">
        <v>8949.08</v>
      </c>
      <c r="G406" s="15"/>
      <c r="H406" s="15">
        <v>931</v>
      </c>
      <c r="I406" s="15">
        <v>40</v>
      </c>
      <c r="J406" s="15">
        <v>266</v>
      </c>
      <c r="K406" s="6">
        <f t="shared" si="8"/>
        <v>10186.08</v>
      </c>
    </row>
    <row r="407" spans="1:11" x14ac:dyDescent="0.25">
      <c r="A407" s="4">
        <v>2009</v>
      </c>
      <c r="B407" s="11" t="s">
        <v>242</v>
      </c>
      <c r="C407" s="11" t="s">
        <v>243</v>
      </c>
      <c r="D407" s="11" t="s">
        <v>244</v>
      </c>
      <c r="E407" s="12" t="s">
        <v>271</v>
      </c>
      <c r="F407" s="15">
        <v>9807.16</v>
      </c>
      <c r="G407" s="15"/>
      <c r="H407" s="15">
        <v>931</v>
      </c>
      <c r="I407" s="15">
        <v>40</v>
      </c>
      <c r="J407" s="15">
        <v>266</v>
      </c>
      <c r="K407" s="6">
        <f t="shared" si="8"/>
        <v>11044.16</v>
      </c>
    </row>
    <row r="408" spans="1:11" x14ac:dyDescent="0.25">
      <c r="A408" s="4">
        <v>2009</v>
      </c>
      <c r="B408" s="11" t="s">
        <v>245</v>
      </c>
      <c r="C408" s="11" t="s">
        <v>243</v>
      </c>
      <c r="D408" s="11" t="s">
        <v>244</v>
      </c>
      <c r="E408" s="12" t="s">
        <v>272</v>
      </c>
      <c r="F408" s="15">
        <v>9807.16</v>
      </c>
      <c r="G408" s="15"/>
      <c r="H408" s="15">
        <v>931</v>
      </c>
      <c r="I408" s="15">
        <v>40</v>
      </c>
      <c r="J408" s="15">
        <v>266</v>
      </c>
      <c r="K408" s="6">
        <f t="shared" si="8"/>
        <v>11044.16</v>
      </c>
    </row>
    <row r="409" spans="1:11" x14ac:dyDescent="0.25">
      <c r="A409" s="4">
        <v>2009</v>
      </c>
      <c r="B409" s="11" t="s">
        <v>246</v>
      </c>
      <c r="C409" s="11" t="s">
        <v>243</v>
      </c>
      <c r="D409" s="11" t="s">
        <v>244</v>
      </c>
      <c r="E409" s="12" t="s">
        <v>273</v>
      </c>
      <c r="F409" s="15">
        <v>9807.16</v>
      </c>
      <c r="G409" s="15"/>
      <c r="H409" s="15">
        <v>931</v>
      </c>
      <c r="I409" s="15">
        <v>40</v>
      </c>
      <c r="J409" s="15">
        <v>266</v>
      </c>
      <c r="K409" s="6">
        <f t="shared" si="8"/>
        <v>11044.16</v>
      </c>
    </row>
    <row r="410" spans="1:11" x14ac:dyDescent="0.25">
      <c r="A410" s="4">
        <v>2009</v>
      </c>
      <c r="B410" s="11" t="s">
        <v>247</v>
      </c>
      <c r="C410" s="11" t="s">
        <v>243</v>
      </c>
      <c r="D410" s="11" t="s">
        <v>244</v>
      </c>
      <c r="E410" s="12" t="s">
        <v>274</v>
      </c>
      <c r="F410" s="15">
        <v>9807.16</v>
      </c>
      <c r="G410" s="15"/>
      <c r="H410" s="15">
        <v>931</v>
      </c>
      <c r="I410" s="15">
        <v>40</v>
      </c>
      <c r="J410" s="15">
        <v>266</v>
      </c>
      <c r="K410" s="6">
        <f t="shared" si="8"/>
        <v>11044.16</v>
      </c>
    </row>
    <row r="411" spans="1:11" x14ac:dyDescent="0.25">
      <c r="A411" s="4">
        <v>2009</v>
      </c>
      <c r="B411" s="11" t="s">
        <v>248</v>
      </c>
      <c r="C411" s="11" t="s">
        <v>243</v>
      </c>
      <c r="D411" s="11" t="s">
        <v>244</v>
      </c>
      <c r="E411" s="12" t="s">
        <v>275</v>
      </c>
      <c r="F411" s="15">
        <v>9807.16</v>
      </c>
      <c r="G411" s="15"/>
      <c r="H411" s="15">
        <v>931</v>
      </c>
      <c r="I411" s="15">
        <v>40</v>
      </c>
      <c r="J411" s="15">
        <v>266</v>
      </c>
      <c r="K411" s="6">
        <f t="shared" si="8"/>
        <v>11044.16</v>
      </c>
    </row>
    <row r="412" spans="1:11" x14ac:dyDescent="0.25">
      <c r="A412" s="4">
        <v>2009</v>
      </c>
      <c r="B412" s="11" t="s">
        <v>249</v>
      </c>
      <c r="C412" s="11" t="s">
        <v>250</v>
      </c>
      <c r="D412" s="11" t="s">
        <v>251</v>
      </c>
      <c r="E412" s="12" t="s">
        <v>276</v>
      </c>
      <c r="F412" s="15">
        <v>11033.08</v>
      </c>
      <c r="G412" s="15"/>
      <c r="H412" s="15">
        <v>931</v>
      </c>
      <c r="I412" s="15">
        <v>40</v>
      </c>
      <c r="J412" s="15">
        <v>266</v>
      </c>
      <c r="K412" s="6">
        <f t="shared" si="8"/>
        <v>12270.08</v>
      </c>
    </row>
    <row r="413" spans="1:11" x14ac:dyDescent="0.25">
      <c r="A413" s="4">
        <v>2009</v>
      </c>
      <c r="B413" s="11" t="s">
        <v>250</v>
      </c>
      <c r="C413" s="11" t="s">
        <v>250</v>
      </c>
      <c r="D413" s="11" t="s">
        <v>251</v>
      </c>
      <c r="E413" s="12" t="s">
        <v>277</v>
      </c>
      <c r="F413" s="15">
        <v>11033.08</v>
      </c>
      <c r="G413" s="15"/>
      <c r="H413" s="15">
        <v>931</v>
      </c>
      <c r="I413" s="15">
        <v>40</v>
      </c>
      <c r="J413" s="15">
        <v>266</v>
      </c>
      <c r="K413" s="6">
        <f t="shared" si="8"/>
        <v>12270.08</v>
      </c>
    </row>
    <row r="414" spans="1:11" x14ac:dyDescent="0.25">
      <c r="A414" s="4">
        <v>2009</v>
      </c>
      <c r="B414" s="11" t="s">
        <v>253</v>
      </c>
      <c r="C414" s="11" t="s">
        <v>250</v>
      </c>
      <c r="D414" s="11" t="s">
        <v>251</v>
      </c>
      <c r="E414" s="12" t="s">
        <v>278</v>
      </c>
      <c r="F414" s="15">
        <v>11033.08</v>
      </c>
      <c r="G414" s="15"/>
      <c r="H414" s="15">
        <v>931</v>
      </c>
      <c r="I414" s="15">
        <v>40</v>
      </c>
      <c r="J414" s="15">
        <v>266</v>
      </c>
      <c r="K414" s="6">
        <f t="shared" si="8"/>
        <v>12270.08</v>
      </c>
    </row>
    <row r="415" spans="1:11" x14ac:dyDescent="0.25">
      <c r="A415" s="22">
        <v>2009</v>
      </c>
      <c r="B415" s="11" t="s">
        <v>254</v>
      </c>
      <c r="C415" s="11"/>
      <c r="D415" s="11" t="s">
        <v>255</v>
      </c>
      <c r="E415" s="12" t="s">
        <v>256</v>
      </c>
      <c r="F415" s="15"/>
      <c r="G415" s="15"/>
      <c r="H415" s="15">
        <v>931</v>
      </c>
      <c r="I415" s="15">
        <v>40</v>
      </c>
      <c r="J415" s="15">
        <v>266</v>
      </c>
      <c r="K415" s="6">
        <f t="shared" si="8"/>
        <v>1237</v>
      </c>
    </row>
    <row r="416" spans="1:11" x14ac:dyDescent="0.25">
      <c r="A416" s="4"/>
      <c r="B416" s="16"/>
      <c r="C416" s="16"/>
      <c r="D416" s="16"/>
      <c r="E416" s="17"/>
      <c r="F416" s="18"/>
      <c r="G416" s="18"/>
      <c r="H416" s="18"/>
      <c r="I416" s="18"/>
      <c r="J416" s="18"/>
      <c r="K416" s="6">
        <f t="shared" si="8"/>
        <v>0</v>
      </c>
    </row>
    <row r="417" spans="1:11" x14ac:dyDescent="0.25">
      <c r="A417" s="4"/>
      <c r="B417" s="16"/>
      <c r="C417" s="16"/>
      <c r="D417" s="16"/>
      <c r="E417" s="17"/>
      <c r="F417" s="18"/>
      <c r="G417" s="18"/>
      <c r="H417" s="18"/>
      <c r="I417" s="18"/>
      <c r="J417" s="18"/>
      <c r="K417" s="6">
        <f t="shared" si="8"/>
        <v>0</v>
      </c>
    </row>
    <row r="418" spans="1:11" x14ac:dyDescent="0.25">
      <c r="A418" s="4"/>
      <c r="B418" s="16"/>
      <c r="C418" s="16"/>
      <c r="D418" s="16"/>
      <c r="E418" s="17"/>
      <c r="F418" s="18"/>
      <c r="G418" s="18"/>
      <c r="H418" s="18"/>
      <c r="I418" s="18"/>
      <c r="J418" s="18"/>
      <c r="K418" s="6">
        <f t="shared" si="8"/>
        <v>0</v>
      </c>
    </row>
    <row r="419" spans="1:11" x14ac:dyDescent="0.25">
      <c r="A419" s="4"/>
      <c r="B419" s="16"/>
      <c r="C419" s="16"/>
      <c r="D419" s="16"/>
      <c r="E419" s="17"/>
      <c r="F419" s="18"/>
      <c r="G419" s="18"/>
      <c r="H419" s="18"/>
      <c r="I419" s="18"/>
      <c r="J419" s="18"/>
      <c r="K419" s="6">
        <f t="shared" si="8"/>
        <v>0</v>
      </c>
    </row>
    <row r="420" spans="1:11" x14ac:dyDescent="0.25">
      <c r="A420" s="4"/>
      <c r="B420" s="16"/>
      <c r="C420" s="16"/>
      <c r="D420" s="16"/>
      <c r="E420" s="17"/>
      <c r="F420" s="18"/>
      <c r="G420" s="18"/>
      <c r="H420" s="18"/>
      <c r="I420" s="18"/>
      <c r="J420" s="18"/>
      <c r="K420" s="6">
        <f t="shared" si="8"/>
        <v>0</v>
      </c>
    </row>
    <row r="421" spans="1:11" x14ac:dyDescent="0.25">
      <c r="A421" s="4"/>
      <c r="B421" s="16"/>
      <c r="C421" s="16"/>
      <c r="D421" s="16"/>
      <c r="E421" s="17"/>
      <c r="F421" s="18"/>
      <c r="G421" s="18"/>
      <c r="H421" s="18"/>
      <c r="I421" s="18"/>
      <c r="J421" s="18"/>
      <c r="K421" s="6">
        <f t="shared" si="8"/>
        <v>0</v>
      </c>
    </row>
    <row r="422" spans="1:11" x14ac:dyDescent="0.25">
      <c r="A422" s="4"/>
      <c r="B422" s="16"/>
      <c r="C422" s="16"/>
      <c r="D422" s="16"/>
      <c r="E422" s="17"/>
      <c r="F422" s="18"/>
      <c r="G422" s="18"/>
      <c r="H422" s="18"/>
      <c r="I422" s="18"/>
      <c r="J422" s="18"/>
      <c r="K422" s="6">
        <f t="shared" si="8"/>
        <v>0</v>
      </c>
    </row>
    <row r="423" spans="1:11" x14ac:dyDescent="0.25">
      <c r="A423" s="4"/>
      <c r="B423" s="16"/>
      <c r="C423" s="16"/>
      <c r="D423" s="16"/>
      <c r="E423" s="17"/>
      <c r="F423" s="18"/>
      <c r="G423" s="18"/>
      <c r="H423" s="18"/>
      <c r="I423" s="18"/>
      <c r="J423" s="18"/>
      <c r="K423" s="6">
        <f t="shared" si="8"/>
        <v>0</v>
      </c>
    </row>
    <row r="424" spans="1:11" x14ac:dyDescent="0.25">
      <c r="A424" s="4"/>
      <c r="B424" s="16"/>
      <c r="C424" s="16"/>
      <c r="D424" s="16"/>
      <c r="E424" s="17"/>
      <c r="F424" s="18"/>
      <c r="G424" s="18"/>
      <c r="H424" s="18"/>
      <c r="I424" s="18"/>
      <c r="J424" s="18"/>
      <c r="K424" s="6">
        <f t="shared" si="8"/>
        <v>0</v>
      </c>
    </row>
    <row r="425" spans="1:11" x14ac:dyDescent="0.25">
      <c r="A425" s="4"/>
      <c r="B425" s="16"/>
      <c r="C425" s="16"/>
      <c r="D425" s="16"/>
      <c r="E425" s="17"/>
      <c r="F425" s="18"/>
      <c r="G425" s="18"/>
      <c r="H425" s="18"/>
      <c r="I425" s="18"/>
      <c r="J425" s="18"/>
      <c r="K425" s="6">
        <f t="shared" si="8"/>
        <v>0</v>
      </c>
    </row>
    <row r="426" spans="1:11" x14ac:dyDescent="0.25">
      <c r="A426" s="4"/>
      <c r="B426" s="16"/>
      <c r="C426" s="16"/>
      <c r="D426" s="16"/>
      <c r="E426" s="17"/>
      <c r="F426" s="18"/>
      <c r="G426" s="18"/>
      <c r="H426" s="18"/>
      <c r="I426" s="18"/>
      <c r="J426" s="18"/>
      <c r="K426" s="6">
        <f t="shared" si="8"/>
        <v>0</v>
      </c>
    </row>
    <row r="427" spans="1:11" x14ac:dyDescent="0.25">
      <c r="A427" s="4"/>
      <c r="B427" s="16"/>
      <c r="C427" s="16"/>
      <c r="D427" s="16"/>
      <c r="E427" s="17"/>
      <c r="F427" s="18"/>
      <c r="G427" s="18"/>
      <c r="H427" s="18"/>
      <c r="I427" s="18"/>
      <c r="J427" s="18"/>
      <c r="K427" s="6">
        <f t="shared" si="8"/>
        <v>0</v>
      </c>
    </row>
    <row r="428" spans="1:11" x14ac:dyDescent="0.25">
      <c r="A428" s="4"/>
      <c r="B428" s="16"/>
      <c r="C428" s="16"/>
      <c r="D428" s="16"/>
      <c r="E428" s="17"/>
      <c r="F428" s="18"/>
      <c r="G428" s="18"/>
      <c r="H428" s="18"/>
      <c r="I428" s="18"/>
      <c r="J428" s="18"/>
      <c r="K428" s="6">
        <f t="shared" si="8"/>
        <v>0</v>
      </c>
    </row>
    <row r="429" spans="1:11" x14ac:dyDescent="0.25">
      <c r="A429" s="4"/>
      <c r="B429" s="16"/>
      <c r="C429" s="16"/>
      <c r="D429" s="16"/>
      <c r="E429" s="17"/>
      <c r="F429" s="18"/>
      <c r="G429" s="18"/>
      <c r="H429" s="18"/>
      <c r="I429" s="18"/>
      <c r="J429" s="18"/>
      <c r="K429" s="6">
        <f t="shared" si="8"/>
        <v>0</v>
      </c>
    </row>
    <row r="430" spans="1:11" x14ac:dyDescent="0.25">
      <c r="A430" s="4"/>
      <c r="B430" s="16"/>
      <c r="C430" s="16"/>
      <c r="D430" s="16"/>
      <c r="E430" s="17"/>
      <c r="F430" s="18"/>
      <c r="G430" s="18"/>
      <c r="H430" s="18"/>
      <c r="I430" s="18"/>
      <c r="J430" s="18"/>
      <c r="K430" s="6">
        <f t="shared" si="8"/>
        <v>0</v>
      </c>
    </row>
    <row r="431" spans="1:11" x14ac:dyDescent="0.25">
      <c r="A431" s="4"/>
      <c r="B431" s="16"/>
      <c r="C431" s="16"/>
      <c r="D431" s="16"/>
      <c r="E431" s="17"/>
      <c r="F431" s="18"/>
      <c r="G431" s="18"/>
      <c r="H431" s="18"/>
      <c r="I431" s="18"/>
      <c r="J431" s="18"/>
      <c r="K431" s="6">
        <f t="shared" si="8"/>
        <v>0</v>
      </c>
    </row>
    <row r="432" spans="1:11" x14ac:dyDescent="0.25">
      <c r="A432" s="4"/>
      <c r="B432" s="16"/>
      <c r="C432" s="16"/>
      <c r="D432" s="16"/>
      <c r="E432" s="17"/>
      <c r="F432" s="18"/>
      <c r="G432" s="18"/>
      <c r="H432" s="18"/>
      <c r="I432" s="18"/>
      <c r="J432" s="18"/>
      <c r="K432" s="6">
        <f t="shared" si="8"/>
        <v>0</v>
      </c>
    </row>
    <row r="433" spans="1:11" x14ac:dyDescent="0.25">
      <c r="A433" s="4"/>
      <c r="B433" s="16"/>
      <c r="C433" s="16"/>
      <c r="D433" s="16"/>
      <c r="E433" s="17"/>
      <c r="F433" s="18"/>
      <c r="G433" s="18"/>
      <c r="H433" s="18"/>
      <c r="I433" s="18"/>
      <c r="J433" s="18"/>
      <c r="K433" s="6">
        <f t="shared" si="8"/>
        <v>0</v>
      </c>
    </row>
    <row r="434" spans="1:11" x14ac:dyDescent="0.25">
      <c r="A434" s="4"/>
      <c r="B434" s="16"/>
      <c r="C434" s="16"/>
      <c r="D434" s="16"/>
      <c r="E434" s="17"/>
      <c r="F434" s="18"/>
      <c r="G434" s="18"/>
      <c r="H434" s="18"/>
      <c r="I434" s="18"/>
      <c r="J434" s="18"/>
      <c r="K434" s="6">
        <f t="shared" si="8"/>
        <v>0</v>
      </c>
    </row>
    <row r="435" spans="1:11" x14ac:dyDescent="0.25">
      <c r="A435" s="4"/>
      <c r="B435" s="16"/>
      <c r="C435" s="16"/>
      <c r="D435" s="16"/>
      <c r="E435" s="17"/>
      <c r="F435" s="18"/>
      <c r="G435" s="18"/>
      <c r="H435" s="18"/>
      <c r="I435" s="18"/>
      <c r="J435" s="18"/>
      <c r="K435" s="6">
        <f t="shared" si="8"/>
        <v>0</v>
      </c>
    </row>
    <row r="436" spans="1:11" x14ac:dyDescent="0.25">
      <c r="A436" s="4"/>
      <c r="B436" s="16"/>
      <c r="C436" s="16"/>
      <c r="D436" s="16"/>
      <c r="E436" s="17"/>
      <c r="F436" s="18"/>
      <c r="G436" s="18"/>
      <c r="H436" s="18"/>
      <c r="I436" s="18"/>
      <c r="J436" s="18"/>
      <c r="K436" s="6">
        <f t="shared" si="8"/>
        <v>0</v>
      </c>
    </row>
    <row r="437" spans="1:11" x14ac:dyDescent="0.25">
      <c r="A437" s="4"/>
      <c r="B437" s="16"/>
      <c r="C437" s="16"/>
      <c r="D437" s="16"/>
      <c r="E437" s="17"/>
      <c r="F437" s="18"/>
      <c r="G437" s="18"/>
      <c r="H437" s="18"/>
      <c r="I437" s="18"/>
      <c r="J437" s="18"/>
      <c r="K437" s="6">
        <f t="shared" si="8"/>
        <v>0</v>
      </c>
    </row>
    <row r="438" spans="1:11" x14ac:dyDescent="0.25">
      <c r="A438" s="4"/>
      <c r="B438" s="16"/>
      <c r="C438" s="16"/>
      <c r="D438" s="16"/>
      <c r="E438" s="17"/>
      <c r="F438" s="18"/>
      <c r="G438" s="18"/>
      <c r="H438" s="18"/>
      <c r="I438" s="18"/>
      <c r="J438" s="18"/>
      <c r="K438" s="6">
        <f t="shared" si="8"/>
        <v>0</v>
      </c>
    </row>
    <row r="439" spans="1:11" x14ac:dyDescent="0.25">
      <c r="A439" s="4"/>
      <c r="B439" s="16"/>
      <c r="C439" s="16"/>
      <c r="D439" s="16"/>
      <c r="E439" s="17"/>
      <c r="F439" s="18"/>
      <c r="G439" s="18"/>
      <c r="H439" s="18"/>
      <c r="I439" s="18"/>
      <c r="J439" s="18"/>
      <c r="K439" s="6">
        <f t="shared" si="8"/>
        <v>0</v>
      </c>
    </row>
    <row r="440" spans="1:11" x14ac:dyDescent="0.25">
      <c r="A440" s="4"/>
      <c r="B440" s="16"/>
      <c r="C440" s="16"/>
      <c r="D440" s="16"/>
      <c r="E440" s="17"/>
      <c r="F440" s="18"/>
      <c r="G440" s="18"/>
      <c r="H440" s="18"/>
      <c r="I440" s="18"/>
      <c r="J440" s="18"/>
      <c r="K440" s="6">
        <f t="shared" si="8"/>
        <v>0</v>
      </c>
    </row>
    <row r="441" spans="1:11" x14ac:dyDescent="0.25">
      <c r="A441" s="4"/>
      <c r="B441" s="16"/>
      <c r="C441" s="16"/>
      <c r="D441" s="16"/>
      <c r="E441" s="17"/>
      <c r="F441" s="18"/>
      <c r="G441" s="18"/>
      <c r="H441" s="18"/>
      <c r="I441" s="18"/>
      <c r="J441" s="18"/>
      <c r="K441" s="6">
        <f t="shared" si="8"/>
        <v>0</v>
      </c>
    </row>
    <row r="442" spans="1:11" x14ac:dyDescent="0.25">
      <c r="A442" s="4"/>
      <c r="B442" s="16"/>
      <c r="C442" s="16"/>
      <c r="D442" s="16"/>
      <c r="E442" s="17"/>
      <c r="F442" s="18"/>
      <c r="G442" s="18"/>
      <c r="H442" s="18"/>
      <c r="I442" s="18"/>
      <c r="J442" s="18"/>
      <c r="K442" s="6">
        <f t="shared" si="8"/>
        <v>0</v>
      </c>
    </row>
    <row r="443" spans="1:11" x14ac:dyDescent="0.25">
      <c r="A443" s="4"/>
      <c r="B443" s="16"/>
      <c r="C443" s="16"/>
      <c r="D443" s="16"/>
      <c r="E443" s="17"/>
      <c r="F443" s="18"/>
      <c r="G443" s="18"/>
      <c r="H443" s="18"/>
      <c r="I443" s="18"/>
      <c r="J443" s="18"/>
      <c r="K443" s="6">
        <f t="shared" si="8"/>
        <v>0</v>
      </c>
    </row>
    <row r="444" spans="1:11" x14ac:dyDescent="0.25">
      <c r="A444" s="4"/>
      <c r="B444" s="16"/>
      <c r="C444" s="16"/>
      <c r="D444" s="16"/>
      <c r="E444" s="17"/>
      <c r="F444" s="18"/>
      <c r="G444" s="18"/>
      <c r="H444" s="18"/>
      <c r="I444" s="18"/>
      <c r="J444" s="18"/>
      <c r="K444" s="6">
        <f t="shared" si="8"/>
        <v>0</v>
      </c>
    </row>
    <row r="445" spans="1:11" x14ac:dyDescent="0.25">
      <c r="A445" s="4"/>
      <c r="B445" s="16"/>
      <c r="C445" s="16"/>
      <c r="D445" s="16"/>
      <c r="E445" s="17"/>
      <c r="F445" s="18"/>
      <c r="G445" s="18"/>
      <c r="H445" s="18"/>
      <c r="I445" s="18"/>
      <c r="J445" s="18"/>
      <c r="K445" s="6">
        <f t="shared" si="8"/>
        <v>0</v>
      </c>
    </row>
    <row r="446" spans="1:11" x14ac:dyDescent="0.25">
      <c r="A446" s="4"/>
      <c r="B446" s="16"/>
      <c r="C446" s="16"/>
      <c r="D446" s="16"/>
      <c r="E446" s="17"/>
      <c r="F446" s="18"/>
      <c r="G446" s="18"/>
      <c r="H446" s="18"/>
      <c r="I446" s="18"/>
      <c r="J446" s="18"/>
      <c r="K446" s="6">
        <f t="shared" si="8"/>
        <v>0</v>
      </c>
    </row>
    <row r="447" spans="1:11" x14ac:dyDescent="0.25">
      <c r="A447" s="4"/>
      <c r="B447" s="16"/>
      <c r="C447" s="16"/>
      <c r="D447" s="16"/>
      <c r="E447" s="17"/>
      <c r="F447" s="18"/>
      <c r="G447" s="18"/>
      <c r="H447" s="18"/>
      <c r="I447" s="18"/>
      <c r="J447" s="18"/>
      <c r="K447" s="6">
        <f t="shared" si="8"/>
        <v>0</v>
      </c>
    </row>
    <row r="448" spans="1:11" x14ac:dyDescent="0.25">
      <c r="A448" s="4"/>
      <c r="B448" s="16"/>
      <c r="C448" s="16"/>
      <c r="D448" s="16"/>
      <c r="E448" s="17"/>
      <c r="F448" s="18"/>
      <c r="G448" s="18"/>
      <c r="H448" s="18"/>
      <c r="I448" s="18"/>
      <c r="J448" s="18"/>
      <c r="K448" s="6">
        <f t="shared" si="8"/>
        <v>0</v>
      </c>
    </row>
    <row r="449" spans="1:11" x14ac:dyDescent="0.25">
      <c r="A449" s="4"/>
      <c r="B449" s="16"/>
      <c r="C449" s="16"/>
      <c r="D449" s="16"/>
      <c r="E449" s="17"/>
      <c r="F449" s="18"/>
      <c r="G449" s="18"/>
      <c r="H449" s="18"/>
      <c r="I449" s="18"/>
      <c r="J449" s="18"/>
      <c r="K449" s="6">
        <f t="shared" si="8"/>
        <v>0</v>
      </c>
    </row>
    <row r="450" spans="1:11" x14ac:dyDescent="0.25">
      <c r="A450" s="4"/>
      <c r="B450" s="16"/>
      <c r="C450" s="16"/>
      <c r="D450" s="16"/>
      <c r="E450" s="17"/>
      <c r="F450" s="18"/>
      <c r="G450" s="18"/>
      <c r="H450" s="18"/>
      <c r="I450" s="18"/>
      <c r="J450" s="18"/>
      <c r="K450" s="6">
        <f t="shared" si="8"/>
        <v>0</v>
      </c>
    </row>
    <row r="451" spans="1:11" x14ac:dyDescent="0.25">
      <c r="A451" s="4"/>
      <c r="B451" s="16"/>
      <c r="C451" s="16"/>
      <c r="D451" s="16"/>
      <c r="E451" s="17"/>
      <c r="F451" s="18"/>
      <c r="G451" s="18"/>
      <c r="H451" s="18"/>
      <c r="I451" s="18"/>
      <c r="J451" s="18"/>
      <c r="K451" s="6">
        <f t="shared" si="8"/>
        <v>0</v>
      </c>
    </row>
    <row r="452" spans="1:11" x14ac:dyDescent="0.25">
      <c r="A452" s="4"/>
      <c r="B452" s="16"/>
      <c r="C452" s="16"/>
      <c r="D452" s="16"/>
      <c r="E452" s="17"/>
      <c r="F452" s="18"/>
      <c r="G452" s="18"/>
      <c r="H452" s="18"/>
      <c r="I452" s="18"/>
      <c r="J452" s="18"/>
      <c r="K452" s="6">
        <f t="shared" si="8"/>
        <v>0</v>
      </c>
    </row>
    <row r="453" spans="1:11" x14ac:dyDescent="0.25">
      <c r="A453" s="4"/>
      <c r="B453" s="16"/>
      <c r="C453" s="16"/>
      <c r="D453" s="16"/>
      <c r="E453" s="17"/>
      <c r="F453" s="18"/>
      <c r="G453" s="18"/>
      <c r="H453" s="18"/>
      <c r="I453" s="18"/>
      <c r="J453" s="18"/>
      <c r="K453" s="6">
        <f t="shared" si="8"/>
        <v>0</v>
      </c>
    </row>
    <row r="454" spans="1:11" x14ac:dyDescent="0.25">
      <c r="A454" s="4"/>
      <c r="B454" s="16"/>
      <c r="C454" s="16"/>
      <c r="D454" s="16"/>
      <c r="E454" s="17"/>
      <c r="F454" s="18"/>
      <c r="G454" s="18"/>
      <c r="H454" s="18"/>
      <c r="I454" s="18"/>
      <c r="J454" s="18"/>
      <c r="K454" s="6">
        <f t="shared" si="8"/>
        <v>0</v>
      </c>
    </row>
    <row r="455" spans="1:11" x14ac:dyDescent="0.25">
      <c r="A455" s="4"/>
      <c r="B455" s="16"/>
      <c r="C455" s="16"/>
      <c r="D455" s="16"/>
      <c r="E455" s="17"/>
      <c r="F455" s="18"/>
      <c r="G455" s="18"/>
      <c r="H455" s="18"/>
      <c r="I455" s="18"/>
      <c r="J455" s="18"/>
      <c r="K455" s="6">
        <f t="shared" si="8"/>
        <v>0</v>
      </c>
    </row>
    <row r="456" spans="1:11" x14ac:dyDescent="0.25">
      <c r="A456" s="4"/>
      <c r="B456" s="16"/>
      <c r="C456" s="16"/>
      <c r="D456" s="16"/>
      <c r="E456" s="17"/>
      <c r="F456" s="18"/>
      <c r="G456" s="18"/>
      <c r="H456" s="18"/>
      <c r="I456" s="18"/>
      <c r="J456" s="18"/>
      <c r="K456" s="6">
        <f t="shared" si="8"/>
        <v>0</v>
      </c>
    </row>
    <row r="457" spans="1:11" x14ac:dyDescent="0.25">
      <c r="A457" s="4"/>
      <c r="B457" s="16"/>
      <c r="C457" s="16"/>
      <c r="D457" s="16"/>
      <c r="E457" s="17"/>
      <c r="F457" s="18"/>
      <c r="G457" s="18"/>
      <c r="H457" s="18"/>
      <c r="I457" s="18"/>
      <c r="J457" s="18"/>
      <c r="K457" s="6">
        <f>SUM(F457:J457)</f>
        <v>0</v>
      </c>
    </row>
    <row r="458" spans="1:11" x14ac:dyDescent="0.25">
      <c r="A458" s="4"/>
      <c r="B458" s="16"/>
      <c r="C458" s="16"/>
      <c r="D458" s="16"/>
      <c r="E458" s="17"/>
      <c r="F458" s="18"/>
      <c r="G458" s="18"/>
      <c r="H458" s="18"/>
      <c r="I458" s="18"/>
      <c r="J458" s="18"/>
      <c r="K458" s="6">
        <f t="shared" ref="K458:K460" si="9">SUM(F458:J458)</f>
        <v>0</v>
      </c>
    </row>
    <row r="459" spans="1:11" x14ac:dyDescent="0.25">
      <c r="A459" s="4"/>
      <c r="B459" s="16"/>
      <c r="C459" s="16"/>
      <c r="D459" s="16"/>
      <c r="E459" s="17"/>
      <c r="F459" s="18"/>
      <c r="G459" s="18"/>
      <c r="H459" s="18"/>
      <c r="I459" s="18"/>
      <c r="J459" s="18"/>
      <c r="K459" s="6">
        <f t="shared" si="9"/>
        <v>0</v>
      </c>
    </row>
    <row r="460" spans="1:11" x14ac:dyDescent="0.25">
      <c r="A460" s="4"/>
      <c r="B460" s="16"/>
      <c r="C460" s="16"/>
      <c r="D460" s="16"/>
      <c r="E460" s="17"/>
      <c r="F460" s="18"/>
      <c r="G460" s="18"/>
      <c r="H460" s="18"/>
      <c r="I460" s="18"/>
      <c r="J460" s="18"/>
      <c r="K460" s="6">
        <f t="shared" si="9"/>
        <v>0</v>
      </c>
    </row>
    <row r="461" spans="1:11" x14ac:dyDescent="0.25">
      <c r="A461" s="7"/>
      <c r="B461" s="19"/>
      <c r="C461" s="19"/>
      <c r="D461" s="19"/>
      <c r="E461" s="20"/>
      <c r="F461" s="21"/>
      <c r="G461" s="21"/>
      <c r="H461" s="21"/>
      <c r="I461" s="21"/>
      <c r="J461" s="21"/>
      <c r="K461" s="6">
        <f>SUM(F461:J461)</f>
        <v>0</v>
      </c>
    </row>
    <row r="462" spans="1:11" x14ac:dyDescent="0.25">
      <c r="A462" s="7"/>
      <c r="B462" s="19"/>
      <c r="C462" s="19"/>
      <c r="D462" s="19"/>
      <c r="E462" s="20"/>
      <c r="F462" s="21"/>
      <c r="G462" s="21"/>
      <c r="H462" s="21"/>
      <c r="I462" s="21"/>
      <c r="J462" s="21"/>
      <c r="K462" s="6">
        <f t="shared" ref="K462:K524" si="10">SUM(F462:J462)</f>
        <v>0</v>
      </c>
    </row>
    <row r="463" spans="1:11" x14ac:dyDescent="0.25">
      <c r="A463" s="7"/>
      <c r="B463" s="19"/>
      <c r="C463" s="19"/>
      <c r="D463" s="19"/>
      <c r="E463" s="20"/>
      <c r="F463" s="21"/>
      <c r="G463" s="21"/>
      <c r="H463" s="21"/>
      <c r="I463" s="21"/>
      <c r="J463" s="21"/>
      <c r="K463" s="6">
        <f t="shared" si="10"/>
        <v>0</v>
      </c>
    </row>
    <row r="464" spans="1:11" x14ac:dyDescent="0.25">
      <c r="A464" s="7"/>
      <c r="B464" s="19"/>
      <c r="C464" s="19"/>
      <c r="D464" s="19"/>
      <c r="E464" s="20"/>
      <c r="F464" s="21"/>
      <c r="G464" s="21"/>
      <c r="H464" s="21"/>
      <c r="I464" s="21"/>
      <c r="J464" s="21"/>
      <c r="K464" s="6">
        <f t="shared" si="10"/>
        <v>0</v>
      </c>
    </row>
    <row r="465" spans="1:11" x14ac:dyDescent="0.25">
      <c r="A465" s="7"/>
      <c r="B465" s="19"/>
      <c r="C465" s="19"/>
      <c r="D465" s="19"/>
      <c r="E465" s="20"/>
      <c r="F465" s="21"/>
      <c r="G465" s="21"/>
      <c r="H465" s="21"/>
      <c r="I465" s="21"/>
      <c r="J465" s="21"/>
      <c r="K465" s="6">
        <f t="shared" si="10"/>
        <v>0</v>
      </c>
    </row>
    <row r="466" spans="1:11" x14ac:dyDescent="0.25">
      <c r="A466" s="7"/>
      <c r="B466" s="19"/>
      <c r="C466" s="19"/>
      <c r="D466" s="19"/>
      <c r="E466" s="20"/>
      <c r="F466" s="21"/>
      <c r="G466" s="21"/>
      <c r="H466" s="21"/>
      <c r="I466" s="21"/>
      <c r="J466" s="21"/>
      <c r="K466" s="6">
        <f t="shared" si="10"/>
        <v>0</v>
      </c>
    </row>
    <row r="467" spans="1:11" x14ac:dyDescent="0.25">
      <c r="A467" s="7"/>
      <c r="B467" s="19"/>
      <c r="C467" s="19"/>
      <c r="D467" s="19"/>
      <c r="E467" s="20"/>
      <c r="F467" s="21"/>
      <c r="G467" s="21"/>
      <c r="H467" s="21"/>
      <c r="I467" s="21"/>
      <c r="J467" s="21"/>
      <c r="K467" s="6">
        <f t="shared" si="10"/>
        <v>0</v>
      </c>
    </row>
    <row r="468" spans="1:11" x14ac:dyDescent="0.25">
      <c r="A468" s="7"/>
      <c r="B468" s="19"/>
      <c r="C468" s="19"/>
      <c r="D468" s="19"/>
      <c r="E468" s="20"/>
      <c r="F468" s="21"/>
      <c r="G468" s="21"/>
      <c r="H468" s="21"/>
      <c r="I468" s="21"/>
      <c r="J468" s="21"/>
      <c r="K468" s="6">
        <f t="shared" si="10"/>
        <v>0</v>
      </c>
    </row>
    <row r="469" spans="1:11" x14ac:dyDescent="0.25">
      <c r="A469" s="7"/>
      <c r="B469" s="19"/>
      <c r="C469" s="19"/>
      <c r="D469" s="19"/>
      <c r="E469" s="20"/>
      <c r="F469" s="21"/>
      <c r="G469" s="21"/>
      <c r="H469" s="21"/>
      <c r="I469" s="21"/>
      <c r="J469" s="21"/>
      <c r="K469" s="6">
        <f t="shared" si="10"/>
        <v>0</v>
      </c>
    </row>
    <row r="470" spans="1:11" x14ac:dyDescent="0.25">
      <c r="A470" s="7"/>
      <c r="B470" s="19"/>
      <c r="C470" s="19"/>
      <c r="D470" s="19"/>
      <c r="E470" s="20"/>
      <c r="F470" s="21"/>
      <c r="G470" s="21"/>
      <c r="H470" s="21"/>
      <c r="I470" s="21"/>
      <c r="J470" s="21"/>
      <c r="K470" s="6">
        <f t="shared" si="10"/>
        <v>0</v>
      </c>
    </row>
    <row r="471" spans="1:11" x14ac:dyDescent="0.25">
      <c r="A471" s="7"/>
      <c r="B471" s="19"/>
      <c r="C471" s="19"/>
      <c r="D471" s="19"/>
      <c r="E471" s="20"/>
      <c r="F471" s="21"/>
      <c r="G471" s="21"/>
      <c r="H471" s="21"/>
      <c r="I471" s="21"/>
      <c r="J471" s="21"/>
      <c r="K471" s="6">
        <f t="shared" si="10"/>
        <v>0</v>
      </c>
    </row>
    <row r="472" spans="1:11" x14ac:dyDescent="0.25">
      <c r="A472" s="7"/>
      <c r="B472" s="19"/>
      <c r="C472" s="19"/>
      <c r="D472" s="19"/>
      <c r="E472" s="20"/>
      <c r="F472" s="21"/>
      <c r="G472" s="21"/>
      <c r="H472" s="21"/>
      <c r="I472" s="21"/>
      <c r="J472" s="21"/>
      <c r="K472" s="6">
        <f t="shared" si="10"/>
        <v>0</v>
      </c>
    </row>
    <row r="473" spans="1:11" x14ac:dyDescent="0.25">
      <c r="A473" s="7"/>
      <c r="B473" s="19"/>
      <c r="C473" s="19"/>
      <c r="D473" s="19"/>
      <c r="E473" s="20"/>
      <c r="F473" s="21"/>
      <c r="G473" s="21"/>
      <c r="H473" s="21"/>
      <c r="I473" s="21"/>
      <c r="J473" s="21"/>
      <c r="K473" s="6">
        <f t="shared" si="10"/>
        <v>0</v>
      </c>
    </row>
    <row r="474" spans="1:11" x14ac:dyDescent="0.25">
      <c r="A474" s="7"/>
      <c r="B474" s="19"/>
      <c r="C474" s="19"/>
      <c r="D474" s="19"/>
      <c r="E474" s="20"/>
      <c r="F474" s="21"/>
      <c r="G474" s="21"/>
      <c r="H474" s="21"/>
      <c r="I474" s="21"/>
      <c r="J474" s="21"/>
      <c r="K474" s="6">
        <f t="shared" si="10"/>
        <v>0</v>
      </c>
    </row>
    <row r="475" spans="1:11" x14ac:dyDescent="0.25">
      <c r="A475" s="7"/>
      <c r="B475" s="19"/>
      <c r="C475" s="19"/>
      <c r="D475" s="19"/>
      <c r="E475" s="20"/>
      <c r="F475" s="21"/>
      <c r="G475" s="21"/>
      <c r="H475" s="21"/>
      <c r="I475" s="21"/>
      <c r="J475" s="21"/>
      <c r="K475" s="6">
        <f t="shared" si="10"/>
        <v>0</v>
      </c>
    </row>
    <row r="476" spans="1:11" x14ac:dyDescent="0.25">
      <c r="A476" s="7"/>
      <c r="B476" s="19"/>
      <c r="C476" s="19"/>
      <c r="D476" s="19"/>
      <c r="E476" s="20"/>
      <c r="F476" s="21"/>
      <c r="G476" s="21"/>
      <c r="H476" s="21"/>
      <c r="I476" s="21"/>
      <c r="J476" s="21"/>
      <c r="K476" s="6">
        <f t="shared" si="10"/>
        <v>0</v>
      </c>
    </row>
    <row r="477" spans="1:11" x14ac:dyDescent="0.25">
      <c r="A477" s="7"/>
      <c r="B477" s="19"/>
      <c r="C477" s="19"/>
      <c r="D477" s="19"/>
      <c r="E477" s="20"/>
      <c r="F477" s="21"/>
      <c r="G477" s="21"/>
      <c r="H477" s="21"/>
      <c r="I477" s="21"/>
      <c r="J477" s="21"/>
      <c r="K477" s="6">
        <f t="shared" si="10"/>
        <v>0</v>
      </c>
    </row>
    <row r="478" spans="1:11" x14ac:dyDescent="0.25">
      <c r="A478" s="7"/>
      <c r="B478" s="19"/>
      <c r="C478" s="19"/>
      <c r="D478" s="19"/>
      <c r="E478" s="20"/>
      <c r="F478" s="21"/>
      <c r="G478" s="21"/>
      <c r="H478" s="21"/>
      <c r="I478" s="21"/>
      <c r="J478" s="21"/>
      <c r="K478" s="6">
        <f t="shared" si="10"/>
        <v>0</v>
      </c>
    </row>
    <row r="479" spans="1:11" x14ac:dyDescent="0.25">
      <c r="A479" s="7"/>
      <c r="B479" s="19"/>
      <c r="C479" s="19"/>
      <c r="D479" s="19"/>
      <c r="E479" s="20"/>
      <c r="F479" s="21"/>
      <c r="G479" s="21"/>
      <c r="H479" s="21"/>
      <c r="I479" s="21"/>
      <c r="J479" s="21"/>
      <c r="K479" s="6">
        <f t="shared" si="10"/>
        <v>0</v>
      </c>
    </row>
    <row r="480" spans="1:11" x14ac:dyDescent="0.25">
      <c r="A480" s="7"/>
      <c r="B480" s="19"/>
      <c r="C480" s="19"/>
      <c r="D480" s="19"/>
      <c r="E480" s="20"/>
      <c r="F480" s="21"/>
      <c r="G480" s="21"/>
      <c r="H480" s="21"/>
      <c r="I480" s="21"/>
      <c r="J480" s="21"/>
      <c r="K480" s="6">
        <f t="shared" si="10"/>
        <v>0</v>
      </c>
    </row>
    <row r="481" spans="1:11" x14ac:dyDescent="0.25">
      <c r="A481" s="7"/>
      <c r="B481" s="19"/>
      <c r="C481" s="19"/>
      <c r="D481" s="19"/>
      <c r="E481" s="20"/>
      <c r="F481" s="21"/>
      <c r="G481" s="21"/>
      <c r="H481" s="21"/>
      <c r="I481" s="21"/>
      <c r="J481" s="21"/>
      <c r="K481" s="6">
        <f t="shared" si="10"/>
        <v>0</v>
      </c>
    </row>
    <row r="482" spans="1:11" x14ac:dyDescent="0.25">
      <c r="A482" s="7"/>
      <c r="B482" s="19"/>
      <c r="C482" s="19"/>
      <c r="D482" s="19"/>
      <c r="E482" s="20"/>
      <c r="F482" s="21"/>
      <c r="G482" s="21"/>
      <c r="H482" s="21"/>
      <c r="I482" s="21"/>
      <c r="J482" s="21"/>
      <c r="K482" s="6">
        <f t="shared" si="10"/>
        <v>0</v>
      </c>
    </row>
    <row r="483" spans="1:11" x14ac:dyDescent="0.25">
      <c r="A483" s="7"/>
      <c r="B483" s="19"/>
      <c r="C483" s="19"/>
      <c r="D483" s="19"/>
      <c r="E483" s="20"/>
      <c r="F483" s="21"/>
      <c r="G483" s="21"/>
      <c r="H483" s="21"/>
      <c r="I483" s="21"/>
      <c r="J483" s="21"/>
      <c r="K483" s="6">
        <f t="shared" si="10"/>
        <v>0</v>
      </c>
    </row>
    <row r="484" spans="1:11" x14ac:dyDescent="0.25">
      <c r="A484" s="7"/>
      <c r="B484" s="19"/>
      <c r="C484" s="19"/>
      <c r="D484" s="19"/>
      <c r="E484" s="20"/>
      <c r="F484" s="21"/>
      <c r="G484" s="21"/>
      <c r="H484" s="21"/>
      <c r="I484" s="21"/>
      <c r="J484" s="21"/>
      <c r="K484" s="6">
        <f t="shared" si="10"/>
        <v>0</v>
      </c>
    </row>
    <row r="485" spans="1:11" x14ac:dyDescent="0.25">
      <c r="A485" s="7"/>
      <c r="B485" s="19"/>
      <c r="C485" s="19"/>
      <c r="D485" s="19"/>
      <c r="E485" s="20"/>
      <c r="F485" s="21"/>
      <c r="G485" s="21"/>
      <c r="H485" s="21"/>
      <c r="I485" s="21"/>
      <c r="J485" s="21"/>
      <c r="K485" s="6">
        <f t="shared" si="10"/>
        <v>0</v>
      </c>
    </row>
    <row r="486" spans="1:11" x14ac:dyDescent="0.25">
      <c r="A486" s="7"/>
      <c r="B486" s="19"/>
      <c r="C486" s="19"/>
      <c r="D486" s="19"/>
      <c r="E486" s="20"/>
      <c r="F486" s="21"/>
      <c r="G486" s="21"/>
      <c r="H486" s="21"/>
      <c r="I486" s="21"/>
      <c r="J486" s="21"/>
      <c r="K486" s="6">
        <f t="shared" si="10"/>
        <v>0</v>
      </c>
    </row>
    <row r="487" spans="1:11" x14ac:dyDescent="0.25">
      <c r="A487" s="7"/>
      <c r="B487" s="19"/>
      <c r="C487" s="19"/>
      <c r="D487" s="19"/>
      <c r="E487" s="20"/>
      <c r="F487" s="21"/>
      <c r="G487" s="21"/>
      <c r="H487" s="21"/>
      <c r="I487" s="21"/>
      <c r="J487" s="21"/>
      <c r="K487" s="6">
        <f t="shared" si="10"/>
        <v>0</v>
      </c>
    </row>
    <row r="488" spans="1:11" x14ac:dyDescent="0.25">
      <c r="A488" s="7"/>
      <c r="B488" s="19"/>
      <c r="C488" s="19"/>
      <c r="D488" s="19"/>
      <c r="E488" s="20"/>
      <c r="F488" s="21"/>
      <c r="G488" s="21"/>
      <c r="H488" s="21"/>
      <c r="I488" s="21"/>
      <c r="J488" s="21"/>
      <c r="K488" s="6">
        <f t="shared" si="10"/>
        <v>0</v>
      </c>
    </row>
    <row r="489" spans="1:11" x14ac:dyDescent="0.25">
      <c r="A489" s="7"/>
      <c r="B489" s="19"/>
      <c r="C489" s="19"/>
      <c r="D489" s="19"/>
      <c r="E489" s="20"/>
      <c r="F489" s="21"/>
      <c r="G489" s="21"/>
      <c r="H489" s="21"/>
      <c r="I489" s="21"/>
      <c r="J489" s="21"/>
      <c r="K489" s="6">
        <f t="shared" si="10"/>
        <v>0</v>
      </c>
    </row>
    <row r="490" spans="1:11" x14ac:dyDescent="0.25">
      <c r="A490" s="7"/>
      <c r="B490" s="19"/>
      <c r="C490" s="19"/>
      <c r="D490" s="19"/>
      <c r="E490" s="20"/>
      <c r="F490" s="21"/>
      <c r="G490" s="21"/>
      <c r="H490" s="21"/>
      <c r="I490" s="21"/>
      <c r="J490" s="21"/>
      <c r="K490" s="6">
        <f t="shared" si="10"/>
        <v>0</v>
      </c>
    </row>
    <row r="491" spans="1:11" x14ac:dyDescent="0.25">
      <c r="A491" s="7"/>
      <c r="B491" s="19"/>
      <c r="C491" s="19"/>
      <c r="D491" s="19"/>
      <c r="E491" s="20"/>
      <c r="F491" s="21"/>
      <c r="G491" s="21"/>
      <c r="H491" s="21"/>
      <c r="I491" s="21"/>
      <c r="J491" s="21"/>
      <c r="K491" s="6">
        <f t="shared" si="10"/>
        <v>0</v>
      </c>
    </row>
    <row r="492" spans="1:11" x14ac:dyDescent="0.25">
      <c r="A492" s="7"/>
      <c r="B492" s="19"/>
      <c r="C492" s="19"/>
      <c r="D492" s="19"/>
      <c r="E492" s="20"/>
      <c r="F492" s="21"/>
      <c r="G492" s="21"/>
      <c r="H492" s="21"/>
      <c r="I492" s="21"/>
      <c r="J492" s="21"/>
      <c r="K492" s="6">
        <f t="shared" si="10"/>
        <v>0</v>
      </c>
    </row>
    <row r="493" spans="1:11" x14ac:dyDescent="0.25">
      <c r="A493" s="7"/>
      <c r="B493" s="19"/>
      <c r="C493" s="19"/>
      <c r="D493" s="19"/>
      <c r="E493" s="20"/>
      <c r="F493" s="21"/>
      <c r="G493" s="21"/>
      <c r="H493" s="21"/>
      <c r="I493" s="21"/>
      <c r="J493" s="21"/>
      <c r="K493" s="6">
        <f t="shared" si="10"/>
        <v>0</v>
      </c>
    </row>
    <row r="494" spans="1:11" x14ac:dyDescent="0.25">
      <c r="A494" s="7"/>
      <c r="B494" s="19"/>
      <c r="C494" s="19"/>
      <c r="D494" s="19"/>
      <c r="E494" s="20"/>
      <c r="F494" s="21"/>
      <c r="G494" s="21"/>
      <c r="H494" s="21"/>
      <c r="I494" s="21"/>
      <c r="J494" s="21"/>
      <c r="K494" s="6">
        <f t="shared" si="10"/>
        <v>0</v>
      </c>
    </row>
    <row r="495" spans="1:11" x14ac:dyDescent="0.25">
      <c r="A495" s="7"/>
      <c r="B495" s="19"/>
      <c r="C495" s="19"/>
      <c r="D495" s="19"/>
      <c r="E495" s="20"/>
      <c r="F495" s="21"/>
      <c r="G495" s="21"/>
      <c r="H495" s="21"/>
      <c r="I495" s="21"/>
      <c r="J495" s="21"/>
      <c r="K495" s="6">
        <f t="shared" si="10"/>
        <v>0</v>
      </c>
    </row>
    <row r="496" spans="1:11" x14ac:dyDescent="0.25">
      <c r="A496" s="7"/>
      <c r="B496" s="19"/>
      <c r="C496" s="19"/>
      <c r="D496" s="19"/>
      <c r="E496" s="20"/>
      <c r="F496" s="21"/>
      <c r="G496" s="21"/>
      <c r="H496" s="21"/>
      <c r="I496" s="21"/>
      <c r="J496" s="21"/>
      <c r="K496" s="6">
        <f t="shared" si="10"/>
        <v>0</v>
      </c>
    </row>
    <row r="497" spans="1:11" x14ac:dyDescent="0.25">
      <c r="A497" s="7"/>
      <c r="B497" s="19"/>
      <c r="C497" s="19"/>
      <c r="D497" s="19"/>
      <c r="E497" s="20"/>
      <c r="F497" s="21"/>
      <c r="G497" s="21"/>
      <c r="H497" s="21"/>
      <c r="I497" s="21"/>
      <c r="J497" s="21"/>
      <c r="K497" s="6">
        <f t="shared" si="10"/>
        <v>0</v>
      </c>
    </row>
    <row r="498" spans="1:11" x14ac:dyDescent="0.25">
      <c r="A498" s="7"/>
      <c r="B498" s="19"/>
      <c r="C498" s="19"/>
      <c r="D498" s="19"/>
      <c r="E498" s="20"/>
      <c r="F498" s="21"/>
      <c r="G498" s="21"/>
      <c r="H498" s="21"/>
      <c r="I498" s="21"/>
      <c r="J498" s="21"/>
      <c r="K498" s="6">
        <f t="shared" si="10"/>
        <v>0</v>
      </c>
    </row>
    <row r="499" spans="1:11" x14ac:dyDescent="0.25">
      <c r="A499" s="7"/>
      <c r="B499" s="19"/>
      <c r="C499" s="19"/>
      <c r="D499" s="19"/>
      <c r="E499" s="20"/>
      <c r="F499" s="21"/>
      <c r="G499" s="21"/>
      <c r="H499" s="21"/>
      <c r="I499" s="21"/>
      <c r="J499" s="21"/>
      <c r="K499" s="6">
        <f t="shared" si="10"/>
        <v>0</v>
      </c>
    </row>
    <row r="500" spans="1:11" x14ac:dyDescent="0.25">
      <c r="A500" s="7"/>
      <c r="B500" s="19"/>
      <c r="C500" s="19"/>
      <c r="D500" s="19"/>
      <c r="E500" s="20"/>
      <c r="F500" s="21"/>
      <c r="G500" s="21"/>
      <c r="H500" s="21"/>
      <c r="I500" s="21"/>
      <c r="J500" s="21"/>
      <c r="K500" s="6">
        <f t="shared" si="10"/>
        <v>0</v>
      </c>
    </row>
    <row r="501" spans="1:11" x14ac:dyDescent="0.25">
      <c r="A501" s="7"/>
      <c r="B501" s="19"/>
      <c r="C501" s="19"/>
      <c r="D501" s="19"/>
      <c r="E501" s="20"/>
      <c r="F501" s="21"/>
      <c r="G501" s="21"/>
      <c r="H501" s="21"/>
      <c r="I501" s="21"/>
      <c r="J501" s="21"/>
      <c r="K501" s="6">
        <f t="shared" si="10"/>
        <v>0</v>
      </c>
    </row>
    <row r="502" spans="1:11" x14ac:dyDescent="0.25">
      <c r="A502" s="7"/>
      <c r="B502" s="19"/>
      <c r="C502" s="19"/>
      <c r="D502" s="19"/>
      <c r="E502" s="20"/>
      <c r="F502" s="21"/>
      <c r="G502" s="21"/>
      <c r="H502" s="21"/>
      <c r="I502" s="21"/>
      <c r="J502" s="21"/>
      <c r="K502" s="6">
        <f t="shared" si="10"/>
        <v>0</v>
      </c>
    </row>
    <row r="503" spans="1:11" x14ac:dyDescent="0.25">
      <c r="A503" s="7"/>
      <c r="B503" s="19"/>
      <c r="C503" s="19"/>
      <c r="D503" s="19"/>
      <c r="E503" s="20"/>
      <c r="F503" s="21"/>
      <c r="G503" s="21"/>
      <c r="H503" s="21"/>
      <c r="I503" s="21"/>
      <c r="J503" s="21"/>
      <c r="K503" s="6">
        <f t="shared" si="10"/>
        <v>0</v>
      </c>
    </row>
    <row r="504" spans="1:11" x14ac:dyDescent="0.25">
      <c r="A504" s="7"/>
      <c r="B504" s="19"/>
      <c r="C504" s="19"/>
      <c r="D504" s="19"/>
      <c r="E504" s="20"/>
      <c r="F504" s="21"/>
      <c r="G504" s="21"/>
      <c r="H504" s="21"/>
      <c r="I504" s="21"/>
      <c r="J504" s="21"/>
      <c r="K504" s="6">
        <f t="shared" si="10"/>
        <v>0</v>
      </c>
    </row>
    <row r="505" spans="1:11" x14ac:dyDescent="0.25">
      <c r="A505" s="7"/>
      <c r="B505" s="19"/>
      <c r="C505" s="19"/>
      <c r="D505" s="19"/>
      <c r="E505" s="20"/>
      <c r="F505" s="21"/>
      <c r="G505" s="21"/>
      <c r="H505" s="21"/>
      <c r="I505" s="21"/>
      <c r="J505" s="21"/>
      <c r="K505" s="6">
        <f t="shared" si="10"/>
        <v>0</v>
      </c>
    </row>
    <row r="506" spans="1:11" x14ac:dyDescent="0.25">
      <c r="A506" s="7"/>
      <c r="B506" s="19"/>
      <c r="C506" s="19"/>
      <c r="D506" s="19"/>
      <c r="E506" s="20"/>
      <c r="F506" s="21"/>
      <c r="G506" s="21"/>
      <c r="H506" s="21"/>
      <c r="I506" s="21"/>
      <c r="J506" s="21"/>
      <c r="K506" s="6">
        <f t="shared" si="10"/>
        <v>0</v>
      </c>
    </row>
    <row r="507" spans="1:11" x14ac:dyDescent="0.25">
      <c r="A507" s="7"/>
      <c r="B507" s="19"/>
      <c r="C507" s="19"/>
      <c r="D507" s="19"/>
      <c r="E507" s="20"/>
      <c r="F507" s="21"/>
      <c r="G507" s="21"/>
      <c r="H507" s="21"/>
      <c r="I507" s="21"/>
      <c r="J507" s="21"/>
      <c r="K507" s="6">
        <f t="shared" si="10"/>
        <v>0</v>
      </c>
    </row>
    <row r="508" spans="1:11" x14ac:dyDescent="0.25">
      <c r="A508" s="7"/>
      <c r="B508" s="19"/>
      <c r="C508" s="19"/>
      <c r="D508" s="19"/>
      <c r="E508" s="20"/>
      <c r="F508" s="21"/>
      <c r="G508" s="21"/>
      <c r="H508" s="21"/>
      <c r="I508" s="21"/>
      <c r="J508" s="21"/>
      <c r="K508" s="6">
        <f t="shared" si="10"/>
        <v>0</v>
      </c>
    </row>
    <row r="509" spans="1:11" x14ac:dyDescent="0.25">
      <c r="A509" s="7"/>
      <c r="B509" s="19"/>
      <c r="C509" s="19"/>
      <c r="D509" s="19"/>
      <c r="E509" s="20"/>
      <c r="F509" s="21"/>
      <c r="G509" s="21"/>
      <c r="H509" s="21"/>
      <c r="I509" s="21"/>
      <c r="J509" s="21"/>
      <c r="K509" s="6">
        <f t="shared" si="10"/>
        <v>0</v>
      </c>
    </row>
    <row r="510" spans="1:11" x14ac:dyDescent="0.25">
      <c r="A510" s="7"/>
      <c r="B510" s="19"/>
      <c r="C510" s="19"/>
      <c r="D510" s="19"/>
      <c r="E510" s="20"/>
      <c r="F510" s="21"/>
      <c r="G510" s="21"/>
      <c r="H510" s="21"/>
      <c r="I510" s="21"/>
      <c r="J510" s="21"/>
      <c r="K510" s="6">
        <f t="shared" si="10"/>
        <v>0</v>
      </c>
    </row>
    <row r="511" spans="1:11" x14ac:dyDescent="0.25">
      <c r="A511" s="7"/>
      <c r="B511" s="19"/>
      <c r="C511" s="19"/>
      <c r="D511" s="19"/>
      <c r="E511" s="20"/>
      <c r="F511" s="21"/>
      <c r="G511" s="21"/>
      <c r="H511" s="21"/>
      <c r="I511" s="21"/>
      <c r="J511" s="21"/>
      <c r="K511" s="6">
        <f t="shared" si="10"/>
        <v>0</v>
      </c>
    </row>
    <row r="512" spans="1:11" x14ac:dyDescent="0.25">
      <c r="A512" s="7"/>
      <c r="B512" s="19"/>
      <c r="C512" s="19"/>
      <c r="D512" s="19"/>
      <c r="E512" s="20"/>
      <c r="F512" s="21"/>
      <c r="G512" s="21"/>
      <c r="H512" s="21"/>
      <c r="I512" s="21"/>
      <c r="J512" s="21"/>
      <c r="K512" s="6">
        <f t="shared" si="10"/>
        <v>0</v>
      </c>
    </row>
    <row r="513" spans="1:11" x14ac:dyDescent="0.25">
      <c r="A513" s="7"/>
      <c r="B513" s="19"/>
      <c r="C513" s="19"/>
      <c r="D513" s="19"/>
      <c r="E513" s="20"/>
      <c r="F513" s="21"/>
      <c r="G513" s="21"/>
      <c r="H513" s="21"/>
      <c r="I513" s="21"/>
      <c r="J513" s="21"/>
      <c r="K513" s="6">
        <f t="shared" si="10"/>
        <v>0</v>
      </c>
    </row>
    <row r="514" spans="1:11" x14ac:dyDescent="0.25">
      <c r="A514" s="7"/>
      <c r="B514" s="19"/>
      <c r="C514" s="19"/>
      <c r="D514" s="19"/>
      <c r="E514" s="20"/>
      <c r="F514" s="21"/>
      <c r="G514" s="21"/>
      <c r="H514" s="21"/>
      <c r="I514" s="21"/>
      <c r="J514" s="21"/>
      <c r="K514" s="6">
        <f t="shared" si="10"/>
        <v>0</v>
      </c>
    </row>
    <row r="515" spans="1:11" x14ac:dyDescent="0.25">
      <c r="A515" s="7"/>
      <c r="B515" s="19"/>
      <c r="C515" s="19"/>
      <c r="D515" s="19"/>
      <c r="E515" s="20"/>
      <c r="F515" s="21"/>
      <c r="G515" s="21"/>
      <c r="H515" s="21"/>
      <c r="I515" s="21"/>
      <c r="J515" s="21"/>
      <c r="K515" s="6">
        <f t="shared" si="10"/>
        <v>0</v>
      </c>
    </row>
    <row r="516" spans="1:11" x14ac:dyDescent="0.25">
      <c r="A516" s="7"/>
      <c r="B516" s="19"/>
      <c r="C516" s="19"/>
      <c r="D516" s="19"/>
      <c r="E516" s="20"/>
      <c r="F516" s="21"/>
      <c r="G516" s="21"/>
      <c r="H516" s="21"/>
      <c r="I516" s="21"/>
      <c r="J516" s="21"/>
      <c r="K516" s="6">
        <f t="shared" si="10"/>
        <v>0</v>
      </c>
    </row>
    <row r="517" spans="1:11" x14ac:dyDescent="0.25">
      <c r="A517" s="7"/>
      <c r="B517" s="19"/>
      <c r="C517" s="19"/>
      <c r="D517" s="19"/>
      <c r="E517" s="20"/>
      <c r="F517" s="21"/>
      <c r="G517" s="21"/>
      <c r="H517" s="21"/>
      <c r="I517" s="21"/>
      <c r="J517" s="21"/>
      <c r="K517" s="6">
        <f t="shared" si="10"/>
        <v>0</v>
      </c>
    </row>
    <row r="518" spans="1:11" x14ac:dyDescent="0.25">
      <c r="A518" s="7"/>
      <c r="B518" s="19"/>
      <c r="C518" s="19"/>
      <c r="D518" s="19"/>
      <c r="E518" s="20"/>
      <c r="F518" s="21"/>
      <c r="G518" s="21"/>
      <c r="H518" s="21"/>
      <c r="I518" s="21"/>
      <c r="J518" s="21"/>
      <c r="K518" s="6">
        <f t="shared" si="10"/>
        <v>0</v>
      </c>
    </row>
    <row r="519" spans="1:11" x14ac:dyDescent="0.25">
      <c r="A519" s="7"/>
      <c r="B519" s="19"/>
      <c r="C519" s="19"/>
      <c r="D519" s="19"/>
      <c r="E519" s="20"/>
      <c r="F519" s="21"/>
      <c r="G519" s="21"/>
      <c r="H519" s="21"/>
      <c r="I519" s="21"/>
      <c r="J519" s="21"/>
      <c r="K519" s="6">
        <f t="shared" si="10"/>
        <v>0</v>
      </c>
    </row>
    <row r="520" spans="1:11" x14ac:dyDescent="0.25">
      <c r="A520" s="7"/>
      <c r="B520" s="19"/>
      <c r="C520" s="19"/>
      <c r="D520" s="19"/>
      <c r="E520" s="20"/>
      <c r="F520" s="21"/>
      <c r="G520" s="21"/>
      <c r="H520" s="21"/>
      <c r="I520" s="21"/>
      <c r="J520" s="21"/>
      <c r="K520" s="6">
        <f t="shared" si="10"/>
        <v>0</v>
      </c>
    </row>
    <row r="521" spans="1:11" x14ac:dyDescent="0.25">
      <c r="A521" s="7"/>
      <c r="B521" s="19"/>
      <c r="C521" s="19"/>
      <c r="D521" s="19"/>
      <c r="E521" s="20"/>
      <c r="F521" s="21"/>
      <c r="G521" s="21"/>
      <c r="H521" s="21"/>
      <c r="I521" s="21"/>
      <c r="J521" s="21"/>
      <c r="K521" s="6">
        <f t="shared" si="10"/>
        <v>0</v>
      </c>
    </row>
    <row r="522" spans="1:11" x14ac:dyDescent="0.25">
      <c r="A522" s="7"/>
      <c r="B522" s="19"/>
      <c r="C522" s="19"/>
      <c r="D522" s="19"/>
      <c r="E522" s="20"/>
      <c r="F522" s="21"/>
      <c r="G522" s="21"/>
      <c r="H522" s="21"/>
      <c r="I522" s="21"/>
      <c r="J522" s="21"/>
      <c r="K522" s="6">
        <f t="shared" si="10"/>
        <v>0</v>
      </c>
    </row>
    <row r="523" spans="1:11" x14ac:dyDescent="0.25">
      <c r="A523" s="7"/>
      <c r="B523" s="19"/>
      <c r="C523" s="19"/>
      <c r="D523" s="19"/>
      <c r="E523" s="20"/>
      <c r="F523" s="21"/>
      <c r="G523" s="21"/>
      <c r="H523" s="21"/>
      <c r="I523" s="21"/>
      <c r="J523" s="21"/>
      <c r="K523" s="6">
        <f t="shared" si="10"/>
        <v>0</v>
      </c>
    </row>
    <row r="524" spans="1:11" x14ac:dyDescent="0.25">
      <c r="A524" s="7"/>
      <c r="B524" s="19"/>
      <c r="C524" s="19"/>
      <c r="D524" s="19"/>
      <c r="E524" s="20"/>
      <c r="F524" s="21"/>
      <c r="G524" s="21"/>
      <c r="H524" s="21"/>
      <c r="I524" s="21"/>
      <c r="J524" s="21"/>
      <c r="K524" s="6">
        <f t="shared" si="10"/>
        <v>0</v>
      </c>
    </row>
    <row r="525" spans="1:11" x14ac:dyDescent="0.25">
      <c r="A525" s="4"/>
      <c r="B525" s="16"/>
      <c r="C525" s="16"/>
      <c r="D525" s="16"/>
      <c r="E525" s="17"/>
      <c r="F525" s="18"/>
      <c r="G525" s="18"/>
      <c r="H525" s="18"/>
      <c r="I525" s="18"/>
      <c r="J525" s="18"/>
      <c r="K525" s="6">
        <f>SUM(F525:J525)</f>
        <v>0</v>
      </c>
    </row>
    <row r="526" spans="1:11" x14ac:dyDescent="0.25">
      <c r="A526" s="4"/>
      <c r="B526" s="16"/>
      <c r="C526" s="16"/>
      <c r="D526" s="16"/>
      <c r="E526" s="17"/>
      <c r="F526" s="18"/>
      <c r="G526" s="18"/>
      <c r="H526" s="18"/>
      <c r="I526" s="18"/>
      <c r="J526" s="18"/>
      <c r="K526" s="6">
        <f t="shared" ref="K526:K584" si="11">SUM(F526:J526)</f>
        <v>0</v>
      </c>
    </row>
    <row r="527" spans="1:11" x14ac:dyDescent="0.25">
      <c r="A527" s="4"/>
      <c r="B527" s="16"/>
      <c r="C527" s="16"/>
      <c r="D527" s="16"/>
      <c r="E527" s="17"/>
      <c r="F527" s="18"/>
      <c r="G527" s="18"/>
      <c r="H527" s="18"/>
      <c r="I527" s="18"/>
      <c r="J527" s="18"/>
      <c r="K527" s="6">
        <f t="shared" si="11"/>
        <v>0</v>
      </c>
    </row>
    <row r="528" spans="1:11" x14ac:dyDescent="0.25">
      <c r="A528" s="4"/>
      <c r="B528" s="16"/>
      <c r="C528" s="16"/>
      <c r="D528" s="16"/>
      <c r="E528" s="17"/>
      <c r="F528" s="18"/>
      <c r="G528" s="18"/>
      <c r="H528" s="18"/>
      <c r="I528" s="18"/>
      <c r="J528" s="18"/>
      <c r="K528" s="6">
        <f t="shared" si="11"/>
        <v>0</v>
      </c>
    </row>
    <row r="529" spans="1:11" x14ac:dyDescent="0.25">
      <c r="A529" s="4"/>
      <c r="B529" s="16"/>
      <c r="C529" s="16"/>
      <c r="D529" s="16"/>
      <c r="E529" s="17"/>
      <c r="F529" s="18"/>
      <c r="G529" s="18"/>
      <c r="H529" s="18"/>
      <c r="I529" s="18"/>
      <c r="J529" s="18"/>
      <c r="K529" s="6">
        <f t="shared" si="11"/>
        <v>0</v>
      </c>
    </row>
    <row r="530" spans="1:11" x14ac:dyDescent="0.25">
      <c r="A530" s="4"/>
      <c r="B530" s="16"/>
      <c r="C530" s="16"/>
      <c r="D530" s="16"/>
      <c r="E530" s="17"/>
      <c r="F530" s="18"/>
      <c r="G530" s="18"/>
      <c r="H530" s="18"/>
      <c r="I530" s="18"/>
      <c r="J530" s="18"/>
      <c r="K530" s="6">
        <f t="shared" si="11"/>
        <v>0</v>
      </c>
    </row>
    <row r="531" spans="1:11" x14ac:dyDescent="0.25">
      <c r="A531" s="4"/>
      <c r="B531" s="16"/>
      <c r="C531" s="16"/>
      <c r="D531" s="16"/>
      <c r="E531" s="17"/>
      <c r="F531" s="18"/>
      <c r="G531" s="18"/>
      <c r="H531" s="18"/>
      <c r="I531" s="18"/>
      <c r="J531" s="18"/>
      <c r="K531" s="6">
        <f t="shared" si="11"/>
        <v>0</v>
      </c>
    </row>
    <row r="532" spans="1:11" x14ac:dyDescent="0.25">
      <c r="A532" s="4"/>
      <c r="B532" s="16"/>
      <c r="C532" s="16"/>
      <c r="D532" s="16"/>
      <c r="E532" s="17"/>
      <c r="F532" s="18"/>
      <c r="G532" s="18"/>
      <c r="H532" s="18"/>
      <c r="I532" s="18"/>
      <c r="J532" s="18"/>
      <c r="K532" s="6">
        <f t="shared" si="11"/>
        <v>0</v>
      </c>
    </row>
    <row r="533" spans="1:11" x14ac:dyDescent="0.25">
      <c r="A533" s="4"/>
      <c r="B533" s="16"/>
      <c r="C533" s="16"/>
      <c r="D533" s="16"/>
      <c r="E533" s="17"/>
      <c r="F533" s="18"/>
      <c r="G533" s="18"/>
      <c r="H533" s="18"/>
      <c r="I533" s="18"/>
      <c r="J533" s="18"/>
      <c r="K533" s="6">
        <f t="shared" si="11"/>
        <v>0</v>
      </c>
    </row>
    <row r="534" spans="1:11" x14ac:dyDescent="0.25">
      <c r="A534" s="4"/>
      <c r="B534" s="16"/>
      <c r="C534" s="16"/>
      <c r="D534" s="16"/>
      <c r="E534" s="17"/>
      <c r="F534" s="18"/>
      <c r="G534" s="18"/>
      <c r="H534" s="18"/>
      <c r="I534" s="18"/>
      <c r="J534" s="18"/>
      <c r="K534" s="6">
        <f t="shared" si="11"/>
        <v>0</v>
      </c>
    </row>
    <row r="535" spans="1:11" x14ac:dyDescent="0.25">
      <c r="A535" s="4"/>
      <c r="B535" s="16"/>
      <c r="C535" s="16"/>
      <c r="D535" s="16"/>
      <c r="E535" s="17"/>
      <c r="F535" s="18"/>
      <c r="G535" s="18"/>
      <c r="H535" s="18"/>
      <c r="I535" s="18"/>
      <c r="J535" s="18"/>
      <c r="K535" s="6">
        <f t="shared" si="11"/>
        <v>0</v>
      </c>
    </row>
    <row r="536" spans="1:11" x14ac:dyDescent="0.25">
      <c r="A536" s="4"/>
      <c r="B536" s="16"/>
      <c r="C536" s="16"/>
      <c r="D536" s="16"/>
      <c r="E536" s="17"/>
      <c r="F536" s="18"/>
      <c r="G536" s="18"/>
      <c r="H536" s="18"/>
      <c r="I536" s="18"/>
      <c r="J536" s="18"/>
      <c r="K536" s="6">
        <f t="shared" si="11"/>
        <v>0</v>
      </c>
    </row>
    <row r="537" spans="1:11" x14ac:dyDescent="0.25">
      <c r="A537" s="4"/>
      <c r="B537" s="16"/>
      <c r="C537" s="16"/>
      <c r="D537" s="16"/>
      <c r="E537" s="17"/>
      <c r="F537" s="18"/>
      <c r="G537" s="18"/>
      <c r="H537" s="18"/>
      <c r="I537" s="18"/>
      <c r="J537" s="18"/>
      <c r="K537" s="6">
        <f t="shared" si="11"/>
        <v>0</v>
      </c>
    </row>
    <row r="538" spans="1:11" x14ac:dyDescent="0.25">
      <c r="A538" s="4"/>
      <c r="B538" s="16"/>
      <c r="C538" s="16"/>
      <c r="D538" s="16"/>
      <c r="E538" s="17"/>
      <c r="F538" s="18"/>
      <c r="G538" s="18"/>
      <c r="H538" s="18"/>
      <c r="I538" s="18"/>
      <c r="J538" s="18"/>
      <c r="K538" s="6">
        <f t="shared" si="11"/>
        <v>0</v>
      </c>
    </row>
    <row r="539" spans="1:11" x14ac:dyDescent="0.25">
      <c r="A539" s="4"/>
      <c r="B539" s="16"/>
      <c r="C539" s="16"/>
      <c r="D539" s="16"/>
      <c r="E539" s="17"/>
      <c r="F539" s="18"/>
      <c r="G539" s="18"/>
      <c r="H539" s="18"/>
      <c r="I539" s="18"/>
      <c r="J539" s="18"/>
      <c r="K539" s="6">
        <f t="shared" si="11"/>
        <v>0</v>
      </c>
    </row>
    <row r="540" spans="1:11" x14ac:dyDescent="0.25">
      <c r="A540" s="4"/>
      <c r="B540" s="16"/>
      <c r="C540" s="16"/>
      <c r="D540" s="16"/>
      <c r="E540" s="17"/>
      <c r="F540" s="18"/>
      <c r="G540" s="18"/>
      <c r="H540" s="18"/>
      <c r="I540" s="18"/>
      <c r="J540" s="18"/>
      <c r="K540" s="6">
        <f t="shared" si="11"/>
        <v>0</v>
      </c>
    </row>
    <row r="541" spans="1:11" x14ac:dyDescent="0.25">
      <c r="A541" s="4"/>
      <c r="B541" s="16"/>
      <c r="C541" s="16"/>
      <c r="D541" s="16"/>
      <c r="E541" s="17"/>
      <c r="F541" s="18"/>
      <c r="G541" s="18"/>
      <c r="H541" s="18"/>
      <c r="I541" s="18"/>
      <c r="J541" s="18"/>
      <c r="K541" s="6">
        <f t="shared" si="11"/>
        <v>0</v>
      </c>
    </row>
    <row r="542" spans="1:11" x14ac:dyDescent="0.25">
      <c r="A542" s="4"/>
      <c r="B542" s="16"/>
      <c r="C542" s="16"/>
      <c r="D542" s="16"/>
      <c r="E542" s="17"/>
      <c r="F542" s="18"/>
      <c r="G542" s="18"/>
      <c r="H542" s="18"/>
      <c r="I542" s="18"/>
      <c r="J542" s="18"/>
      <c r="K542" s="6">
        <f t="shared" si="11"/>
        <v>0</v>
      </c>
    </row>
    <row r="543" spans="1:11" x14ac:dyDescent="0.25">
      <c r="A543" s="4"/>
      <c r="B543" s="16"/>
      <c r="C543" s="16"/>
      <c r="D543" s="16"/>
      <c r="E543" s="17"/>
      <c r="F543" s="18"/>
      <c r="G543" s="18"/>
      <c r="H543" s="18"/>
      <c r="I543" s="18"/>
      <c r="J543" s="18"/>
      <c r="K543" s="6">
        <f t="shared" si="11"/>
        <v>0</v>
      </c>
    </row>
    <row r="544" spans="1:11" x14ac:dyDescent="0.25">
      <c r="A544" s="4"/>
      <c r="B544" s="16"/>
      <c r="C544" s="16"/>
      <c r="D544" s="16"/>
      <c r="E544" s="17"/>
      <c r="F544" s="18"/>
      <c r="G544" s="18"/>
      <c r="H544" s="18"/>
      <c r="I544" s="18"/>
      <c r="J544" s="18"/>
      <c r="K544" s="6">
        <f t="shared" si="11"/>
        <v>0</v>
      </c>
    </row>
    <row r="545" spans="1:11" x14ac:dyDescent="0.25">
      <c r="A545" s="4"/>
      <c r="B545" s="16"/>
      <c r="C545" s="16"/>
      <c r="D545" s="16"/>
      <c r="E545" s="17"/>
      <c r="F545" s="18"/>
      <c r="G545" s="18"/>
      <c r="H545" s="18"/>
      <c r="I545" s="18"/>
      <c r="J545" s="18"/>
      <c r="K545" s="6">
        <f t="shared" si="11"/>
        <v>0</v>
      </c>
    </row>
    <row r="546" spans="1:11" x14ac:dyDescent="0.25">
      <c r="A546" s="4"/>
      <c r="B546" s="16"/>
      <c r="C546" s="16"/>
      <c r="D546" s="16"/>
      <c r="E546" s="17"/>
      <c r="F546" s="18"/>
      <c r="G546" s="18"/>
      <c r="H546" s="18"/>
      <c r="I546" s="18"/>
      <c r="J546" s="18"/>
      <c r="K546" s="6">
        <f t="shared" si="11"/>
        <v>0</v>
      </c>
    </row>
    <row r="547" spans="1:11" x14ac:dyDescent="0.25">
      <c r="A547" s="4"/>
      <c r="B547" s="16"/>
      <c r="C547" s="16"/>
      <c r="D547" s="16"/>
      <c r="E547" s="17"/>
      <c r="F547" s="18"/>
      <c r="G547" s="18"/>
      <c r="H547" s="18"/>
      <c r="I547" s="18"/>
      <c r="J547" s="18"/>
      <c r="K547" s="6">
        <f t="shared" si="11"/>
        <v>0</v>
      </c>
    </row>
    <row r="548" spans="1:11" x14ac:dyDescent="0.25">
      <c r="A548" s="4"/>
      <c r="B548" s="16"/>
      <c r="C548" s="16"/>
      <c r="D548" s="16"/>
      <c r="E548" s="17"/>
      <c r="F548" s="18"/>
      <c r="G548" s="18"/>
      <c r="H548" s="18"/>
      <c r="I548" s="18"/>
      <c r="J548" s="18"/>
      <c r="K548" s="6">
        <f t="shared" si="11"/>
        <v>0</v>
      </c>
    </row>
    <row r="549" spans="1:11" x14ac:dyDescent="0.25">
      <c r="A549" s="4"/>
      <c r="B549" s="16"/>
      <c r="C549" s="16"/>
      <c r="D549" s="16"/>
      <c r="E549" s="17"/>
      <c r="F549" s="18"/>
      <c r="G549" s="18"/>
      <c r="H549" s="18"/>
      <c r="I549" s="18"/>
      <c r="J549" s="18"/>
      <c r="K549" s="6">
        <f t="shared" si="11"/>
        <v>0</v>
      </c>
    </row>
    <row r="550" spans="1:11" x14ac:dyDescent="0.25">
      <c r="A550" s="4"/>
      <c r="B550" s="16"/>
      <c r="C550" s="16"/>
      <c r="D550" s="16"/>
      <c r="E550" s="17"/>
      <c r="F550" s="18"/>
      <c r="G550" s="18"/>
      <c r="H550" s="18"/>
      <c r="I550" s="18"/>
      <c r="J550" s="18"/>
      <c r="K550" s="6">
        <f t="shared" si="11"/>
        <v>0</v>
      </c>
    </row>
    <row r="551" spans="1:11" x14ac:dyDescent="0.25">
      <c r="A551" s="4"/>
      <c r="B551" s="16"/>
      <c r="C551" s="16"/>
      <c r="D551" s="16"/>
      <c r="E551" s="17"/>
      <c r="F551" s="18"/>
      <c r="G551" s="18"/>
      <c r="H551" s="18"/>
      <c r="I551" s="18"/>
      <c r="J551" s="18"/>
      <c r="K551" s="6">
        <f t="shared" si="11"/>
        <v>0</v>
      </c>
    </row>
    <row r="552" spans="1:11" x14ac:dyDescent="0.25">
      <c r="A552" s="4"/>
      <c r="B552" s="16"/>
      <c r="C552" s="16"/>
      <c r="D552" s="16"/>
      <c r="E552" s="17"/>
      <c r="F552" s="18"/>
      <c r="G552" s="18"/>
      <c r="H552" s="18"/>
      <c r="I552" s="18"/>
      <c r="J552" s="18"/>
      <c r="K552" s="6">
        <f t="shared" si="11"/>
        <v>0</v>
      </c>
    </row>
    <row r="553" spans="1:11" x14ac:dyDescent="0.25">
      <c r="A553" s="4"/>
      <c r="B553" s="16"/>
      <c r="C553" s="16"/>
      <c r="D553" s="16"/>
      <c r="E553" s="17"/>
      <c r="F553" s="18"/>
      <c r="G553" s="18"/>
      <c r="H553" s="18"/>
      <c r="I553" s="18"/>
      <c r="J553" s="18"/>
      <c r="K553" s="6">
        <f t="shared" si="11"/>
        <v>0</v>
      </c>
    </row>
    <row r="554" spans="1:11" x14ac:dyDescent="0.25">
      <c r="A554" s="4"/>
      <c r="B554" s="16"/>
      <c r="C554" s="16"/>
      <c r="D554" s="16"/>
      <c r="E554" s="17"/>
      <c r="F554" s="18"/>
      <c r="G554" s="18"/>
      <c r="H554" s="18"/>
      <c r="I554" s="18"/>
      <c r="J554" s="18"/>
      <c r="K554" s="6">
        <f t="shared" si="11"/>
        <v>0</v>
      </c>
    </row>
    <row r="555" spans="1:11" x14ac:dyDescent="0.25">
      <c r="A555" s="4"/>
      <c r="B555" s="16"/>
      <c r="C555" s="16"/>
      <c r="D555" s="16"/>
      <c r="E555" s="17"/>
      <c r="F555" s="18"/>
      <c r="G555" s="18"/>
      <c r="H555" s="18"/>
      <c r="I555" s="18"/>
      <c r="J555" s="18"/>
      <c r="K555" s="6">
        <f t="shared" si="11"/>
        <v>0</v>
      </c>
    </row>
    <row r="556" spans="1:11" x14ac:dyDescent="0.25">
      <c r="A556" s="4"/>
      <c r="B556" s="16"/>
      <c r="C556" s="16"/>
      <c r="D556" s="16"/>
      <c r="E556" s="17"/>
      <c r="F556" s="18"/>
      <c r="G556" s="18"/>
      <c r="H556" s="18"/>
      <c r="I556" s="18"/>
      <c r="J556" s="18"/>
      <c r="K556" s="6">
        <f t="shared" si="11"/>
        <v>0</v>
      </c>
    </row>
    <row r="557" spans="1:11" x14ac:dyDescent="0.25">
      <c r="A557" s="4"/>
      <c r="B557" s="16"/>
      <c r="C557" s="16"/>
      <c r="D557" s="16"/>
      <c r="E557" s="17"/>
      <c r="F557" s="18"/>
      <c r="G557" s="18"/>
      <c r="H557" s="18"/>
      <c r="I557" s="18"/>
      <c r="J557" s="18"/>
      <c r="K557" s="6">
        <f t="shared" si="11"/>
        <v>0</v>
      </c>
    </row>
    <row r="558" spans="1:11" x14ac:dyDescent="0.25">
      <c r="A558" s="4"/>
      <c r="B558" s="16"/>
      <c r="C558" s="16"/>
      <c r="D558" s="16"/>
      <c r="E558" s="17"/>
      <c r="F558" s="18"/>
      <c r="G558" s="18"/>
      <c r="H558" s="18"/>
      <c r="I558" s="18"/>
      <c r="J558" s="18"/>
      <c r="K558" s="6">
        <f t="shared" si="11"/>
        <v>0</v>
      </c>
    </row>
    <row r="559" spans="1:11" x14ac:dyDescent="0.25">
      <c r="A559" s="4"/>
      <c r="B559" s="16"/>
      <c r="C559" s="16"/>
      <c r="D559" s="16"/>
      <c r="E559" s="17"/>
      <c r="F559" s="18"/>
      <c r="G559" s="18"/>
      <c r="H559" s="18"/>
      <c r="I559" s="18"/>
      <c r="J559" s="18"/>
      <c r="K559" s="6">
        <f t="shared" si="11"/>
        <v>0</v>
      </c>
    </row>
    <row r="560" spans="1:11" x14ac:dyDescent="0.25">
      <c r="A560" s="4"/>
      <c r="B560" s="16"/>
      <c r="C560" s="16"/>
      <c r="D560" s="16"/>
      <c r="E560" s="17"/>
      <c r="F560" s="18"/>
      <c r="G560" s="18"/>
      <c r="H560" s="18"/>
      <c r="I560" s="18"/>
      <c r="J560" s="18"/>
      <c r="K560" s="6">
        <f t="shared" si="11"/>
        <v>0</v>
      </c>
    </row>
    <row r="561" spans="1:11" x14ac:dyDescent="0.25">
      <c r="A561" s="4"/>
      <c r="B561" s="16"/>
      <c r="C561" s="16"/>
      <c r="D561" s="16"/>
      <c r="E561" s="17"/>
      <c r="F561" s="18"/>
      <c r="G561" s="18"/>
      <c r="H561" s="18"/>
      <c r="I561" s="18"/>
      <c r="J561" s="18"/>
      <c r="K561" s="6">
        <f t="shared" si="11"/>
        <v>0</v>
      </c>
    </row>
    <row r="562" spans="1:11" x14ac:dyDescent="0.25">
      <c r="A562" s="4"/>
      <c r="B562" s="16"/>
      <c r="C562" s="16"/>
      <c r="D562" s="16"/>
      <c r="E562" s="17"/>
      <c r="F562" s="18"/>
      <c r="G562" s="18"/>
      <c r="H562" s="18"/>
      <c r="I562" s="18"/>
      <c r="J562" s="18"/>
      <c r="K562" s="6">
        <f t="shared" si="11"/>
        <v>0</v>
      </c>
    </row>
    <row r="563" spans="1:11" x14ac:dyDescent="0.25">
      <c r="A563" s="4"/>
      <c r="B563" s="16"/>
      <c r="C563" s="16"/>
      <c r="D563" s="16"/>
      <c r="E563" s="17"/>
      <c r="F563" s="18"/>
      <c r="G563" s="18"/>
      <c r="H563" s="18"/>
      <c r="I563" s="18"/>
      <c r="J563" s="18"/>
      <c r="K563" s="6">
        <f t="shared" si="11"/>
        <v>0</v>
      </c>
    </row>
    <row r="564" spans="1:11" x14ac:dyDescent="0.25">
      <c r="A564" s="4"/>
      <c r="B564" s="16"/>
      <c r="C564" s="16"/>
      <c r="D564" s="16"/>
      <c r="E564" s="17"/>
      <c r="F564" s="18"/>
      <c r="G564" s="18"/>
      <c r="H564" s="18"/>
      <c r="I564" s="18"/>
      <c r="J564" s="18"/>
      <c r="K564" s="6">
        <f t="shared" si="11"/>
        <v>0</v>
      </c>
    </row>
    <row r="565" spans="1:11" x14ac:dyDescent="0.25">
      <c r="A565" s="4"/>
      <c r="B565" s="16"/>
      <c r="C565" s="16"/>
      <c r="D565" s="16"/>
      <c r="E565" s="17"/>
      <c r="F565" s="18"/>
      <c r="G565" s="18"/>
      <c r="H565" s="18"/>
      <c r="I565" s="18"/>
      <c r="J565" s="18"/>
      <c r="K565" s="6">
        <f t="shared" si="11"/>
        <v>0</v>
      </c>
    </row>
    <row r="566" spans="1:11" x14ac:dyDescent="0.25">
      <c r="A566" s="4"/>
      <c r="B566" s="16"/>
      <c r="C566" s="16"/>
      <c r="D566" s="16"/>
      <c r="E566" s="17"/>
      <c r="F566" s="18"/>
      <c r="G566" s="18"/>
      <c r="H566" s="18"/>
      <c r="I566" s="18"/>
      <c r="J566" s="18"/>
      <c r="K566" s="6">
        <f t="shared" si="11"/>
        <v>0</v>
      </c>
    </row>
    <row r="567" spans="1:11" x14ac:dyDescent="0.25">
      <c r="A567" s="4"/>
      <c r="B567" s="16"/>
      <c r="C567" s="16"/>
      <c r="D567" s="16"/>
      <c r="E567" s="17"/>
      <c r="F567" s="18"/>
      <c r="G567" s="18"/>
      <c r="H567" s="18"/>
      <c r="I567" s="18"/>
      <c r="J567" s="18"/>
      <c r="K567" s="6">
        <f t="shared" si="11"/>
        <v>0</v>
      </c>
    </row>
    <row r="568" spans="1:11" x14ac:dyDescent="0.25">
      <c r="A568" s="4"/>
      <c r="B568" s="16"/>
      <c r="C568" s="16"/>
      <c r="D568" s="16"/>
      <c r="E568" s="17"/>
      <c r="F568" s="18"/>
      <c r="G568" s="18"/>
      <c r="H568" s="18"/>
      <c r="I568" s="18"/>
      <c r="J568" s="18"/>
      <c r="K568" s="6">
        <f t="shared" si="11"/>
        <v>0</v>
      </c>
    </row>
    <row r="569" spans="1:11" x14ac:dyDescent="0.25">
      <c r="A569" s="4"/>
      <c r="B569" s="16"/>
      <c r="C569" s="16"/>
      <c r="D569" s="16"/>
      <c r="E569" s="17"/>
      <c r="F569" s="18"/>
      <c r="G569" s="18"/>
      <c r="H569" s="18"/>
      <c r="I569" s="18"/>
      <c r="J569" s="18"/>
      <c r="K569" s="6">
        <f t="shared" si="11"/>
        <v>0</v>
      </c>
    </row>
    <row r="570" spans="1:11" x14ac:dyDescent="0.25">
      <c r="A570" s="4"/>
      <c r="B570" s="16"/>
      <c r="C570" s="16"/>
      <c r="D570" s="16"/>
      <c r="E570" s="17"/>
      <c r="F570" s="18"/>
      <c r="G570" s="18"/>
      <c r="H570" s="18"/>
      <c r="I570" s="18"/>
      <c r="J570" s="18"/>
      <c r="K570" s="6">
        <f t="shared" si="11"/>
        <v>0</v>
      </c>
    </row>
    <row r="571" spans="1:11" x14ac:dyDescent="0.25">
      <c r="A571" s="4"/>
      <c r="B571" s="16"/>
      <c r="C571" s="16"/>
      <c r="D571" s="16"/>
      <c r="E571" s="17"/>
      <c r="F571" s="18"/>
      <c r="G571" s="18"/>
      <c r="H571" s="18"/>
      <c r="I571" s="18"/>
      <c r="J571" s="18"/>
      <c r="K571" s="6">
        <f t="shared" si="11"/>
        <v>0</v>
      </c>
    </row>
    <row r="572" spans="1:11" x14ac:dyDescent="0.25">
      <c r="A572" s="4"/>
      <c r="B572" s="16"/>
      <c r="C572" s="16"/>
      <c r="D572" s="16"/>
      <c r="E572" s="17"/>
      <c r="F572" s="18"/>
      <c r="G572" s="18"/>
      <c r="H572" s="18"/>
      <c r="I572" s="18"/>
      <c r="J572" s="18"/>
      <c r="K572" s="6">
        <f t="shared" si="11"/>
        <v>0</v>
      </c>
    </row>
    <row r="573" spans="1:11" x14ac:dyDescent="0.25">
      <c r="A573" s="4"/>
      <c r="B573" s="16"/>
      <c r="C573" s="16"/>
      <c r="D573" s="16"/>
      <c r="E573" s="17"/>
      <c r="F573" s="18"/>
      <c r="G573" s="18"/>
      <c r="H573" s="18"/>
      <c r="I573" s="18"/>
      <c r="J573" s="18"/>
      <c r="K573" s="6">
        <f t="shared" si="11"/>
        <v>0</v>
      </c>
    </row>
    <row r="574" spans="1:11" x14ac:dyDescent="0.25">
      <c r="A574" s="4"/>
      <c r="B574" s="16"/>
      <c r="C574" s="16"/>
      <c r="D574" s="16"/>
      <c r="E574" s="17"/>
      <c r="F574" s="18"/>
      <c r="G574" s="18"/>
      <c r="H574" s="18"/>
      <c r="I574" s="18"/>
      <c r="J574" s="18"/>
      <c r="K574" s="6">
        <f t="shared" si="11"/>
        <v>0</v>
      </c>
    </row>
    <row r="575" spans="1:11" x14ac:dyDescent="0.25">
      <c r="A575" s="4"/>
      <c r="B575" s="16"/>
      <c r="C575" s="16"/>
      <c r="D575" s="16"/>
      <c r="E575" s="17"/>
      <c r="F575" s="18"/>
      <c r="G575" s="18"/>
      <c r="H575" s="18"/>
      <c r="I575" s="18"/>
      <c r="J575" s="18"/>
      <c r="K575" s="6">
        <f t="shared" si="11"/>
        <v>0</v>
      </c>
    </row>
    <row r="576" spans="1:11" x14ac:dyDescent="0.25">
      <c r="A576" s="4"/>
      <c r="B576" s="16"/>
      <c r="C576" s="16"/>
      <c r="D576" s="16"/>
      <c r="E576" s="17"/>
      <c r="F576" s="18"/>
      <c r="G576" s="18"/>
      <c r="H576" s="18"/>
      <c r="I576" s="18"/>
      <c r="J576" s="18"/>
      <c r="K576" s="6">
        <f t="shared" si="11"/>
        <v>0</v>
      </c>
    </row>
    <row r="577" spans="1:11" x14ac:dyDescent="0.25">
      <c r="A577" s="4"/>
      <c r="B577" s="16"/>
      <c r="C577" s="16"/>
      <c r="D577" s="16"/>
      <c r="E577" s="17"/>
      <c r="F577" s="18"/>
      <c r="G577" s="18"/>
      <c r="H577" s="18"/>
      <c r="I577" s="18"/>
      <c r="J577" s="18"/>
      <c r="K577" s="6">
        <f t="shared" si="11"/>
        <v>0</v>
      </c>
    </row>
    <row r="578" spans="1:11" x14ac:dyDescent="0.25">
      <c r="A578" s="4"/>
      <c r="B578" s="16"/>
      <c r="C578" s="16"/>
      <c r="D578" s="16"/>
      <c r="E578" s="17"/>
      <c r="F578" s="18"/>
      <c r="G578" s="18"/>
      <c r="H578" s="18"/>
      <c r="I578" s="18"/>
      <c r="J578" s="18"/>
      <c r="K578" s="6">
        <f t="shared" si="11"/>
        <v>0</v>
      </c>
    </row>
    <row r="579" spans="1:11" x14ac:dyDescent="0.25">
      <c r="A579" s="4"/>
      <c r="B579" s="16"/>
      <c r="C579" s="16"/>
      <c r="D579" s="16"/>
      <c r="E579" s="17"/>
      <c r="F579" s="18"/>
      <c r="G579" s="18"/>
      <c r="H579" s="18"/>
      <c r="I579" s="18"/>
      <c r="J579" s="18"/>
      <c r="K579" s="6">
        <f t="shared" si="11"/>
        <v>0</v>
      </c>
    </row>
    <row r="580" spans="1:11" x14ac:dyDescent="0.25">
      <c r="A580" s="4"/>
      <c r="B580" s="16"/>
      <c r="C580" s="16"/>
      <c r="D580" s="16"/>
      <c r="E580" s="17"/>
      <c r="F580" s="18"/>
      <c r="G580" s="18"/>
      <c r="H580" s="18"/>
      <c r="I580" s="18"/>
      <c r="J580" s="18"/>
      <c r="K580" s="6">
        <f t="shared" si="11"/>
        <v>0</v>
      </c>
    </row>
    <row r="581" spans="1:11" x14ac:dyDescent="0.25">
      <c r="A581" s="4"/>
      <c r="B581" s="16"/>
      <c r="C581" s="16"/>
      <c r="D581" s="16"/>
      <c r="E581" s="17"/>
      <c r="F581" s="18"/>
      <c r="G581" s="18"/>
      <c r="H581" s="18"/>
      <c r="I581" s="18"/>
      <c r="J581" s="18"/>
      <c r="K581" s="6">
        <f t="shared" si="11"/>
        <v>0</v>
      </c>
    </row>
    <row r="582" spans="1:11" x14ac:dyDescent="0.25">
      <c r="A582" s="4"/>
      <c r="B582" s="16"/>
      <c r="C582" s="16"/>
      <c r="D582" s="16"/>
      <c r="E582" s="17"/>
      <c r="F582" s="18"/>
      <c r="G582" s="18"/>
      <c r="H582" s="18"/>
      <c r="I582" s="18"/>
      <c r="J582" s="18"/>
      <c r="K582" s="6">
        <f t="shared" si="11"/>
        <v>0</v>
      </c>
    </row>
    <row r="583" spans="1:11" x14ac:dyDescent="0.25">
      <c r="A583" s="4"/>
      <c r="B583" s="16"/>
      <c r="C583" s="16"/>
      <c r="D583" s="16"/>
      <c r="E583" s="17"/>
      <c r="F583" s="18"/>
      <c r="G583" s="18"/>
      <c r="H583" s="18"/>
      <c r="I583" s="18"/>
      <c r="J583" s="18"/>
      <c r="K583" s="6">
        <f t="shared" si="11"/>
        <v>0</v>
      </c>
    </row>
    <row r="584" spans="1:11" x14ac:dyDescent="0.25">
      <c r="A584" s="4"/>
      <c r="B584" s="16"/>
      <c r="C584" s="16"/>
      <c r="D584" s="16"/>
      <c r="E584" s="17"/>
      <c r="F584" s="18"/>
      <c r="G584" s="18"/>
      <c r="H584" s="18"/>
      <c r="I584" s="18"/>
      <c r="J584" s="18"/>
      <c r="K584" s="6">
        <f t="shared" si="11"/>
        <v>0</v>
      </c>
    </row>
    <row r="585" spans="1:11" x14ac:dyDescent="0.25">
      <c r="A585" s="4"/>
      <c r="B585" s="16"/>
      <c r="C585" s="16"/>
      <c r="D585" s="16"/>
      <c r="E585" s="17"/>
      <c r="F585" s="18"/>
      <c r="G585" s="18"/>
      <c r="H585" s="18"/>
      <c r="I585" s="18"/>
      <c r="J585" s="18"/>
      <c r="K585" s="6">
        <f>SUM(F585:J585)</f>
        <v>0</v>
      </c>
    </row>
    <row r="586" spans="1:11" x14ac:dyDescent="0.25">
      <c r="A586" s="4"/>
      <c r="B586" s="16"/>
      <c r="C586" s="16"/>
      <c r="D586" s="16"/>
      <c r="E586" s="17"/>
      <c r="F586" s="18"/>
      <c r="G586" s="18"/>
      <c r="H586" s="18"/>
      <c r="I586" s="18"/>
      <c r="J586" s="18"/>
      <c r="K586" s="6">
        <f t="shared" ref="K586:K588" si="12">SUM(F586:J586)</f>
        <v>0</v>
      </c>
    </row>
    <row r="587" spans="1:11" x14ac:dyDescent="0.25">
      <c r="A587" s="4"/>
      <c r="B587" s="16"/>
      <c r="C587" s="16"/>
      <c r="D587" s="16"/>
      <c r="E587" s="17"/>
      <c r="F587" s="18"/>
      <c r="G587" s="18"/>
      <c r="H587" s="18"/>
      <c r="I587" s="18"/>
      <c r="J587" s="18"/>
      <c r="K587" s="6">
        <f t="shared" si="12"/>
        <v>0</v>
      </c>
    </row>
    <row r="588" spans="1:11" x14ac:dyDescent="0.25">
      <c r="A588" s="4"/>
      <c r="B588" s="16"/>
      <c r="C588" s="16"/>
      <c r="D588" s="16"/>
      <c r="E588" s="17"/>
      <c r="F588" s="18"/>
      <c r="G588" s="18"/>
      <c r="H588" s="18"/>
      <c r="I588" s="18"/>
      <c r="J588" s="18"/>
      <c r="K588" s="6">
        <f t="shared" si="12"/>
        <v>0</v>
      </c>
    </row>
    <row r="589" spans="1:11" x14ac:dyDescent="0.25">
      <c r="A589" s="7"/>
      <c r="B589" s="19"/>
      <c r="C589" s="19"/>
      <c r="D589" s="19"/>
      <c r="E589" s="20"/>
      <c r="F589" s="21"/>
      <c r="G589" s="21"/>
      <c r="H589" s="21"/>
      <c r="I589" s="21"/>
      <c r="J589" s="21"/>
      <c r="K589" s="6">
        <f>SUM(F589:J589)</f>
        <v>0</v>
      </c>
    </row>
    <row r="590" spans="1:11" x14ac:dyDescent="0.25">
      <c r="A590" s="7"/>
      <c r="B590" s="19"/>
      <c r="C590" s="19"/>
      <c r="D590" s="19"/>
      <c r="E590" s="20"/>
      <c r="F590" s="21"/>
      <c r="G590" s="21"/>
      <c r="H590" s="21"/>
      <c r="I590" s="21"/>
      <c r="J590" s="21"/>
      <c r="K590" s="6">
        <f t="shared" ref="K590:K652" si="13">SUM(F590:J590)</f>
        <v>0</v>
      </c>
    </row>
    <row r="591" spans="1:11" x14ac:dyDescent="0.25">
      <c r="A591" s="7"/>
      <c r="B591" s="19"/>
      <c r="C591" s="19"/>
      <c r="D591" s="19"/>
      <c r="E591" s="20"/>
      <c r="F591" s="21"/>
      <c r="G591" s="21"/>
      <c r="H591" s="21"/>
      <c r="I591" s="21"/>
      <c r="J591" s="21"/>
      <c r="K591" s="6">
        <f t="shared" si="13"/>
        <v>0</v>
      </c>
    </row>
    <row r="592" spans="1:11" x14ac:dyDescent="0.25">
      <c r="A592" s="7"/>
      <c r="B592" s="19"/>
      <c r="C592" s="19"/>
      <c r="D592" s="19"/>
      <c r="E592" s="20"/>
      <c r="F592" s="21"/>
      <c r="G592" s="21"/>
      <c r="H592" s="21"/>
      <c r="I592" s="21"/>
      <c r="J592" s="21"/>
      <c r="K592" s="6">
        <f t="shared" si="13"/>
        <v>0</v>
      </c>
    </row>
    <row r="593" spans="1:11" x14ac:dyDescent="0.25">
      <c r="A593" s="7"/>
      <c r="B593" s="19"/>
      <c r="C593" s="19"/>
      <c r="D593" s="19"/>
      <c r="E593" s="20"/>
      <c r="F593" s="21"/>
      <c r="G593" s="21"/>
      <c r="H593" s="21"/>
      <c r="I593" s="21"/>
      <c r="J593" s="21"/>
      <c r="K593" s="6">
        <f t="shared" si="13"/>
        <v>0</v>
      </c>
    </row>
    <row r="594" spans="1:11" x14ac:dyDescent="0.25">
      <c r="A594" s="7"/>
      <c r="B594" s="19"/>
      <c r="C594" s="19"/>
      <c r="D594" s="19"/>
      <c r="E594" s="20"/>
      <c r="F594" s="21"/>
      <c r="G594" s="21"/>
      <c r="H594" s="21"/>
      <c r="I594" s="21"/>
      <c r="J594" s="21"/>
      <c r="K594" s="6">
        <f t="shared" si="13"/>
        <v>0</v>
      </c>
    </row>
    <row r="595" spans="1:11" x14ac:dyDescent="0.25">
      <c r="A595" s="7"/>
      <c r="B595" s="19"/>
      <c r="C595" s="19"/>
      <c r="D595" s="19"/>
      <c r="E595" s="20"/>
      <c r="F595" s="21"/>
      <c r="G595" s="21"/>
      <c r="H595" s="21"/>
      <c r="I595" s="21"/>
      <c r="J595" s="21"/>
      <c r="K595" s="6">
        <f t="shared" si="13"/>
        <v>0</v>
      </c>
    </row>
    <row r="596" spans="1:11" x14ac:dyDescent="0.25">
      <c r="A596" s="7"/>
      <c r="B596" s="19"/>
      <c r="C596" s="19"/>
      <c r="D596" s="19"/>
      <c r="E596" s="20"/>
      <c r="F596" s="21"/>
      <c r="G596" s="21"/>
      <c r="H596" s="21"/>
      <c r="I596" s="21"/>
      <c r="J596" s="21"/>
      <c r="K596" s="6">
        <f t="shared" si="13"/>
        <v>0</v>
      </c>
    </row>
    <row r="597" spans="1:11" x14ac:dyDescent="0.25">
      <c r="A597" s="7"/>
      <c r="B597" s="19"/>
      <c r="C597" s="19"/>
      <c r="D597" s="19"/>
      <c r="E597" s="20"/>
      <c r="F597" s="21"/>
      <c r="G597" s="21"/>
      <c r="H597" s="21"/>
      <c r="I597" s="21"/>
      <c r="J597" s="21"/>
      <c r="K597" s="6">
        <f t="shared" si="13"/>
        <v>0</v>
      </c>
    </row>
    <row r="598" spans="1:11" x14ac:dyDescent="0.25">
      <c r="A598" s="7"/>
      <c r="B598" s="19"/>
      <c r="C598" s="19"/>
      <c r="D598" s="19"/>
      <c r="E598" s="20"/>
      <c r="F598" s="21"/>
      <c r="G598" s="21"/>
      <c r="H598" s="21"/>
      <c r="I598" s="21"/>
      <c r="J598" s="21"/>
      <c r="K598" s="6">
        <f t="shared" si="13"/>
        <v>0</v>
      </c>
    </row>
    <row r="599" spans="1:11" x14ac:dyDescent="0.25">
      <c r="A599" s="7"/>
      <c r="B599" s="19"/>
      <c r="C599" s="19"/>
      <c r="D599" s="19"/>
      <c r="E599" s="20"/>
      <c r="F599" s="21"/>
      <c r="G599" s="21"/>
      <c r="H599" s="21"/>
      <c r="I599" s="21"/>
      <c r="J599" s="21"/>
      <c r="K599" s="6">
        <f t="shared" si="13"/>
        <v>0</v>
      </c>
    </row>
    <row r="600" spans="1:11" x14ac:dyDescent="0.25">
      <c r="A600" s="7"/>
      <c r="B600" s="19"/>
      <c r="C600" s="19"/>
      <c r="D600" s="19"/>
      <c r="E600" s="20"/>
      <c r="F600" s="21"/>
      <c r="G600" s="21"/>
      <c r="H600" s="21"/>
      <c r="I600" s="21"/>
      <c r="J600" s="21"/>
      <c r="K600" s="6">
        <f t="shared" si="13"/>
        <v>0</v>
      </c>
    </row>
    <row r="601" spans="1:11" x14ac:dyDescent="0.25">
      <c r="A601" s="7"/>
      <c r="B601" s="19"/>
      <c r="C601" s="19"/>
      <c r="D601" s="19"/>
      <c r="E601" s="20"/>
      <c r="F601" s="21"/>
      <c r="G601" s="21"/>
      <c r="H601" s="21"/>
      <c r="I601" s="21"/>
      <c r="J601" s="21"/>
      <c r="K601" s="6">
        <f t="shared" si="13"/>
        <v>0</v>
      </c>
    </row>
    <row r="602" spans="1:11" x14ac:dyDescent="0.25">
      <c r="A602" s="7"/>
      <c r="B602" s="19"/>
      <c r="C602" s="19"/>
      <c r="D602" s="19"/>
      <c r="E602" s="20"/>
      <c r="F602" s="21"/>
      <c r="G602" s="21"/>
      <c r="H602" s="21"/>
      <c r="I602" s="21"/>
      <c r="J602" s="21"/>
      <c r="K602" s="6">
        <f t="shared" si="13"/>
        <v>0</v>
      </c>
    </row>
    <row r="603" spans="1:11" x14ac:dyDescent="0.25">
      <c r="A603" s="7"/>
      <c r="B603" s="19"/>
      <c r="C603" s="19"/>
      <c r="D603" s="19"/>
      <c r="E603" s="20"/>
      <c r="F603" s="21"/>
      <c r="G603" s="21"/>
      <c r="H603" s="21"/>
      <c r="I603" s="21"/>
      <c r="J603" s="21"/>
      <c r="K603" s="6">
        <f t="shared" si="13"/>
        <v>0</v>
      </c>
    </row>
    <row r="604" spans="1:11" x14ac:dyDescent="0.25">
      <c r="A604" s="7"/>
      <c r="B604" s="19"/>
      <c r="C604" s="19"/>
      <c r="D604" s="19"/>
      <c r="E604" s="20"/>
      <c r="F604" s="21"/>
      <c r="G604" s="21"/>
      <c r="H604" s="21"/>
      <c r="I604" s="21"/>
      <c r="J604" s="21"/>
      <c r="K604" s="6">
        <f t="shared" si="13"/>
        <v>0</v>
      </c>
    </row>
    <row r="605" spans="1:11" x14ac:dyDescent="0.25">
      <c r="A605" s="7"/>
      <c r="B605" s="19"/>
      <c r="C605" s="19"/>
      <c r="D605" s="19"/>
      <c r="E605" s="20"/>
      <c r="F605" s="21"/>
      <c r="G605" s="21"/>
      <c r="H605" s="21"/>
      <c r="I605" s="21"/>
      <c r="J605" s="21"/>
      <c r="K605" s="6">
        <f t="shared" si="13"/>
        <v>0</v>
      </c>
    </row>
    <row r="606" spans="1:11" x14ac:dyDescent="0.25">
      <c r="A606" s="7"/>
      <c r="B606" s="19"/>
      <c r="C606" s="19"/>
      <c r="D606" s="19"/>
      <c r="E606" s="20"/>
      <c r="F606" s="21"/>
      <c r="G606" s="21"/>
      <c r="H606" s="21"/>
      <c r="I606" s="21"/>
      <c r="J606" s="21"/>
      <c r="K606" s="6">
        <f t="shared" si="13"/>
        <v>0</v>
      </c>
    </row>
    <row r="607" spans="1:11" x14ac:dyDescent="0.25">
      <c r="A607" s="7"/>
      <c r="B607" s="19"/>
      <c r="C607" s="19"/>
      <c r="D607" s="19"/>
      <c r="E607" s="20"/>
      <c r="F607" s="21"/>
      <c r="G607" s="21"/>
      <c r="H607" s="21"/>
      <c r="I607" s="21"/>
      <c r="J607" s="21"/>
      <c r="K607" s="6">
        <f t="shared" si="13"/>
        <v>0</v>
      </c>
    </row>
    <row r="608" spans="1:11" x14ac:dyDescent="0.25">
      <c r="A608" s="7"/>
      <c r="B608" s="19"/>
      <c r="C608" s="19"/>
      <c r="D608" s="19"/>
      <c r="E608" s="20"/>
      <c r="F608" s="21"/>
      <c r="G608" s="21"/>
      <c r="H608" s="21"/>
      <c r="I608" s="21"/>
      <c r="J608" s="21"/>
      <c r="K608" s="6">
        <f t="shared" si="13"/>
        <v>0</v>
      </c>
    </row>
    <row r="609" spans="1:11" x14ac:dyDescent="0.25">
      <c r="A609" s="7"/>
      <c r="B609" s="19"/>
      <c r="C609" s="19"/>
      <c r="D609" s="19"/>
      <c r="E609" s="20"/>
      <c r="F609" s="21"/>
      <c r="G609" s="21"/>
      <c r="H609" s="21"/>
      <c r="I609" s="21"/>
      <c r="J609" s="21"/>
      <c r="K609" s="6">
        <f t="shared" si="13"/>
        <v>0</v>
      </c>
    </row>
    <row r="610" spans="1:11" x14ac:dyDescent="0.25">
      <c r="A610" s="7"/>
      <c r="B610" s="19"/>
      <c r="C610" s="19"/>
      <c r="D610" s="19"/>
      <c r="E610" s="20"/>
      <c r="F610" s="21"/>
      <c r="G610" s="21"/>
      <c r="H610" s="21"/>
      <c r="I610" s="21"/>
      <c r="J610" s="21"/>
      <c r="K610" s="6">
        <f t="shared" si="13"/>
        <v>0</v>
      </c>
    </row>
    <row r="611" spans="1:11" x14ac:dyDescent="0.25">
      <c r="A611" s="7"/>
      <c r="B611" s="19"/>
      <c r="C611" s="19"/>
      <c r="D611" s="19"/>
      <c r="E611" s="20"/>
      <c r="F611" s="21"/>
      <c r="G611" s="21"/>
      <c r="H611" s="21"/>
      <c r="I611" s="21"/>
      <c r="J611" s="21"/>
      <c r="K611" s="6">
        <f t="shared" si="13"/>
        <v>0</v>
      </c>
    </row>
    <row r="612" spans="1:11" x14ac:dyDescent="0.25">
      <c r="A612" s="7"/>
      <c r="B612" s="19"/>
      <c r="C612" s="19"/>
      <c r="D612" s="19"/>
      <c r="E612" s="20"/>
      <c r="F612" s="21"/>
      <c r="G612" s="21"/>
      <c r="H612" s="21"/>
      <c r="I612" s="21"/>
      <c r="J612" s="21"/>
      <c r="K612" s="6">
        <f t="shared" si="13"/>
        <v>0</v>
      </c>
    </row>
    <row r="613" spans="1:11" x14ac:dyDescent="0.25">
      <c r="A613" s="7"/>
      <c r="B613" s="19"/>
      <c r="C613" s="19"/>
      <c r="D613" s="19"/>
      <c r="E613" s="20"/>
      <c r="F613" s="21"/>
      <c r="G613" s="21"/>
      <c r="H613" s="21"/>
      <c r="I613" s="21"/>
      <c r="J613" s="21"/>
      <c r="K613" s="6">
        <f t="shared" si="13"/>
        <v>0</v>
      </c>
    </row>
    <row r="614" spans="1:11" x14ac:dyDescent="0.25">
      <c r="A614" s="7"/>
      <c r="B614" s="19"/>
      <c r="C614" s="19"/>
      <c r="D614" s="19"/>
      <c r="E614" s="20"/>
      <c r="F614" s="21"/>
      <c r="G614" s="21"/>
      <c r="H614" s="21"/>
      <c r="I614" s="21"/>
      <c r="J614" s="21"/>
      <c r="K614" s="6">
        <f t="shared" si="13"/>
        <v>0</v>
      </c>
    </row>
    <row r="615" spans="1:11" x14ac:dyDescent="0.25">
      <c r="A615" s="7"/>
      <c r="B615" s="19"/>
      <c r="C615" s="19"/>
      <c r="D615" s="19"/>
      <c r="E615" s="20"/>
      <c r="F615" s="21"/>
      <c r="G615" s="21"/>
      <c r="H615" s="21"/>
      <c r="I615" s="21"/>
      <c r="J615" s="21"/>
      <c r="K615" s="6">
        <f t="shared" si="13"/>
        <v>0</v>
      </c>
    </row>
    <row r="616" spans="1:11" x14ac:dyDescent="0.25">
      <c r="A616" s="7"/>
      <c r="B616" s="19"/>
      <c r="C616" s="19"/>
      <c r="D616" s="19"/>
      <c r="E616" s="20"/>
      <c r="F616" s="21"/>
      <c r="G616" s="21"/>
      <c r="H616" s="21"/>
      <c r="I616" s="21"/>
      <c r="J616" s="21"/>
      <c r="K616" s="6">
        <f t="shared" si="13"/>
        <v>0</v>
      </c>
    </row>
    <row r="617" spans="1:11" x14ac:dyDescent="0.25">
      <c r="A617" s="7"/>
      <c r="B617" s="19"/>
      <c r="C617" s="19"/>
      <c r="D617" s="19"/>
      <c r="E617" s="20"/>
      <c r="F617" s="21"/>
      <c r="G617" s="21"/>
      <c r="H617" s="21"/>
      <c r="I617" s="21"/>
      <c r="J617" s="21"/>
      <c r="K617" s="6">
        <f t="shared" si="13"/>
        <v>0</v>
      </c>
    </row>
    <row r="618" spans="1:11" x14ac:dyDescent="0.25">
      <c r="A618" s="7"/>
      <c r="B618" s="19"/>
      <c r="C618" s="19"/>
      <c r="D618" s="19"/>
      <c r="E618" s="20"/>
      <c r="F618" s="21"/>
      <c r="G618" s="21"/>
      <c r="H618" s="21"/>
      <c r="I618" s="21"/>
      <c r="J618" s="21"/>
      <c r="K618" s="6">
        <f t="shared" si="13"/>
        <v>0</v>
      </c>
    </row>
    <row r="619" spans="1:11" x14ac:dyDescent="0.25">
      <c r="A619" s="7"/>
      <c r="B619" s="19"/>
      <c r="C619" s="19"/>
      <c r="D619" s="19"/>
      <c r="E619" s="20"/>
      <c r="F619" s="21"/>
      <c r="G619" s="21"/>
      <c r="H619" s="21"/>
      <c r="I619" s="21"/>
      <c r="J619" s="21"/>
      <c r="K619" s="6">
        <f t="shared" si="13"/>
        <v>0</v>
      </c>
    </row>
    <row r="620" spans="1:11" x14ac:dyDescent="0.25">
      <c r="A620" s="7"/>
      <c r="B620" s="19"/>
      <c r="C620" s="19"/>
      <c r="D620" s="19"/>
      <c r="E620" s="20"/>
      <c r="F620" s="21"/>
      <c r="G620" s="21"/>
      <c r="H620" s="21"/>
      <c r="I620" s="21"/>
      <c r="J620" s="21"/>
      <c r="K620" s="6">
        <f t="shared" si="13"/>
        <v>0</v>
      </c>
    </row>
    <row r="621" spans="1:11" x14ac:dyDescent="0.25">
      <c r="A621" s="7"/>
      <c r="B621" s="19"/>
      <c r="C621" s="19"/>
      <c r="D621" s="19"/>
      <c r="E621" s="20"/>
      <c r="F621" s="21"/>
      <c r="G621" s="21"/>
      <c r="H621" s="21"/>
      <c r="I621" s="21"/>
      <c r="J621" s="21"/>
      <c r="K621" s="6">
        <f t="shared" si="13"/>
        <v>0</v>
      </c>
    </row>
    <row r="622" spans="1:11" x14ac:dyDescent="0.25">
      <c r="A622" s="7"/>
      <c r="B622" s="19"/>
      <c r="C622" s="19"/>
      <c r="D622" s="19"/>
      <c r="E622" s="20"/>
      <c r="F622" s="21"/>
      <c r="G622" s="21"/>
      <c r="H622" s="21"/>
      <c r="I622" s="21"/>
      <c r="J622" s="21"/>
      <c r="K622" s="6">
        <f t="shared" si="13"/>
        <v>0</v>
      </c>
    </row>
    <row r="623" spans="1:11" x14ac:dyDescent="0.25">
      <c r="A623" s="7"/>
      <c r="B623" s="19"/>
      <c r="C623" s="19"/>
      <c r="D623" s="19"/>
      <c r="E623" s="20"/>
      <c r="F623" s="21"/>
      <c r="G623" s="21"/>
      <c r="H623" s="21"/>
      <c r="I623" s="21"/>
      <c r="J623" s="21"/>
      <c r="K623" s="6">
        <f t="shared" si="13"/>
        <v>0</v>
      </c>
    </row>
    <row r="624" spans="1:11" x14ac:dyDescent="0.25">
      <c r="A624" s="7"/>
      <c r="B624" s="19"/>
      <c r="C624" s="19"/>
      <c r="D624" s="19"/>
      <c r="E624" s="20"/>
      <c r="F624" s="21"/>
      <c r="G624" s="21"/>
      <c r="H624" s="21"/>
      <c r="I624" s="21"/>
      <c r="J624" s="21"/>
      <c r="K624" s="6">
        <f t="shared" si="13"/>
        <v>0</v>
      </c>
    </row>
    <row r="625" spans="1:11" x14ac:dyDescent="0.25">
      <c r="A625" s="7"/>
      <c r="B625" s="19"/>
      <c r="C625" s="19"/>
      <c r="D625" s="19"/>
      <c r="E625" s="20"/>
      <c r="F625" s="21"/>
      <c r="G625" s="21"/>
      <c r="H625" s="21"/>
      <c r="I625" s="21"/>
      <c r="J625" s="21"/>
      <c r="K625" s="6">
        <f t="shared" si="13"/>
        <v>0</v>
      </c>
    </row>
    <row r="626" spans="1:11" x14ac:dyDescent="0.25">
      <c r="A626" s="7"/>
      <c r="B626" s="19"/>
      <c r="C626" s="19"/>
      <c r="D626" s="19"/>
      <c r="E626" s="20"/>
      <c r="F626" s="21"/>
      <c r="G626" s="21"/>
      <c r="H626" s="21"/>
      <c r="I626" s="21"/>
      <c r="J626" s="21"/>
      <c r="K626" s="6">
        <f t="shared" si="13"/>
        <v>0</v>
      </c>
    </row>
    <row r="627" spans="1:11" x14ac:dyDescent="0.25">
      <c r="A627" s="7"/>
      <c r="B627" s="19"/>
      <c r="C627" s="19"/>
      <c r="D627" s="19"/>
      <c r="E627" s="20"/>
      <c r="F627" s="21"/>
      <c r="G627" s="21"/>
      <c r="H627" s="21"/>
      <c r="I627" s="21"/>
      <c r="J627" s="21"/>
      <c r="K627" s="6">
        <f t="shared" si="13"/>
        <v>0</v>
      </c>
    </row>
    <row r="628" spans="1:11" x14ac:dyDescent="0.25">
      <c r="A628" s="7"/>
      <c r="B628" s="19"/>
      <c r="C628" s="19"/>
      <c r="D628" s="19"/>
      <c r="E628" s="20"/>
      <c r="F628" s="21"/>
      <c r="G628" s="21"/>
      <c r="H628" s="21"/>
      <c r="I628" s="21"/>
      <c r="J628" s="21"/>
      <c r="K628" s="6">
        <f t="shared" si="13"/>
        <v>0</v>
      </c>
    </row>
    <row r="629" spans="1:11" x14ac:dyDescent="0.25">
      <c r="A629" s="7"/>
      <c r="B629" s="19"/>
      <c r="C629" s="19"/>
      <c r="D629" s="19"/>
      <c r="E629" s="20"/>
      <c r="F629" s="21"/>
      <c r="G629" s="21"/>
      <c r="H629" s="21"/>
      <c r="I629" s="21"/>
      <c r="J629" s="21"/>
      <c r="K629" s="6">
        <f t="shared" si="13"/>
        <v>0</v>
      </c>
    </row>
    <row r="630" spans="1:11" x14ac:dyDescent="0.25">
      <c r="A630" s="7"/>
      <c r="B630" s="19"/>
      <c r="C630" s="19"/>
      <c r="D630" s="19"/>
      <c r="E630" s="20"/>
      <c r="F630" s="21"/>
      <c r="G630" s="21"/>
      <c r="H630" s="21"/>
      <c r="I630" s="21"/>
      <c r="J630" s="21"/>
      <c r="K630" s="6">
        <f t="shared" si="13"/>
        <v>0</v>
      </c>
    </row>
    <row r="631" spans="1:11" x14ac:dyDescent="0.25">
      <c r="A631" s="7"/>
      <c r="B631" s="19"/>
      <c r="C631" s="19"/>
      <c r="D631" s="19"/>
      <c r="E631" s="20"/>
      <c r="F631" s="21"/>
      <c r="G631" s="21"/>
      <c r="H631" s="21"/>
      <c r="I631" s="21"/>
      <c r="J631" s="21"/>
      <c r="K631" s="6">
        <f t="shared" si="13"/>
        <v>0</v>
      </c>
    </row>
    <row r="632" spans="1:11" x14ac:dyDescent="0.25">
      <c r="A632" s="7"/>
      <c r="B632" s="19"/>
      <c r="C632" s="19"/>
      <c r="D632" s="19"/>
      <c r="E632" s="20"/>
      <c r="F632" s="21"/>
      <c r="G632" s="21"/>
      <c r="H632" s="21"/>
      <c r="I632" s="21"/>
      <c r="J632" s="21"/>
      <c r="K632" s="6">
        <f t="shared" si="13"/>
        <v>0</v>
      </c>
    </row>
    <row r="633" spans="1:11" x14ac:dyDescent="0.25">
      <c r="A633" s="7"/>
      <c r="B633" s="19"/>
      <c r="C633" s="19"/>
      <c r="D633" s="19"/>
      <c r="E633" s="20"/>
      <c r="F633" s="21"/>
      <c r="G633" s="21"/>
      <c r="H633" s="21"/>
      <c r="I633" s="21"/>
      <c r="J633" s="21"/>
      <c r="K633" s="6">
        <f t="shared" si="13"/>
        <v>0</v>
      </c>
    </row>
    <row r="634" spans="1:11" x14ac:dyDescent="0.25">
      <c r="A634" s="7"/>
      <c r="B634" s="19"/>
      <c r="C634" s="19"/>
      <c r="D634" s="19"/>
      <c r="E634" s="20"/>
      <c r="F634" s="21"/>
      <c r="G634" s="21"/>
      <c r="H634" s="21"/>
      <c r="I634" s="21"/>
      <c r="J634" s="21"/>
      <c r="K634" s="6">
        <f t="shared" si="13"/>
        <v>0</v>
      </c>
    </row>
    <row r="635" spans="1:11" x14ac:dyDescent="0.25">
      <c r="A635" s="7"/>
      <c r="B635" s="19"/>
      <c r="C635" s="19"/>
      <c r="D635" s="19"/>
      <c r="E635" s="20"/>
      <c r="F635" s="21"/>
      <c r="G635" s="21"/>
      <c r="H635" s="21"/>
      <c r="I635" s="21"/>
      <c r="J635" s="21"/>
      <c r="K635" s="6">
        <f t="shared" si="13"/>
        <v>0</v>
      </c>
    </row>
    <row r="636" spans="1:11" x14ac:dyDescent="0.25">
      <c r="A636" s="7"/>
      <c r="B636" s="19"/>
      <c r="C636" s="19"/>
      <c r="D636" s="19"/>
      <c r="E636" s="20"/>
      <c r="F636" s="21"/>
      <c r="G636" s="21"/>
      <c r="H636" s="21"/>
      <c r="I636" s="21"/>
      <c r="J636" s="21"/>
      <c r="K636" s="6">
        <f t="shared" si="13"/>
        <v>0</v>
      </c>
    </row>
    <row r="637" spans="1:11" x14ac:dyDescent="0.25">
      <c r="A637" s="7"/>
      <c r="B637" s="19"/>
      <c r="C637" s="19"/>
      <c r="D637" s="19"/>
      <c r="E637" s="20"/>
      <c r="F637" s="21"/>
      <c r="G637" s="21"/>
      <c r="H637" s="21"/>
      <c r="I637" s="21"/>
      <c r="J637" s="21"/>
      <c r="K637" s="6">
        <f t="shared" si="13"/>
        <v>0</v>
      </c>
    </row>
    <row r="638" spans="1:11" x14ac:dyDescent="0.25">
      <c r="A638" s="7"/>
      <c r="B638" s="19"/>
      <c r="C638" s="19"/>
      <c r="D638" s="19"/>
      <c r="E638" s="20"/>
      <c r="F638" s="21"/>
      <c r="G638" s="21"/>
      <c r="H638" s="21"/>
      <c r="I638" s="21"/>
      <c r="J638" s="21"/>
      <c r="K638" s="6">
        <f t="shared" si="13"/>
        <v>0</v>
      </c>
    </row>
    <row r="639" spans="1:11" x14ac:dyDescent="0.25">
      <c r="A639" s="7"/>
      <c r="B639" s="19"/>
      <c r="C639" s="19"/>
      <c r="D639" s="19"/>
      <c r="E639" s="20"/>
      <c r="F639" s="21"/>
      <c r="G639" s="21"/>
      <c r="H639" s="21"/>
      <c r="I639" s="21"/>
      <c r="J639" s="21"/>
      <c r="K639" s="6">
        <f t="shared" si="13"/>
        <v>0</v>
      </c>
    </row>
    <row r="640" spans="1:11" x14ac:dyDescent="0.25">
      <c r="A640" s="7"/>
      <c r="B640" s="19"/>
      <c r="C640" s="19"/>
      <c r="D640" s="19"/>
      <c r="E640" s="20"/>
      <c r="F640" s="21"/>
      <c r="G640" s="21"/>
      <c r="H640" s="21"/>
      <c r="I640" s="21"/>
      <c r="J640" s="21"/>
      <c r="K640" s="6">
        <f t="shared" si="13"/>
        <v>0</v>
      </c>
    </row>
    <row r="641" spans="1:11" x14ac:dyDescent="0.25">
      <c r="A641" s="7"/>
      <c r="B641" s="19"/>
      <c r="C641" s="19"/>
      <c r="D641" s="19"/>
      <c r="E641" s="20"/>
      <c r="F641" s="21"/>
      <c r="G641" s="21"/>
      <c r="H641" s="21"/>
      <c r="I641" s="21"/>
      <c r="J641" s="21"/>
      <c r="K641" s="6">
        <f t="shared" si="13"/>
        <v>0</v>
      </c>
    </row>
    <row r="642" spans="1:11" x14ac:dyDescent="0.25">
      <c r="A642" s="7"/>
      <c r="B642" s="19"/>
      <c r="C642" s="19"/>
      <c r="D642" s="19"/>
      <c r="E642" s="20"/>
      <c r="F642" s="21"/>
      <c r="G642" s="21"/>
      <c r="H642" s="21"/>
      <c r="I642" s="21"/>
      <c r="J642" s="21"/>
      <c r="K642" s="6">
        <f t="shared" si="13"/>
        <v>0</v>
      </c>
    </row>
    <row r="643" spans="1:11" x14ac:dyDescent="0.25">
      <c r="A643" s="7"/>
      <c r="B643" s="19"/>
      <c r="C643" s="19"/>
      <c r="D643" s="19"/>
      <c r="E643" s="20"/>
      <c r="F643" s="21"/>
      <c r="G643" s="21"/>
      <c r="H643" s="21"/>
      <c r="I643" s="21"/>
      <c r="J643" s="21"/>
      <c r="K643" s="6">
        <f t="shared" si="13"/>
        <v>0</v>
      </c>
    </row>
    <row r="644" spans="1:11" x14ac:dyDescent="0.25">
      <c r="A644" s="7"/>
      <c r="B644" s="19"/>
      <c r="C644" s="19"/>
      <c r="D644" s="19"/>
      <c r="E644" s="20"/>
      <c r="F644" s="21"/>
      <c r="G644" s="21"/>
      <c r="H644" s="21"/>
      <c r="I644" s="21"/>
      <c r="J644" s="21"/>
      <c r="K644" s="6">
        <f t="shared" si="13"/>
        <v>0</v>
      </c>
    </row>
    <row r="645" spans="1:11" x14ac:dyDescent="0.25">
      <c r="A645" s="7"/>
      <c r="B645" s="19"/>
      <c r="C645" s="19"/>
      <c r="D645" s="19"/>
      <c r="E645" s="20"/>
      <c r="F645" s="21"/>
      <c r="G645" s="21"/>
      <c r="H645" s="21"/>
      <c r="I645" s="21"/>
      <c r="J645" s="21"/>
      <c r="K645" s="6">
        <f t="shared" si="13"/>
        <v>0</v>
      </c>
    </row>
    <row r="646" spans="1:11" x14ac:dyDescent="0.25">
      <c r="A646" s="7"/>
      <c r="B646" s="19"/>
      <c r="C646" s="19"/>
      <c r="D646" s="19"/>
      <c r="E646" s="20"/>
      <c r="F646" s="21"/>
      <c r="G646" s="21"/>
      <c r="H646" s="21"/>
      <c r="I646" s="21"/>
      <c r="J646" s="21"/>
      <c r="K646" s="6">
        <f t="shared" si="13"/>
        <v>0</v>
      </c>
    </row>
    <row r="647" spans="1:11" x14ac:dyDescent="0.25">
      <c r="A647" s="7"/>
      <c r="B647" s="19"/>
      <c r="C647" s="19"/>
      <c r="D647" s="19"/>
      <c r="E647" s="20"/>
      <c r="F647" s="21"/>
      <c r="G647" s="21"/>
      <c r="H647" s="21"/>
      <c r="I647" s="21"/>
      <c r="J647" s="21"/>
      <c r="K647" s="6">
        <f t="shared" si="13"/>
        <v>0</v>
      </c>
    </row>
    <row r="648" spans="1:11" x14ac:dyDescent="0.25">
      <c r="A648" s="7"/>
      <c r="B648" s="19"/>
      <c r="C648" s="19"/>
      <c r="D648" s="19"/>
      <c r="E648" s="20"/>
      <c r="F648" s="21"/>
      <c r="G648" s="21"/>
      <c r="H648" s="21"/>
      <c r="I648" s="21"/>
      <c r="J648" s="21"/>
      <c r="K648" s="6">
        <f t="shared" si="13"/>
        <v>0</v>
      </c>
    </row>
    <row r="649" spans="1:11" x14ac:dyDescent="0.25">
      <c r="A649" s="7"/>
      <c r="B649" s="19"/>
      <c r="C649" s="19"/>
      <c r="D649" s="19"/>
      <c r="E649" s="20"/>
      <c r="F649" s="21"/>
      <c r="G649" s="21"/>
      <c r="H649" s="21"/>
      <c r="I649" s="21"/>
      <c r="J649" s="21"/>
      <c r="K649" s="6">
        <f t="shared" si="13"/>
        <v>0</v>
      </c>
    </row>
    <row r="650" spans="1:11" x14ac:dyDescent="0.25">
      <c r="A650" s="7"/>
      <c r="B650" s="19"/>
      <c r="C650" s="19"/>
      <c r="D650" s="19"/>
      <c r="E650" s="20"/>
      <c r="F650" s="21"/>
      <c r="G650" s="21"/>
      <c r="H650" s="21"/>
      <c r="I650" s="21"/>
      <c r="J650" s="21"/>
      <c r="K650" s="6">
        <f t="shared" si="13"/>
        <v>0</v>
      </c>
    </row>
    <row r="651" spans="1:11" x14ac:dyDescent="0.25">
      <c r="A651" s="7"/>
      <c r="B651" s="19"/>
      <c r="C651" s="19"/>
      <c r="D651" s="19"/>
      <c r="E651" s="20"/>
      <c r="F651" s="21"/>
      <c r="G651" s="21"/>
      <c r="H651" s="21"/>
      <c r="I651" s="21"/>
      <c r="J651" s="21"/>
      <c r="K651" s="6">
        <f t="shared" si="13"/>
        <v>0</v>
      </c>
    </row>
    <row r="652" spans="1:11" x14ac:dyDescent="0.25">
      <c r="A652" s="7"/>
      <c r="B652" s="19"/>
      <c r="C652" s="19"/>
      <c r="D652" s="19"/>
      <c r="E652" s="20"/>
      <c r="F652" s="21"/>
      <c r="G652" s="21"/>
      <c r="H652" s="21"/>
      <c r="I652" s="21"/>
      <c r="J652" s="21"/>
      <c r="K652" s="6">
        <f t="shared" si="13"/>
        <v>0</v>
      </c>
    </row>
    <row r="653" spans="1:11" x14ac:dyDescent="0.25">
      <c r="A653" s="4"/>
      <c r="B653" s="16"/>
      <c r="C653" s="16"/>
      <c r="D653" s="16"/>
      <c r="E653" s="17"/>
      <c r="F653" s="18"/>
      <c r="G653" s="18"/>
      <c r="H653" s="18"/>
      <c r="I653" s="18"/>
      <c r="J653" s="18"/>
      <c r="K653" s="6">
        <f>SUM(F653:J653)</f>
        <v>0</v>
      </c>
    </row>
    <row r="654" spans="1:11" x14ac:dyDescent="0.25">
      <c r="A654" s="4"/>
      <c r="B654" s="16"/>
      <c r="C654" s="16"/>
      <c r="D654" s="16"/>
      <c r="E654" s="17"/>
      <c r="F654" s="18"/>
      <c r="G654" s="18"/>
      <c r="H654" s="18"/>
      <c r="I654" s="18"/>
      <c r="J654" s="18"/>
      <c r="K654" s="6">
        <f t="shared" ref="K654:K716" si="14">SUM(F654:J654)</f>
        <v>0</v>
      </c>
    </row>
    <row r="655" spans="1:11" x14ac:dyDescent="0.25">
      <c r="A655" s="4"/>
      <c r="B655" s="16"/>
      <c r="C655" s="16"/>
      <c r="D655" s="16"/>
      <c r="E655" s="17"/>
      <c r="F655" s="18"/>
      <c r="G655" s="18"/>
      <c r="H655" s="18"/>
      <c r="I655" s="18"/>
      <c r="J655" s="18"/>
      <c r="K655" s="6">
        <f t="shared" si="14"/>
        <v>0</v>
      </c>
    </row>
    <row r="656" spans="1:11" x14ac:dyDescent="0.25">
      <c r="A656" s="4"/>
      <c r="B656" s="16"/>
      <c r="C656" s="16"/>
      <c r="D656" s="16"/>
      <c r="E656" s="17"/>
      <c r="F656" s="18"/>
      <c r="G656" s="18"/>
      <c r="H656" s="18"/>
      <c r="I656" s="18"/>
      <c r="J656" s="18"/>
      <c r="K656" s="6">
        <f t="shared" si="14"/>
        <v>0</v>
      </c>
    </row>
    <row r="657" spans="1:11" x14ac:dyDescent="0.25">
      <c r="A657" s="4"/>
      <c r="B657" s="16"/>
      <c r="C657" s="16"/>
      <c r="D657" s="16"/>
      <c r="E657" s="17"/>
      <c r="F657" s="18"/>
      <c r="G657" s="18"/>
      <c r="H657" s="18"/>
      <c r="I657" s="18"/>
      <c r="J657" s="18"/>
      <c r="K657" s="6">
        <f t="shared" si="14"/>
        <v>0</v>
      </c>
    </row>
    <row r="658" spans="1:11" x14ac:dyDescent="0.25">
      <c r="A658" s="4"/>
      <c r="B658" s="16"/>
      <c r="C658" s="16"/>
      <c r="D658" s="16"/>
      <c r="E658" s="17"/>
      <c r="F658" s="18"/>
      <c r="G658" s="18"/>
      <c r="H658" s="18"/>
      <c r="I658" s="18"/>
      <c r="J658" s="18"/>
      <c r="K658" s="6">
        <f t="shared" si="14"/>
        <v>0</v>
      </c>
    </row>
    <row r="659" spans="1:11" x14ac:dyDescent="0.25">
      <c r="A659" s="4"/>
      <c r="B659" s="16"/>
      <c r="C659" s="16"/>
      <c r="D659" s="16"/>
      <c r="E659" s="17"/>
      <c r="F659" s="18"/>
      <c r="G659" s="18"/>
      <c r="H659" s="18"/>
      <c r="I659" s="18"/>
      <c r="J659" s="18"/>
      <c r="K659" s="6">
        <f t="shared" si="14"/>
        <v>0</v>
      </c>
    </row>
    <row r="660" spans="1:11" x14ac:dyDescent="0.25">
      <c r="A660" s="4"/>
      <c r="B660" s="16"/>
      <c r="C660" s="16"/>
      <c r="D660" s="16"/>
      <c r="E660" s="17"/>
      <c r="F660" s="18"/>
      <c r="G660" s="18"/>
      <c r="H660" s="18"/>
      <c r="I660" s="18"/>
      <c r="J660" s="18"/>
      <c r="K660" s="6">
        <f t="shared" si="14"/>
        <v>0</v>
      </c>
    </row>
    <row r="661" spans="1:11" x14ac:dyDescent="0.25">
      <c r="A661" s="4"/>
      <c r="B661" s="16"/>
      <c r="C661" s="16"/>
      <c r="D661" s="16"/>
      <c r="E661" s="17"/>
      <c r="F661" s="18"/>
      <c r="G661" s="18"/>
      <c r="H661" s="18"/>
      <c r="I661" s="18"/>
      <c r="J661" s="18"/>
      <c r="K661" s="6">
        <f t="shared" si="14"/>
        <v>0</v>
      </c>
    </row>
    <row r="662" spans="1:11" x14ac:dyDescent="0.25">
      <c r="A662" s="4"/>
      <c r="B662" s="16"/>
      <c r="C662" s="16"/>
      <c r="D662" s="16"/>
      <c r="E662" s="17"/>
      <c r="F662" s="18"/>
      <c r="G662" s="18"/>
      <c r="H662" s="18"/>
      <c r="I662" s="18"/>
      <c r="J662" s="18"/>
      <c r="K662" s="6">
        <f t="shared" si="14"/>
        <v>0</v>
      </c>
    </row>
    <row r="663" spans="1:11" x14ac:dyDescent="0.25">
      <c r="A663" s="4"/>
      <c r="B663" s="16"/>
      <c r="C663" s="16"/>
      <c r="D663" s="16"/>
      <c r="E663" s="17"/>
      <c r="F663" s="18"/>
      <c r="G663" s="18"/>
      <c r="H663" s="18"/>
      <c r="I663" s="18"/>
      <c r="J663" s="18"/>
      <c r="K663" s="6">
        <f t="shared" si="14"/>
        <v>0</v>
      </c>
    </row>
    <row r="664" spans="1:11" x14ac:dyDescent="0.25">
      <c r="A664" s="4"/>
      <c r="B664" s="16"/>
      <c r="C664" s="16"/>
      <c r="D664" s="16"/>
      <c r="E664" s="17"/>
      <c r="F664" s="18"/>
      <c r="G664" s="18"/>
      <c r="H664" s="18"/>
      <c r="I664" s="18"/>
      <c r="J664" s="18"/>
      <c r="K664" s="6">
        <f t="shared" si="14"/>
        <v>0</v>
      </c>
    </row>
    <row r="665" spans="1:11" x14ac:dyDescent="0.25">
      <c r="A665" s="4"/>
      <c r="B665" s="16"/>
      <c r="C665" s="16"/>
      <c r="D665" s="16"/>
      <c r="E665" s="17"/>
      <c r="F665" s="18"/>
      <c r="G665" s="18"/>
      <c r="H665" s="18"/>
      <c r="I665" s="18"/>
      <c r="J665" s="18"/>
      <c r="K665" s="6">
        <f t="shared" si="14"/>
        <v>0</v>
      </c>
    </row>
    <row r="666" spans="1:11" x14ac:dyDescent="0.25">
      <c r="A666" s="4"/>
      <c r="B666" s="16"/>
      <c r="C666" s="16"/>
      <c r="D666" s="16"/>
      <c r="E666" s="17"/>
      <c r="F666" s="18"/>
      <c r="G666" s="18"/>
      <c r="H666" s="18"/>
      <c r="I666" s="18"/>
      <c r="J666" s="18"/>
      <c r="K666" s="6">
        <f t="shared" si="14"/>
        <v>0</v>
      </c>
    </row>
    <row r="667" spans="1:11" x14ac:dyDescent="0.25">
      <c r="A667" s="4"/>
      <c r="B667" s="16"/>
      <c r="C667" s="16"/>
      <c r="D667" s="16"/>
      <c r="E667" s="17"/>
      <c r="F667" s="18"/>
      <c r="G667" s="18"/>
      <c r="H667" s="18"/>
      <c r="I667" s="18"/>
      <c r="J667" s="18"/>
      <c r="K667" s="6">
        <f t="shared" si="14"/>
        <v>0</v>
      </c>
    </row>
    <row r="668" spans="1:11" x14ac:dyDescent="0.25">
      <c r="A668" s="4"/>
      <c r="B668" s="16"/>
      <c r="C668" s="16"/>
      <c r="D668" s="16"/>
      <c r="E668" s="17"/>
      <c r="F668" s="18"/>
      <c r="G668" s="18"/>
      <c r="H668" s="18"/>
      <c r="I668" s="18"/>
      <c r="J668" s="18"/>
      <c r="K668" s="6">
        <f t="shared" si="14"/>
        <v>0</v>
      </c>
    </row>
    <row r="669" spans="1:11" x14ac:dyDescent="0.25">
      <c r="A669" s="4"/>
      <c r="B669" s="16"/>
      <c r="C669" s="16"/>
      <c r="D669" s="16"/>
      <c r="E669" s="17"/>
      <c r="F669" s="18"/>
      <c r="G669" s="18"/>
      <c r="H669" s="18"/>
      <c r="I669" s="18"/>
      <c r="J669" s="18"/>
      <c r="K669" s="6">
        <f t="shared" si="14"/>
        <v>0</v>
      </c>
    </row>
    <row r="670" spans="1:11" x14ac:dyDescent="0.25">
      <c r="A670" s="4"/>
      <c r="B670" s="16"/>
      <c r="C670" s="16"/>
      <c r="D670" s="16"/>
      <c r="E670" s="17"/>
      <c r="F670" s="18"/>
      <c r="G670" s="18"/>
      <c r="H670" s="18"/>
      <c r="I670" s="18"/>
      <c r="J670" s="18"/>
      <c r="K670" s="6">
        <f t="shared" si="14"/>
        <v>0</v>
      </c>
    </row>
    <row r="671" spans="1:11" x14ac:dyDescent="0.25">
      <c r="A671" s="4"/>
      <c r="B671" s="16"/>
      <c r="C671" s="16"/>
      <c r="D671" s="16"/>
      <c r="E671" s="17"/>
      <c r="F671" s="18"/>
      <c r="G671" s="18"/>
      <c r="H671" s="18"/>
      <c r="I671" s="18"/>
      <c r="J671" s="18"/>
      <c r="K671" s="6">
        <f t="shared" si="14"/>
        <v>0</v>
      </c>
    </row>
    <row r="672" spans="1:11" x14ac:dyDescent="0.25">
      <c r="A672" s="4"/>
      <c r="B672" s="16"/>
      <c r="C672" s="16"/>
      <c r="D672" s="16"/>
      <c r="E672" s="17"/>
      <c r="F672" s="18"/>
      <c r="G672" s="18"/>
      <c r="H672" s="18"/>
      <c r="I672" s="18"/>
      <c r="J672" s="18"/>
      <c r="K672" s="6">
        <f t="shared" si="14"/>
        <v>0</v>
      </c>
    </row>
    <row r="673" spans="1:11" x14ac:dyDescent="0.25">
      <c r="A673" s="4"/>
      <c r="B673" s="16"/>
      <c r="C673" s="16"/>
      <c r="D673" s="16"/>
      <c r="E673" s="17"/>
      <c r="F673" s="18"/>
      <c r="G673" s="18"/>
      <c r="H673" s="18"/>
      <c r="I673" s="18"/>
      <c r="J673" s="18"/>
      <c r="K673" s="6">
        <f t="shared" si="14"/>
        <v>0</v>
      </c>
    </row>
    <row r="674" spans="1:11" x14ac:dyDescent="0.25">
      <c r="A674" s="4"/>
      <c r="B674" s="16"/>
      <c r="C674" s="16"/>
      <c r="D674" s="16"/>
      <c r="E674" s="17"/>
      <c r="F674" s="18"/>
      <c r="G674" s="18"/>
      <c r="H674" s="18"/>
      <c r="I674" s="18"/>
      <c r="J674" s="18"/>
      <c r="K674" s="6">
        <f t="shared" si="14"/>
        <v>0</v>
      </c>
    </row>
    <row r="675" spans="1:11" x14ac:dyDescent="0.25">
      <c r="A675" s="4"/>
      <c r="B675" s="16"/>
      <c r="C675" s="16"/>
      <c r="D675" s="16"/>
      <c r="E675" s="17"/>
      <c r="F675" s="18"/>
      <c r="G675" s="18"/>
      <c r="H675" s="18"/>
      <c r="I675" s="18"/>
      <c r="J675" s="18"/>
      <c r="K675" s="6">
        <f t="shared" si="14"/>
        <v>0</v>
      </c>
    </row>
    <row r="676" spans="1:11" x14ac:dyDescent="0.25">
      <c r="A676" s="4"/>
      <c r="B676" s="16"/>
      <c r="C676" s="16"/>
      <c r="D676" s="16"/>
      <c r="E676" s="17"/>
      <c r="F676" s="18"/>
      <c r="G676" s="18"/>
      <c r="H676" s="18"/>
      <c r="I676" s="18"/>
      <c r="J676" s="18"/>
      <c r="K676" s="6">
        <f t="shared" si="14"/>
        <v>0</v>
      </c>
    </row>
    <row r="677" spans="1:11" x14ac:dyDescent="0.25">
      <c r="A677" s="4"/>
      <c r="B677" s="16"/>
      <c r="C677" s="16"/>
      <c r="D677" s="16"/>
      <c r="E677" s="17"/>
      <c r="F677" s="18"/>
      <c r="G677" s="18"/>
      <c r="H677" s="18"/>
      <c r="I677" s="18"/>
      <c r="J677" s="18"/>
      <c r="K677" s="6">
        <f t="shared" si="14"/>
        <v>0</v>
      </c>
    </row>
    <row r="678" spans="1:11" x14ac:dyDescent="0.25">
      <c r="A678" s="4"/>
      <c r="B678" s="16"/>
      <c r="C678" s="16"/>
      <c r="D678" s="16"/>
      <c r="E678" s="17"/>
      <c r="F678" s="18"/>
      <c r="G678" s="18"/>
      <c r="H678" s="18"/>
      <c r="I678" s="18"/>
      <c r="J678" s="18"/>
      <c r="K678" s="6">
        <f t="shared" si="14"/>
        <v>0</v>
      </c>
    </row>
    <row r="679" spans="1:11" x14ac:dyDescent="0.25">
      <c r="A679" s="4"/>
      <c r="B679" s="16"/>
      <c r="C679" s="16"/>
      <c r="D679" s="16"/>
      <c r="E679" s="17"/>
      <c r="F679" s="18"/>
      <c r="G679" s="18"/>
      <c r="H679" s="18"/>
      <c r="I679" s="18"/>
      <c r="J679" s="18"/>
      <c r="K679" s="6">
        <f t="shared" si="14"/>
        <v>0</v>
      </c>
    </row>
    <row r="680" spans="1:11" x14ac:dyDescent="0.25">
      <c r="A680" s="4"/>
      <c r="B680" s="16"/>
      <c r="C680" s="16"/>
      <c r="D680" s="16"/>
      <c r="E680" s="17"/>
      <c r="F680" s="18"/>
      <c r="G680" s="18"/>
      <c r="H680" s="18"/>
      <c r="I680" s="18"/>
      <c r="J680" s="18"/>
      <c r="K680" s="6">
        <f t="shared" si="14"/>
        <v>0</v>
      </c>
    </row>
    <row r="681" spans="1:11" x14ac:dyDescent="0.25">
      <c r="A681" s="4"/>
      <c r="B681" s="16"/>
      <c r="C681" s="16"/>
      <c r="D681" s="16"/>
      <c r="E681" s="17"/>
      <c r="F681" s="18"/>
      <c r="G681" s="18"/>
      <c r="H681" s="18"/>
      <c r="I681" s="18"/>
      <c r="J681" s="18"/>
      <c r="K681" s="6">
        <f t="shared" si="14"/>
        <v>0</v>
      </c>
    </row>
    <row r="682" spans="1:11" x14ac:dyDescent="0.25">
      <c r="A682" s="4"/>
      <c r="B682" s="16"/>
      <c r="C682" s="16"/>
      <c r="D682" s="16"/>
      <c r="E682" s="17"/>
      <c r="F682" s="18"/>
      <c r="G682" s="18"/>
      <c r="H682" s="18"/>
      <c r="I682" s="18"/>
      <c r="J682" s="18"/>
      <c r="K682" s="6">
        <f t="shared" si="14"/>
        <v>0</v>
      </c>
    </row>
    <row r="683" spans="1:11" x14ac:dyDescent="0.25">
      <c r="A683" s="4"/>
      <c r="B683" s="16"/>
      <c r="C683" s="16"/>
      <c r="D683" s="16"/>
      <c r="E683" s="17"/>
      <c r="F683" s="18"/>
      <c r="G683" s="18"/>
      <c r="H683" s="18"/>
      <c r="I683" s="18"/>
      <c r="J683" s="18"/>
      <c r="K683" s="6">
        <f t="shared" si="14"/>
        <v>0</v>
      </c>
    </row>
    <row r="684" spans="1:11" x14ac:dyDescent="0.25">
      <c r="A684" s="4"/>
      <c r="B684" s="16"/>
      <c r="C684" s="16"/>
      <c r="D684" s="16"/>
      <c r="E684" s="17"/>
      <c r="F684" s="18"/>
      <c r="G684" s="18"/>
      <c r="H684" s="18"/>
      <c r="I684" s="18"/>
      <c r="J684" s="18"/>
      <c r="K684" s="6">
        <f t="shared" si="14"/>
        <v>0</v>
      </c>
    </row>
    <row r="685" spans="1:11" x14ac:dyDescent="0.25">
      <c r="A685" s="4"/>
      <c r="B685" s="16"/>
      <c r="C685" s="16"/>
      <c r="D685" s="16"/>
      <c r="E685" s="17"/>
      <c r="F685" s="18"/>
      <c r="G685" s="18"/>
      <c r="H685" s="18"/>
      <c r="I685" s="18"/>
      <c r="J685" s="18"/>
      <c r="K685" s="6">
        <f t="shared" si="14"/>
        <v>0</v>
      </c>
    </row>
    <row r="686" spans="1:11" x14ac:dyDescent="0.25">
      <c r="A686" s="4"/>
      <c r="B686" s="16"/>
      <c r="C686" s="16"/>
      <c r="D686" s="16"/>
      <c r="E686" s="17"/>
      <c r="F686" s="18"/>
      <c r="G686" s="18"/>
      <c r="H686" s="18"/>
      <c r="I686" s="18"/>
      <c r="J686" s="18"/>
      <c r="K686" s="6">
        <f t="shared" si="14"/>
        <v>0</v>
      </c>
    </row>
    <row r="687" spans="1:11" x14ac:dyDescent="0.25">
      <c r="A687" s="4"/>
      <c r="B687" s="16"/>
      <c r="C687" s="16"/>
      <c r="D687" s="16"/>
      <c r="E687" s="17"/>
      <c r="F687" s="18"/>
      <c r="G687" s="18"/>
      <c r="H687" s="18"/>
      <c r="I687" s="18"/>
      <c r="J687" s="18"/>
      <c r="K687" s="6">
        <f t="shared" si="14"/>
        <v>0</v>
      </c>
    </row>
    <row r="688" spans="1:11" x14ac:dyDescent="0.25">
      <c r="A688" s="4"/>
      <c r="B688" s="16"/>
      <c r="C688" s="16"/>
      <c r="D688" s="16"/>
      <c r="E688" s="17"/>
      <c r="F688" s="18"/>
      <c r="G688" s="18"/>
      <c r="H688" s="18"/>
      <c r="I688" s="18"/>
      <c r="J688" s="18"/>
      <c r="K688" s="6">
        <f t="shared" si="14"/>
        <v>0</v>
      </c>
    </row>
    <row r="689" spans="1:11" x14ac:dyDescent="0.25">
      <c r="A689" s="4"/>
      <c r="B689" s="16"/>
      <c r="C689" s="16"/>
      <c r="D689" s="16"/>
      <c r="E689" s="17"/>
      <c r="F689" s="18"/>
      <c r="G689" s="18"/>
      <c r="H689" s="18"/>
      <c r="I689" s="18"/>
      <c r="J689" s="18"/>
      <c r="K689" s="6">
        <f t="shared" si="14"/>
        <v>0</v>
      </c>
    </row>
    <row r="690" spans="1:11" x14ac:dyDescent="0.25">
      <c r="A690" s="4"/>
      <c r="B690" s="16"/>
      <c r="C690" s="16"/>
      <c r="D690" s="16"/>
      <c r="E690" s="17"/>
      <c r="F690" s="18"/>
      <c r="G690" s="18"/>
      <c r="H690" s="18"/>
      <c r="I690" s="18"/>
      <c r="J690" s="18"/>
      <c r="K690" s="6">
        <f t="shared" si="14"/>
        <v>0</v>
      </c>
    </row>
    <row r="691" spans="1:11" x14ac:dyDescent="0.25">
      <c r="A691" s="4"/>
      <c r="B691" s="16"/>
      <c r="C691" s="16"/>
      <c r="D691" s="16"/>
      <c r="E691" s="17"/>
      <c r="F691" s="18"/>
      <c r="G691" s="18"/>
      <c r="H691" s="18"/>
      <c r="I691" s="18"/>
      <c r="J691" s="18"/>
      <c r="K691" s="6">
        <f t="shared" si="14"/>
        <v>0</v>
      </c>
    </row>
    <row r="692" spans="1:11" x14ac:dyDescent="0.25">
      <c r="A692" s="4"/>
      <c r="B692" s="16"/>
      <c r="C692" s="16"/>
      <c r="D692" s="16"/>
      <c r="E692" s="17"/>
      <c r="F692" s="18"/>
      <c r="G692" s="18"/>
      <c r="H692" s="18"/>
      <c r="I692" s="18"/>
      <c r="J692" s="18"/>
      <c r="K692" s="6">
        <f t="shared" si="14"/>
        <v>0</v>
      </c>
    </row>
    <row r="693" spans="1:11" x14ac:dyDescent="0.25">
      <c r="A693" s="4"/>
      <c r="B693" s="16"/>
      <c r="C693" s="16"/>
      <c r="D693" s="16"/>
      <c r="E693" s="17"/>
      <c r="F693" s="18"/>
      <c r="G693" s="18"/>
      <c r="H693" s="18"/>
      <c r="I693" s="18"/>
      <c r="J693" s="18"/>
      <c r="K693" s="6">
        <f t="shared" si="14"/>
        <v>0</v>
      </c>
    </row>
    <row r="694" spans="1:11" x14ac:dyDescent="0.25">
      <c r="A694" s="4"/>
      <c r="B694" s="16"/>
      <c r="C694" s="16"/>
      <c r="D694" s="16"/>
      <c r="E694" s="17"/>
      <c r="F694" s="18"/>
      <c r="G694" s="18"/>
      <c r="H694" s="18"/>
      <c r="I694" s="18"/>
      <c r="J694" s="18"/>
      <c r="K694" s="6">
        <f t="shared" si="14"/>
        <v>0</v>
      </c>
    </row>
    <row r="695" spans="1:11" x14ac:dyDescent="0.25">
      <c r="A695" s="4"/>
      <c r="B695" s="16"/>
      <c r="C695" s="16"/>
      <c r="D695" s="16"/>
      <c r="E695" s="17"/>
      <c r="F695" s="18"/>
      <c r="G695" s="18"/>
      <c r="H695" s="18"/>
      <c r="I695" s="18"/>
      <c r="J695" s="18"/>
      <c r="K695" s="6">
        <f t="shared" si="14"/>
        <v>0</v>
      </c>
    </row>
    <row r="696" spans="1:11" x14ac:dyDescent="0.25">
      <c r="A696" s="4"/>
      <c r="B696" s="16"/>
      <c r="C696" s="16"/>
      <c r="D696" s="16"/>
      <c r="E696" s="17"/>
      <c r="F696" s="18"/>
      <c r="G696" s="18"/>
      <c r="H696" s="18"/>
      <c r="I696" s="18"/>
      <c r="J696" s="18"/>
      <c r="K696" s="6">
        <f t="shared" si="14"/>
        <v>0</v>
      </c>
    </row>
    <row r="697" spans="1:11" x14ac:dyDescent="0.25">
      <c r="A697" s="4"/>
      <c r="B697" s="16"/>
      <c r="C697" s="16"/>
      <c r="D697" s="16"/>
      <c r="E697" s="17"/>
      <c r="F697" s="18"/>
      <c r="G697" s="18"/>
      <c r="H697" s="18"/>
      <c r="I697" s="18"/>
      <c r="J697" s="18"/>
      <c r="K697" s="6">
        <f t="shared" si="14"/>
        <v>0</v>
      </c>
    </row>
    <row r="698" spans="1:11" x14ac:dyDescent="0.25">
      <c r="A698" s="4"/>
      <c r="B698" s="16"/>
      <c r="C698" s="16"/>
      <c r="D698" s="16"/>
      <c r="E698" s="17"/>
      <c r="F698" s="18"/>
      <c r="G698" s="18"/>
      <c r="H698" s="18"/>
      <c r="I698" s="18"/>
      <c r="J698" s="18"/>
      <c r="K698" s="6">
        <f t="shared" si="14"/>
        <v>0</v>
      </c>
    </row>
    <row r="699" spans="1:11" x14ac:dyDescent="0.25">
      <c r="A699" s="4"/>
      <c r="B699" s="16"/>
      <c r="C699" s="16"/>
      <c r="D699" s="16"/>
      <c r="E699" s="17"/>
      <c r="F699" s="18"/>
      <c r="G699" s="18"/>
      <c r="H699" s="18"/>
      <c r="I699" s="18"/>
      <c r="J699" s="18"/>
      <c r="K699" s="6">
        <f t="shared" si="14"/>
        <v>0</v>
      </c>
    </row>
    <row r="700" spans="1:11" x14ac:dyDescent="0.25">
      <c r="A700" s="4"/>
      <c r="B700" s="16"/>
      <c r="C700" s="16"/>
      <c r="D700" s="16"/>
      <c r="E700" s="17"/>
      <c r="F700" s="18"/>
      <c r="G700" s="18"/>
      <c r="H700" s="18"/>
      <c r="I700" s="18"/>
      <c r="J700" s="18"/>
      <c r="K700" s="6">
        <f t="shared" si="14"/>
        <v>0</v>
      </c>
    </row>
    <row r="701" spans="1:11" x14ac:dyDescent="0.25">
      <c r="A701" s="4"/>
      <c r="B701" s="16"/>
      <c r="C701" s="16"/>
      <c r="D701" s="16"/>
      <c r="E701" s="17"/>
      <c r="F701" s="18"/>
      <c r="G701" s="18"/>
      <c r="H701" s="18"/>
      <c r="I701" s="18"/>
      <c r="J701" s="18"/>
      <c r="K701" s="6">
        <f t="shared" si="14"/>
        <v>0</v>
      </c>
    </row>
    <row r="702" spans="1:11" x14ac:dyDescent="0.25">
      <c r="A702" s="4"/>
      <c r="B702" s="16"/>
      <c r="C702" s="16"/>
      <c r="D702" s="16"/>
      <c r="E702" s="17"/>
      <c r="F702" s="18"/>
      <c r="G702" s="18"/>
      <c r="H702" s="18"/>
      <c r="I702" s="18"/>
      <c r="J702" s="18"/>
      <c r="K702" s="6">
        <f t="shared" si="14"/>
        <v>0</v>
      </c>
    </row>
    <row r="703" spans="1:11" x14ac:dyDescent="0.25">
      <c r="A703" s="4"/>
      <c r="B703" s="16"/>
      <c r="C703" s="16"/>
      <c r="D703" s="16"/>
      <c r="E703" s="17"/>
      <c r="F703" s="18"/>
      <c r="G703" s="18"/>
      <c r="H703" s="18"/>
      <c r="I703" s="18"/>
      <c r="J703" s="18"/>
      <c r="K703" s="6">
        <f t="shared" si="14"/>
        <v>0</v>
      </c>
    </row>
    <row r="704" spans="1:11" x14ac:dyDescent="0.25">
      <c r="A704" s="4"/>
      <c r="B704" s="16"/>
      <c r="C704" s="16"/>
      <c r="D704" s="16"/>
      <c r="E704" s="17"/>
      <c r="F704" s="18"/>
      <c r="G704" s="18"/>
      <c r="H704" s="18"/>
      <c r="I704" s="18"/>
      <c r="J704" s="18"/>
      <c r="K704" s="6">
        <f t="shared" si="14"/>
        <v>0</v>
      </c>
    </row>
    <row r="705" spans="1:11" x14ac:dyDescent="0.25">
      <c r="A705" s="4"/>
      <c r="B705" s="16"/>
      <c r="C705" s="16"/>
      <c r="D705" s="16"/>
      <c r="E705" s="17"/>
      <c r="F705" s="18"/>
      <c r="G705" s="18"/>
      <c r="H705" s="18"/>
      <c r="I705" s="18"/>
      <c r="J705" s="18"/>
      <c r="K705" s="6">
        <f t="shared" si="14"/>
        <v>0</v>
      </c>
    </row>
    <row r="706" spans="1:11" x14ac:dyDescent="0.25">
      <c r="A706" s="4"/>
      <c r="B706" s="16"/>
      <c r="C706" s="16"/>
      <c r="D706" s="16"/>
      <c r="E706" s="17"/>
      <c r="F706" s="18"/>
      <c r="G706" s="18"/>
      <c r="H706" s="18"/>
      <c r="I706" s="18"/>
      <c r="J706" s="18"/>
      <c r="K706" s="6">
        <f t="shared" si="14"/>
        <v>0</v>
      </c>
    </row>
    <row r="707" spans="1:11" x14ac:dyDescent="0.25">
      <c r="A707" s="4"/>
      <c r="B707" s="16"/>
      <c r="C707" s="16"/>
      <c r="D707" s="16"/>
      <c r="E707" s="17"/>
      <c r="F707" s="18"/>
      <c r="G707" s="18"/>
      <c r="H707" s="18"/>
      <c r="I707" s="18"/>
      <c r="J707" s="18"/>
      <c r="K707" s="6">
        <f t="shared" si="14"/>
        <v>0</v>
      </c>
    </row>
    <row r="708" spans="1:11" x14ac:dyDescent="0.25">
      <c r="A708" s="4"/>
      <c r="B708" s="16"/>
      <c r="C708" s="16"/>
      <c r="D708" s="16"/>
      <c r="E708" s="17"/>
      <c r="F708" s="18"/>
      <c r="G708" s="18"/>
      <c r="H708" s="18"/>
      <c r="I708" s="18"/>
      <c r="J708" s="18"/>
      <c r="K708" s="6">
        <f t="shared" si="14"/>
        <v>0</v>
      </c>
    </row>
    <row r="709" spans="1:11" x14ac:dyDescent="0.25">
      <c r="A709" s="4"/>
      <c r="B709" s="16"/>
      <c r="C709" s="16"/>
      <c r="D709" s="16"/>
      <c r="E709" s="17"/>
      <c r="F709" s="18"/>
      <c r="G709" s="18"/>
      <c r="H709" s="18"/>
      <c r="I709" s="18"/>
      <c r="J709" s="18"/>
      <c r="K709" s="6">
        <f t="shared" si="14"/>
        <v>0</v>
      </c>
    </row>
    <row r="710" spans="1:11" x14ac:dyDescent="0.25">
      <c r="A710" s="4"/>
      <c r="B710" s="16"/>
      <c r="C710" s="16"/>
      <c r="D710" s="16"/>
      <c r="E710" s="17"/>
      <c r="F710" s="18"/>
      <c r="G710" s="18"/>
      <c r="H710" s="18"/>
      <c r="I710" s="18"/>
      <c r="J710" s="18"/>
      <c r="K710" s="6">
        <f t="shared" si="14"/>
        <v>0</v>
      </c>
    </row>
    <row r="711" spans="1:11" x14ac:dyDescent="0.25">
      <c r="A711" s="4"/>
      <c r="B711" s="16"/>
      <c r="C711" s="16"/>
      <c r="D711" s="16"/>
      <c r="E711" s="17"/>
      <c r="F711" s="18"/>
      <c r="G711" s="18"/>
      <c r="H711" s="18"/>
      <c r="I711" s="18"/>
      <c r="J711" s="18"/>
      <c r="K711" s="6">
        <f t="shared" si="14"/>
        <v>0</v>
      </c>
    </row>
    <row r="712" spans="1:11" x14ac:dyDescent="0.25">
      <c r="A712" s="4"/>
      <c r="B712" s="16"/>
      <c r="C712" s="16"/>
      <c r="D712" s="16"/>
      <c r="E712" s="17"/>
      <c r="F712" s="18"/>
      <c r="G712" s="18"/>
      <c r="H712" s="18"/>
      <c r="I712" s="18"/>
      <c r="J712" s="18"/>
      <c r="K712" s="6">
        <f t="shared" si="14"/>
        <v>0</v>
      </c>
    </row>
    <row r="713" spans="1:11" x14ac:dyDescent="0.25">
      <c r="A713" s="4"/>
      <c r="B713" s="16"/>
      <c r="C713" s="16"/>
      <c r="D713" s="16"/>
      <c r="E713" s="17"/>
      <c r="F713" s="18"/>
      <c r="G713" s="18"/>
      <c r="H713" s="18"/>
      <c r="I713" s="18"/>
      <c r="J713" s="18"/>
      <c r="K713" s="6">
        <f t="shared" si="14"/>
        <v>0</v>
      </c>
    </row>
    <row r="714" spans="1:11" x14ac:dyDescent="0.25">
      <c r="A714" s="4"/>
      <c r="B714" s="16"/>
      <c r="C714" s="16"/>
      <c r="D714" s="16"/>
      <c r="E714" s="17"/>
      <c r="F714" s="18"/>
      <c r="G714" s="18"/>
      <c r="H714" s="18"/>
      <c r="I714" s="18"/>
      <c r="J714" s="18"/>
      <c r="K714" s="6">
        <f t="shared" si="14"/>
        <v>0</v>
      </c>
    </row>
    <row r="715" spans="1:11" x14ac:dyDescent="0.25">
      <c r="A715" s="4"/>
      <c r="B715" s="16"/>
      <c r="C715" s="16"/>
      <c r="D715" s="16"/>
      <c r="E715" s="17"/>
      <c r="F715" s="18"/>
      <c r="G715" s="18"/>
      <c r="H715" s="18"/>
      <c r="I715" s="18"/>
      <c r="J715" s="18"/>
      <c r="K715" s="6">
        <f t="shared" si="14"/>
        <v>0</v>
      </c>
    </row>
    <row r="716" spans="1:11" x14ac:dyDescent="0.25">
      <c r="A716" s="4"/>
      <c r="B716" s="16"/>
      <c r="C716" s="16"/>
      <c r="D716" s="16"/>
      <c r="E716" s="17"/>
      <c r="F716" s="18"/>
      <c r="G716" s="18"/>
      <c r="H716" s="18"/>
      <c r="I716" s="18"/>
      <c r="J716" s="18"/>
      <c r="K716" s="6">
        <f t="shared" si="14"/>
        <v>0</v>
      </c>
    </row>
    <row r="717" spans="1:11" x14ac:dyDescent="0.25">
      <c r="A717" s="7"/>
      <c r="B717" s="19"/>
      <c r="C717" s="19"/>
      <c r="D717" s="19"/>
      <c r="E717" s="20"/>
      <c r="F717" s="21"/>
      <c r="G717" s="21"/>
      <c r="H717" s="21"/>
      <c r="I717" s="21"/>
      <c r="J717" s="21"/>
      <c r="K717" s="6">
        <f>SUM(F717:J717)</f>
        <v>0</v>
      </c>
    </row>
    <row r="718" spans="1:11" x14ac:dyDescent="0.25">
      <c r="A718" s="7"/>
      <c r="B718" s="19"/>
      <c r="C718" s="19"/>
      <c r="D718" s="19"/>
      <c r="E718" s="20"/>
      <c r="F718" s="21"/>
      <c r="G718" s="21"/>
      <c r="H718" s="21"/>
      <c r="I718" s="21"/>
      <c r="J718" s="21"/>
      <c r="K718" s="6">
        <f t="shared" ref="K718:K780" si="15">SUM(F718:J718)</f>
        <v>0</v>
      </c>
    </row>
    <row r="719" spans="1:11" x14ac:dyDescent="0.25">
      <c r="A719" s="7"/>
      <c r="B719" s="19"/>
      <c r="C719" s="19"/>
      <c r="D719" s="19"/>
      <c r="E719" s="20"/>
      <c r="F719" s="21"/>
      <c r="G719" s="21"/>
      <c r="H719" s="21"/>
      <c r="I719" s="21"/>
      <c r="J719" s="21"/>
      <c r="K719" s="6">
        <f t="shared" si="15"/>
        <v>0</v>
      </c>
    </row>
    <row r="720" spans="1:11" x14ac:dyDescent="0.25">
      <c r="A720" s="7"/>
      <c r="B720" s="19"/>
      <c r="C720" s="19"/>
      <c r="D720" s="19"/>
      <c r="E720" s="20"/>
      <c r="F720" s="21"/>
      <c r="G720" s="21"/>
      <c r="H720" s="21"/>
      <c r="I720" s="21"/>
      <c r="J720" s="21"/>
      <c r="K720" s="6">
        <f t="shared" si="15"/>
        <v>0</v>
      </c>
    </row>
    <row r="721" spans="1:11" x14ac:dyDescent="0.25">
      <c r="A721" s="7"/>
      <c r="B721" s="19"/>
      <c r="C721" s="19"/>
      <c r="D721" s="19"/>
      <c r="E721" s="20"/>
      <c r="F721" s="21"/>
      <c r="G721" s="21"/>
      <c r="H721" s="21"/>
      <c r="I721" s="21"/>
      <c r="J721" s="21"/>
      <c r="K721" s="6">
        <f t="shared" si="15"/>
        <v>0</v>
      </c>
    </row>
    <row r="722" spans="1:11" x14ac:dyDescent="0.25">
      <c r="A722" s="7"/>
      <c r="B722" s="19"/>
      <c r="C722" s="19"/>
      <c r="D722" s="19"/>
      <c r="E722" s="20"/>
      <c r="F722" s="21"/>
      <c r="G722" s="21"/>
      <c r="H722" s="21"/>
      <c r="I722" s="21"/>
      <c r="J722" s="21"/>
      <c r="K722" s="6">
        <f t="shared" si="15"/>
        <v>0</v>
      </c>
    </row>
    <row r="723" spans="1:11" x14ac:dyDescent="0.25">
      <c r="A723" s="7"/>
      <c r="B723" s="19"/>
      <c r="C723" s="19"/>
      <c r="D723" s="19"/>
      <c r="E723" s="20"/>
      <c r="F723" s="21"/>
      <c r="G723" s="21"/>
      <c r="H723" s="21"/>
      <c r="I723" s="21"/>
      <c r="J723" s="21"/>
      <c r="K723" s="6">
        <f t="shared" si="15"/>
        <v>0</v>
      </c>
    </row>
    <row r="724" spans="1:11" x14ac:dyDescent="0.25">
      <c r="A724" s="7"/>
      <c r="B724" s="19"/>
      <c r="C724" s="19"/>
      <c r="D724" s="19"/>
      <c r="E724" s="20"/>
      <c r="F724" s="21"/>
      <c r="G724" s="21"/>
      <c r="H724" s="21"/>
      <c r="I724" s="21"/>
      <c r="J724" s="21"/>
      <c r="K724" s="6">
        <f t="shared" si="15"/>
        <v>0</v>
      </c>
    </row>
    <row r="725" spans="1:11" x14ac:dyDescent="0.25">
      <c r="A725" s="7"/>
      <c r="B725" s="19"/>
      <c r="C725" s="19"/>
      <c r="D725" s="19"/>
      <c r="E725" s="20"/>
      <c r="F725" s="21"/>
      <c r="G725" s="21"/>
      <c r="H725" s="21"/>
      <c r="I725" s="21"/>
      <c r="J725" s="21"/>
      <c r="K725" s="6">
        <f t="shared" si="15"/>
        <v>0</v>
      </c>
    </row>
    <row r="726" spans="1:11" x14ac:dyDescent="0.25">
      <c r="A726" s="7"/>
      <c r="B726" s="19"/>
      <c r="C726" s="19"/>
      <c r="D726" s="19"/>
      <c r="E726" s="20"/>
      <c r="F726" s="21"/>
      <c r="G726" s="21"/>
      <c r="H726" s="21"/>
      <c r="I726" s="21"/>
      <c r="J726" s="21"/>
      <c r="K726" s="6">
        <f t="shared" si="15"/>
        <v>0</v>
      </c>
    </row>
    <row r="727" spans="1:11" x14ac:dyDescent="0.25">
      <c r="A727" s="7"/>
      <c r="B727" s="19"/>
      <c r="C727" s="19"/>
      <c r="D727" s="19"/>
      <c r="E727" s="20"/>
      <c r="F727" s="21"/>
      <c r="G727" s="21"/>
      <c r="H727" s="21"/>
      <c r="I727" s="21"/>
      <c r="J727" s="21"/>
      <c r="K727" s="6">
        <f t="shared" si="15"/>
        <v>0</v>
      </c>
    </row>
    <row r="728" spans="1:11" x14ac:dyDescent="0.25">
      <c r="A728" s="7"/>
      <c r="B728" s="19"/>
      <c r="C728" s="19"/>
      <c r="D728" s="19"/>
      <c r="E728" s="20"/>
      <c r="F728" s="21"/>
      <c r="G728" s="21"/>
      <c r="H728" s="21"/>
      <c r="I728" s="21"/>
      <c r="J728" s="21"/>
      <c r="K728" s="6">
        <f t="shared" si="15"/>
        <v>0</v>
      </c>
    </row>
    <row r="729" spans="1:11" x14ac:dyDescent="0.25">
      <c r="A729" s="7"/>
      <c r="B729" s="19"/>
      <c r="C729" s="19"/>
      <c r="D729" s="19"/>
      <c r="E729" s="20"/>
      <c r="F729" s="21"/>
      <c r="G729" s="21"/>
      <c r="H729" s="21"/>
      <c r="I729" s="21"/>
      <c r="J729" s="21"/>
      <c r="K729" s="6">
        <f t="shared" si="15"/>
        <v>0</v>
      </c>
    </row>
    <row r="730" spans="1:11" x14ac:dyDescent="0.25">
      <c r="A730" s="7"/>
      <c r="B730" s="19"/>
      <c r="C730" s="19"/>
      <c r="D730" s="19"/>
      <c r="E730" s="20"/>
      <c r="F730" s="21"/>
      <c r="G730" s="21"/>
      <c r="H730" s="21"/>
      <c r="I730" s="21"/>
      <c r="J730" s="21"/>
      <c r="K730" s="6">
        <f t="shared" si="15"/>
        <v>0</v>
      </c>
    </row>
    <row r="731" spans="1:11" x14ac:dyDescent="0.25">
      <c r="A731" s="7"/>
      <c r="B731" s="19"/>
      <c r="C731" s="19"/>
      <c r="D731" s="19"/>
      <c r="E731" s="20"/>
      <c r="F731" s="21"/>
      <c r="G731" s="21"/>
      <c r="H731" s="21"/>
      <c r="I731" s="21"/>
      <c r="J731" s="21"/>
      <c r="K731" s="6">
        <f t="shared" si="15"/>
        <v>0</v>
      </c>
    </row>
    <row r="732" spans="1:11" x14ac:dyDescent="0.25">
      <c r="A732" s="7"/>
      <c r="B732" s="19"/>
      <c r="C732" s="19"/>
      <c r="D732" s="19"/>
      <c r="E732" s="20"/>
      <c r="F732" s="21"/>
      <c r="G732" s="21"/>
      <c r="H732" s="21"/>
      <c r="I732" s="21"/>
      <c r="J732" s="21"/>
      <c r="K732" s="6">
        <f t="shared" si="15"/>
        <v>0</v>
      </c>
    </row>
    <row r="733" spans="1:11" x14ac:dyDescent="0.25">
      <c r="A733" s="7"/>
      <c r="B733" s="19"/>
      <c r="C733" s="19"/>
      <c r="D733" s="19"/>
      <c r="E733" s="20"/>
      <c r="F733" s="21"/>
      <c r="G733" s="21"/>
      <c r="H733" s="21"/>
      <c r="I733" s="21"/>
      <c r="J733" s="21"/>
      <c r="K733" s="6">
        <f t="shared" si="15"/>
        <v>0</v>
      </c>
    </row>
    <row r="734" spans="1:11" x14ac:dyDescent="0.25">
      <c r="A734" s="7"/>
      <c r="B734" s="19"/>
      <c r="C734" s="19"/>
      <c r="D734" s="19"/>
      <c r="E734" s="20"/>
      <c r="F734" s="21"/>
      <c r="G734" s="21"/>
      <c r="H734" s="21"/>
      <c r="I734" s="21"/>
      <c r="J734" s="21"/>
      <c r="K734" s="6">
        <f t="shared" si="15"/>
        <v>0</v>
      </c>
    </row>
    <row r="735" spans="1:11" x14ac:dyDescent="0.25">
      <c r="A735" s="7"/>
      <c r="B735" s="19"/>
      <c r="C735" s="19"/>
      <c r="D735" s="19"/>
      <c r="E735" s="20"/>
      <c r="F735" s="21"/>
      <c r="G735" s="21"/>
      <c r="H735" s="21"/>
      <c r="I735" s="21"/>
      <c r="J735" s="21"/>
      <c r="K735" s="6">
        <f t="shared" si="15"/>
        <v>0</v>
      </c>
    </row>
    <row r="736" spans="1:11" x14ac:dyDescent="0.25">
      <c r="A736" s="7"/>
      <c r="B736" s="19"/>
      <c r="C736" s="19"/>
      <c r="D736" s="19"/>
      <c r="E736" s="20"/>
      <c r="F736" s="21"/>
      <c r="G736" s="21"/>
      <c r="H736" s="21"/>
      <c r="I736" s="21"/>
      <c r="J736" s="21"/>
      <c r="K736" s="6">
        <f t="shared" si="15"/>
        <v>0</v>
      </c>
    </row>
    <row r="737" spans="1:11" x14ac:dyDescent="0.25">
      <c r="A737" s="7"/>
      <c r="B737" s="19"/>
      <c r="C737" s="19"/>
      <c r="D737" s="19"/>
      <c r="E737" s="20"/>
      <c r="F737" s="21"/>
      <c r="G737" s="21"/>
      <c r="H737" s="21"/>
      <c r="I737" s="21"/>
      <c r="J737" s="21"/>
      <c r="K737" s="6">
        <f t="shared" si="15"/>
        <v>0</v>
      </c>
    </row>
    <row r="738" spans="1:11" x14ac:dyDescent="0.25">
      <c r="A738" s="7"/>
      <c r="B738" s="19"/>
      <c r="C738" s="19"/>
      <c r="D738" s="19"/>
      <c r="E738" s="20"/>
      <c r="F738" s="21"/>
      <c r="G738" s="21"/>
      <c r="H738" s="21"/>
      <c r="I738" s="21"/>
      <c r="J738" s="21"/>
      <c r="K738" s="6">
        <f t="shared" si="15"/>
        <v>0</v>
      </c>
    </row>
    <row r="739" spans="1:11" x14ac:dyDescent="0.25">
      <c r="A739" s="7"/>
      <c r="B739" s="19"/>
      <c r="C739" s="19"/>
      <c r="D739" s="19"/>
      <c r="E739" s="20"/>
      <c r="F739" s="21"/>
      <c r="G739" s="21"/>
      <c r="H739" s="21"/>
      <c r="I739" s="21"/>
      <c r="J739" s="21"/>
      <c r="K739" s="6">
        <f t="shared" si="15"/>
        <v>0</v>
      </c>
    </row>
    <row r="740" spans="1:11" x14ac:dyDescent="0.25">
      <c r="A740" s="7"/>
      <c r="B740" s="19"/>
      <c r="C740" s="19"/>
      <c r="D740" s="19"/>
      <c r="E740" s="20"/>
      <c r="F740" s="21"/>
      <c r="G740" s="21"/>
      <c r="H740" s="21"/>
      <c r="I740" s="21"/>
      <c r="J740" s="21"/>
      <c r="K740" s="6">
        <f t="shared" si="15"/>
        <v>0</v>
      </c>
    </row>
    <row r="741" spans="1:11" x14ac:dyDescent="0.25">
      <c r="A741" s="7"/>
      <c r="B741" s="19"/>
      <c r="C741" s="19"/>
      <c r="D741" s="19"/>
      <c r="E741" s="20"/>
      <c r="F741" s="21"/>
      <c r="G741" s="21"/>
      <c r="H741" s="21"/>
      <c r="I741" s="21"/>
      <c r="J741" s="21"/>
      <c r="K741" s="6">
        <f t="shared" si="15"/>
        <v>0</v>
      </c>
    </row>
    <row r="742" spans="1:11" x14ac:dyDescent="0.25">
      <c r="A742" s="7"/>
      <c r="B742" s="19"/>
      <c r="C742" s="19"/>
      <c r="D742" s="19"/>
      <c r="E742" s="20"/>
      <c r="F742" s="21"/>
      <c r="G742" s="21"/>
      <c r="H742" s="21"/>
      <c r="I742" s="21"/>
      <c r="J742" s="21"/>
      <c r="K742" s="6">
        <f t="shared" si="15"/>
        <v>0</v>
      </c>
    </row>
    <row r="743" spans="1:11" x14ac:dyDescent="0.25">
      <c r="A743" s="7"/>
      <c r="B743" s="19"/>
      <c r="C743" s="19"/>
      <c r="D743" s="19"/>
      <c r="E743" s="20"/>
      <c r="F743" s="21"/>
      <c r="G743" s="21"/>
      <c r="H743" s="21"/>
      <c r="I743" s="21"/>
      <c r="J743" s="21"/>
      <c r="K743" s="6">
        <f t="shared" si="15"/>
        <v>0</v>
      </c>
    </row>
    <row r="744" spans="1:11" x14ac:dyDescent="0.25">
      <c r="A744" s="7"/>
      <c r="B744" s="19"/>
      <c r="C744" s="19"/>
      <c r="D744" s="19"/>
      <c r="E744" s="20"/>
      <c r="F744" s="21"/>
      <c r="G744" s="21"/>
      <c r="H744" s="21"/>
      <c r="I744" s="21"/>
      <c r="J744" s="21"/>
      <c r="K744" s="6">
        <f t="shared" si="15"/>
        <v>0</v>
      </c>
    </row>
    <row r="745" spans="1:11" x14ac:dyDescent="0.25">
      <c r="A745" s="7"/>
      <c r="B745" s="19"/>
      <c r="C745" s="19"/>
      <c r="D745" s="19"/>
      <c r="E745" s="20"/>
      <c r="F745" s="21"/>
      <c r="G745" s="21"/>
      <c r="H745" s="21"/>
      <c r="I745" s="21"/>
      <c r="J745" s="21"/>
      <c r="K745" s="6">
        <f t="shared" si="15"/>
        <v>0</v>
      </c>
    </row>
    <row r="746" spans="1:11" x14ac:dyDescent="0.25">
      <c r="A746" s="7"/>
      <c r="B746" s="19"/>
      <c r="C746" s="19"/>
      <c r="D746" s="19"/>
      <c r="E746" s="20"/>
      <c r="F746" s="21"/>
      <c r="G746" s="21"/>
      <c r="H746" s="21"/>
      <c r="I746" s="21"/>
      <c r="J746" s="21"/>
      <c r="K746" s="6">
        <f t="shared" si="15"/>
        <v>0</v>
      </c>
    </row>
    <row r="747" spans="1:11" x14ac:dyDescent="0.25">
      <c r="A747" s="7"/>
      <c r="B747" s="19"/>
      <c r="C747" s="19"/>
      <c r="D747" s="19"/>
      <c r="E747" s="20"/>
      <c r="F747" s="21"/>
      <c r="G747" s="21"/>
      <c r="H747" s="21"/>
      <c r="I747" s="21"/>
      <c r="J747" s="21"/>
      <c r="K747" s="6">
        <f t="shared" si="15"/>
        <v>0</v>
      </c>
    </row>
    <row r="748" spans="1:11" x14ac:dyDescent="0.25">
      <c r="A748" s="7"/>
      <c r="B748" s="19"/>
      <c r="C748" s="19"/>
      <c r="D748" s="19"/>
      <c r="E748" s="20"/>
      <c r="F748" s="21"/>
      <c r="G748" s="21"/>
      <c r="H748" s="21"/>
      <c r="I748" s="21"/>
      <c r="J748" s="21"/>
      <c r="K748" s="6">
        <f t="shared" si="15"/>
        <v>0</v>
      </c>
    </row>
    <row r="749" spans="1:11" x14ac:dyDescent="0.25">
      <c r="A749" s="7"/>
      <c r="B749" s="19"/>
      <c r="C749" s="19"/>
      <c r="D749" s="19"/>
      <c r="E749" s="20"/>
      <c r="F749" s="21"/>
      <c r="G749" s="21"/>
      <c r="H749" s="21"/>
      <c r="I749" s="21"/>
      <c r="J749" s="21"/>
      <c r="K749" s="6">
        <f t="shared" si="15"/>
        <v>0</v>
      </c>
    </row>
    <row r="750" spans="1:11" x14ac:dyDescent="0.25">
      <c r="A750" s="7"/>
      <c r="B750" s="19"/>
      <c r="C750" s="19"/>
      <c r="D750" s="19"/>
      <c r="E750" s="20"/>
      <c r="F750" s="21"/>
      <c r="G750" s="21"/>
      <c r="H750" s="21"/>
      <c r="I750" s="21"/>
      <c r="J750" s="21"/>
      <c r="K750" s="6">
        <f t="shared" si="15"/>
        <v>0</v>
      </c>
    </row>
    <row r="751" spans="1:11" x14ac:dyDescent="0.25">
      <c r="A751" s="7"/>
      <c r="B751" s="19"/>
      <c r="C751" s="19"/>
      <c r="D751" s="19"/>
      <c r="E751" s="20"/>
      <c r="F751" s="21"/>
      <c r="G751" s="21"/>
      <c r="H751" s="21"/>
      <c r="I751" s="21"/>
      <c r="J751" s="21"/>
      <c r="K751" s="6">
        <f t="shared" si="15"/>
        <v>0</v>
      </c>
    </row>
    <row r="752" spans="1:11" x14ac:dyDescent="0.25">
      <c r="A752" s="7"/>
      <c r="B752" s="19"/>
      <c r="C752" s="19"/>
      <c r="D752" s="19"/>
      <c r="E752" s="20"/>
      <c r="F752" s="21"/>
      <c r="G752" s="21"/>
      <c r="H752" s="21"/>
      <c r="I752" s="21"/>
      <c r="J752" s="21"/>
      <c r="K752" s="6">
        <f t="shared" si="15"/>
        <v>0</v>
      </c>
    </row>
    <row r="753" spans="1:11" x14ac:dyDescent="0.25">
      <c r="A753" s="7"/>
      <c r="B753" s="19"/>
      <c r="C753" s="19"/>
      <c r="D753" s="19"/>
      <c r="E753" s="20"/>
      <c r="F753" s="21"/>
      <c r="G753" s="21"/>
      <c r="H753" s="21"/>
      <c r="I753" s="21"/>
      <c r="J753" s="21"/>
      <c r="K753" s="6">
        <f t="shared" si="15"/>
        <v>0</v>
      </c>
    </row>
    <row r="754" spans="1:11" x14ac:dyDescent="0.25">
      <c r="A754" s="7"/>
      <c r="B754" s="19"/>
      <c r="C754" s="19"/>
      <c r="D754" s="19"/>
      <c r="E754" s="20"/>
      <c r="F754" s="21"/>
      <c r="G754" s="21"/>
      <c r="H754" s="21"/>
      <c r="I754" s="21"/>
      <c r="J754" s="21"/>
      <c r="K754" s="6">
        <f t="shared" si="15"/>
        <v>0</v>
      </c>
    </row>
    <row r="755" spans="1:11" x14ac:dyDescent="0.25">
      <c r="A755" s="7"/>
      <c r="B755" s="19"/>
      <c r="C755" s="19"/>
      <c r="D755" s="19"/>
      <c r="E755" s="20"/>
      <c r="F755" s="21"/>
      <c r="G755" s="21"/>
      <c r="H755" s="21"/>
      <c r="I755" s="21"/>
      <c r="J755" s="21"/>
      <c r="K755" s="6">
        <f t="shared" si="15"/>
        <v>0</v>
      </c>
    </row>
    <row r="756" spans="1:11" x14ac:dyDescent="0.25">
      <c r="A756" s="7"/>
      <c r="B756" s="19"/>
      <c r="C756" s="19"/>
      <c r="D756" s="19"/>
      <c r="E756" s="20"/>
      <c r="F756" s="21"/>
      <c r="G756" s="21"/>
      <c r="H756" s="21"/>
      <c r="I756" s="21"/>
      <c r="J756" s="21"/>
      <c r="K756" s="6">
        <f t="shared" si="15"/>
        <v>0</v>
      </c>
    </row>
    <row r="757" spans="1:11" x14ac:dyDescent="0.25">
      <c r="A757" s="7"/>
      <c r="B757" s="19"/>
      <c r="C757" s="19"/>
      <c r="D757" s="19"/>
      <c r="E757" s="20"/>
      <c r="F757" s="21"/>
      <c r="G757" s="21"/>
      <c r="H757" s="21"/>
      <c r="I757" s="21"/>
      <c r="J757" s="21"/>
      <c r="K757" s="6">
        <f t="shared" si="15"/>
        <v>0</v>
      </c>
    </row>
    <row r="758" spans="1:11" x14ac:dyDescent="0.25">
      <c r="A758" s="7"/>
      <c r="B758" s="19"/>
      <c r="C758" s="19"/>
      <c r="D758" s="19"/>
      <c r="E758" s="20"/>
      <c r="F758" s="21"/>
      <c r="G758" s="21"/>
      <c r="H758" s="21"/>
      <c r="I758" s="21"/>
      <c r="J758" s="21"/>
      <c r="K758" s="6">
        <f t="shared" si="15"/>
        <v>0</v>
      </c>
    </row>
    <row r="759" spans="1:11" x14ac:dyDescent="0.25">
      <c r="A759" s="7"/>
      <c r="B759" s="19"/>
      <c r="C759" s="19"/>
      <c r="D759" s="19"/>
      <c r="E759" s="20"/>
      <c r="F759" s="21"/>
      <c r="G759" s="21"/>
      <c r="H759" s="21"/>
      <c r="I759" s="21"/>
      <c r="J759" s="21"/>
      <c r="K759" s="6">
        <f t="shared" si="15"/>
        <v>0</v>
      </c>
    </row>
    <row r="760" spans="1:11" x14ac:dyDescent="0.25">
      <c r="A760" s="7"/>
      <c r="B760" s="19"/>
      <c r="C760" s="19"/>
      <c r="D760" s="19"/>
      <c r="E760" s="20"/>
      <c r="F760" s="21"/>
      <c r="G760" s="21"/>
      <c r="H760" s="21"/>
      <c r="I760" s="21"/>
      <c r="J760" s="21"/>
      <c r="K760" s="6">
        <f t="shared" si="15"/>
        <v>0</v>
      </c>
    </row>
    <row r="761" spans="1:11" x14ac:dyDescent="0.25">
      <c r="A761" s="7"/>
      <c r="B761" s="19"/>
      <c r="C761" s="19"/>
      <c r="D761" s="19"/>
      <c r="E761" s="20"/>
      <c r="F761" s="21"/>
      <c r="G761" s="21"/>
      <c r="H761" s="21"/>
      <c r="I761" s="21"/>
      <c r="J761" s="21"/>
      <c r="K761" s="6">
        <f t="shared" si="15"/>
        <v>0</v>
      </c>
    </row>
    <row r="762" spans="1:11" x14ac:dyDescent="0.25">
      <c r="A762" s="7"/>
      <c r="B762" s="19"/>
      <c r="C762" s="19"/>
      <c r="D762" s="19"/>
      <c r="E762" s="20"/>
      <c r="F762" s="21"/>
      <c r="G762" s="21"/>
      <c r="H762" s="21"/>
      <c r="I762" s="21"/>
      <c r="J762" s="21"/>
      <c r="K762" s="6">
        <f t="shared" si="15"/>
        <v>0</v>
      </c>
    </row>
    <row r="763" spans="1:11" x14ac:dyDescent="0.25">
      <c r="A763" s="7"/>
      <c r="B763" s="19"/>
      <c r="C763" s="19"/>
      <c r="D763" s="19"/>
      <c r="E763" s="20"/>
      <c r="F763" s="21"/>
      <c r="G763" s="21"/>
      <c r="H763" s="21"/>
      <c r="I763" s="21"/>
      <c r="J763" s="21"/>
      <c r="K763" s="6">
        <f t="shared" si="15"/>
        <v>0</v>
      </c>
    </row>
    <row r="764" spans="1:11" x14ac:dyDescent="0.25">
      <c r="A764" s="7"/>
      <c r="B764" s="19"/>
      <c r="C764" s="19"/>
      <c r="D764" s="19"/>
      <c r="E764" s="20"/>
      <c r="F764" s="21"/>
      <c r="G764" s="21"/>
      <c r="H764" s="21"/>
      <c r="I764" s="21"/>
      <c r="J764" s="21"/>
      <c r="K764" s="6">
        <f t="shared" si="15"/>
        <v>0</v>
      </c>
    </row>
    <row r="765" spans="1:11" x14ac:dyDescent="0.25">
      <c r="A765" s="7"/>
      <c r="B765" s="19"/>
      <c r="C765" s="19"/>
      <c r="D765" s="19"/>
      <c r="E765" s="20"/>
      <c r="F765" s="21"/>
      <c r="G765" s="21"/>
      <c r="H765" s="21"/>
      <c r="I765" s="21"/>
      <c r="J765" s="21"/>
      <c r="K765" s="6">
        <f t="shared" si="15"/>
        <v>0</v>
      </c>
    </row>
    <row r="766" spans="1:11" x14ac:dyDescent="0.25">
      <c r="A766" s="7"/>
      <c r="B766" s="19"/>
      <c r="C766" s="19"/>
      <c r="D766" s="19"/>
      <c r="E766" s="20"/>
      <c r="F766" s="21"/>
      <c r="G766" s="21"/>
      <c r="H766" s="21"/>
      <c r="I766" s="21"/>
      <c r="J766" s="21"/>
      <c r="K766" s="6">
        <f t="shared" si="15"/>
        <v>0</v>
      </c>
    </row>
    <row r="767" spans="1:11" x14ac:dyDescent="0.25">
      <c r="A767" s="7"/>
      <c r="B767" s="19"/>
      <c r="C767" s="19"/>
      <c r="D767" s="19"/>
      <c r="E767" s="20"/>
      <c r="F767" s="21"/>
      <c r="G767" s="21"/>
      <c r="H767" s="21"/>
      <c r="I767" s="21"/>
      <c r="J767" s="21"/>
      <c r="K767" s="6">
        <f t="shared" si="15"/>
        <v>0</v>
      </c>
    </row>
    <row r="768" spans="1:11" x14ac:dyDescent="0.25">
      <c r="A768" s="7"/>
      <c r="B768" s="19"/>
      <c r="C768" s="19"/>
      <c r="D768" s="19"/>
      <c r="E768" s="20"/>
      <c r="F768" s="21"/>
      <c r="G768" s="21"/>
      <c r="H768" s="21"/>
      <c r="I768" s="21"/>
      <c r="J768" s="21"/>
      <c r="K768" s="6">
        <f t="shared" si="15"/>
        <v>0</v>
      </c>
    </row>
    <row r="769" spans="1:11" x14ac:dyDescent="0.25">
      <c r="A769" s="7"/>
      <c r="B769" s="19"/>
      <c r="C769" s="19"/>
      <c r="D769" s="19"/>
      <c r="E769" s="20"/>
      <c r="F769" s="21"/>
      <c r="G769" s="21"/>
      <c r="H769" s="21"/>
      <c r="I769" s="21"/>
      <c r="J769" s="21"/>
      <c r="K769" s="6">
        <f t="shared" si="15"/>
        <v>0</v>
      </c>
    </row>
    <row r="770" spans="1:11" x14ac:dyDescent="0.25">
      <c r="A770" s="7"/>
      <c r="B770" s="19"/>
      <c r="C770" s="19"/>
      <c r="D770" s="19"/>
      <c r="E770" s="20"/>
      <c r="F770" s="21"/>
      <c r="G770" s="21"/>
      <c r="H770" s="21"/>
      <c r="I770" s="21"/>
      <c r="J770" s="21"/>
      <c r="K770" s="6">
        <f t="shared" si="15"/>
        <v>0</v>
      </c>
    </row>
    <row r="771" spans="1:11" x14ac:dyDescent="0.25">
      <c r="A771" s="7"/>
      <c r="B771" s="19"/>
      <c r="C771" s="19"/>
      <c r="D771" s="19"/>
      <c r="E771" s="20"/>
      <c r="F771" s="21"/>
      <c r="G771" s="21"/>
      <c r="H771" s="21"/>
      <c r="I771" s="21"/>
      <c r="J771" s="21"/>
      <c r="K771" s="6">
        <f t="shared" si="15"/>
        <v>0</v>
      </c>
    </row>
    <row r="772" spans="1:11" x14ac:dyDescent="0.25">
      <c r="A772" s="7"/>
      <c r="B772" s="19"/>
      <c r="C772" s="19"/>
      <c r="D772" s="19"/>
      <c r="E772" s="20"/>
      <c r="F772" s="21"/>
      <c r="G772" s="21"/>
      <c r="H772" s="21"/>
      <c r="I772" s="21"/>
      <c r="J772" s="21"/>
      <c r="K772" s="6">
        <f t="shared" si="15"/>
        <v>0</v>
      </c>
    </row>
    <row r="773" spans="1:11" x14ac:dyDescent="0.25">
      <c r="A773" s="7"/>
      <c r="B773" s="19"/>
      <c r="C773" s="19"/>
      <c r="D773" s="19"/>
      <c r="E773" s="20"/>
      <c r="F773" s="21"/>
      <c r="G773" s="21"/>
      <c r="H773" s="21"/>
      <c r="I773" s="21"/>
      <c r="J773" s="21"/>
      <c r="K773" s="6">
        <f t="shared" si="15"/>
        <v>0</v>
      </c>
    </row>
    <row r="774" spans="1:11" x14ac:dyDescent="0.25">
      <c r="A774" s="7"/>
      <c r="B774" s="19"/>
      <c r="C774" s="19"/>
      <c r="D774" s="19"/>
      <c r="E774" s="20"/>
      <c r="F774" s="21"/>
      <c r="G774" s="21"/>
      <c r="H774" s="21"/>
      <c r="I774" s="21"/>
      <c r="J774" s="21"/>
      <c r="K774" s="6">
        <f t="shared" si="15"/>
        <v>0</v>
      </c>
    </row>
    <row r="775" spans="1:11" x14ac:dyDescent="0.25">
      <c r="A775" s="7"/>
      <c r="B775" s="19"/>
      <c r="C775" s="19"/>
      <c r="D775" s="19"/>
      <c r="E775" s="20"/>
      <c r="F775" s="21"/>
      <c r="G775" s="21"/>
      <c r="H775" s="21"/>
      <c r="I775" s="21"/>
      <c r="J775" s="21"/>
      <c r="K775" s="6">
        <f t="shared" si="15"/>
        <v>0</v>
      </c>
    </row>
    <row r="776" spans="1:11" x14ac:dyDescent="0.25">
      <c r="A776" s="7"/>
      <c r="B776" s="19"/>
      <c r="C776" s="19"/>
      <c r="D776" s="19"/>
      <c r="E776" s="20"/>
      <c r="F776" s="21"/>
      <c r="G776" s="21"/>
      <c r="H776" s="21"/>
      <c r="I776" s="21"/>
      <c r="J776" s="21"/>
      <c r="K776" s="6">
        <f t="shared" si="15"/>
        <v>0</v>
      </c>
    </row>
    <row r="777" spans="1:11" x14ac:dyDescent="0.25">
      <c r="A777" s="7"/>
      <c r="B777" s="19"/>
      <c r="C777" s="19"/>
      <c r="D777" s="19"/>
      <c r="E777" s="20"/>
      <c r="F777" s="21"/>
      <c r="G777" s="21"/>
      <c r="H777" s="21"/>
      <c r="I777" s="21"/>
      <c r="J777" s="21"/>
      <c r="K777" s="6">
        <f t="shared" si="15"/>
        <v>0</v>
      </c>
    </row>
    <row r="778" spans="1:11" x14ac:dyDescent="0.25">
      <c r="A778" s="7"/>
      <c r="B778" s="19"/>
      <c r="C778" s="19"/>
      <c r="D778" s="19"/>
      <c r="E778" s="20"/>
      <c r="F778" s="21"/>
      <c r="G778" s="21"/>
      <c r="H778" s="21"/>
      <c r="I778" s="21"/>
      <c r="J778" s="21"/>
      <c r="K778" s="6">
        <f t="shared" si="15"/>
        <v>0</v>
      </c>
    </row>
    <row r="779" spans="1:11" x14ac:dyDescent="0.25">
      <c r="A779" s="7"/>
      <c r="B779" s="19"/>
      <c r="C779" s="19"/>
      <c r="D779" s="19"/>
      <c r="E779" s="20"/>
      <c r="F779" s="21"/>
      <c r="G779" s="21"/>
      <c r="H779" s="21"/>
      <c r="I779" s="21"/>
      <c r="J779" s="21"/>
      <c r="K779" s="6">
        <f t="shared" si="15"/>
        <v>0</v>
      </c>
    </row>
    <row r="780" spans="1:11" x14ac:dyDescent="0.25">
      <c r="A780" s="7"/>
      <c r="B780" s="19"/>
      <c r="C780" s="19"/>
      <c r="D780" s="19"/>
      <c r="E780" s="20"/>
      <c r="F780" s="21"/>
      <c r="G780" s="21"/>
      <c r="H780" s="21"/>
      <c r="I780" s="21"/>
      <c r="J780" s="21"/>
      <c r="K780" s="6">
        <f t="shared" si="15"/>
        <v>0</v>
      </c>
    </row>
    <row r="781" spans="1:11" x14ac:dyDescent="0.25">
      <c r="A781" s="4"/>
      <c r="B781" s="16"/>
      <c r="C781" s="16"/>
      <c r="D781" s="16"/>
      <c r="E781" s="17"/>
      <c r="F781" s="18"/>
      <c r="G781" s="18"/>
      <c r="H781" s="18"/>
      <c r="I781" s="18"/>
      <c r="J781" s="18"/>
      <c r="K781" s="6">
        <f>SUM(F781:J781)</f>
        <v>0</v>
      </c>
    </row>
    <row r="782" spans="1:11" x14ac:dyDescent="0.25">
      <c r="A782" s="4"/>
      <c r="B782" s="16"/>
      <c r="C782" s="16"/>
      <c r="D782" s="16"/>
      <c r="E782" s="17"/>
      <c r="F782" s="18"/>
      <c r="G782" s="18"/>
      <c r="H782" s="18"/>
      <c r="I782" s="18"/>
      <c r="J782" s="18"/>
      <c r="K782" s="6">
        <f t="shared" ref="K782:K840" si="16">SUM(F782:J782)</f>
        <v>0</v>
      </c>
    </row>
    <row r="783" spans="1:11" x14ac:dyDescent="0.25">
      <c r="A783" s="4"/>
      <c r="B783" s="16"/>
      <c r="C783" s="16"/>
      <c r="D783" s="16"/>
      <c r="E783" s="17"/>
      <c r="F783" s="18"/>
      <c r="G783" s="18"/>
      <c r="H783" s="18"/>
      <c r="I783" s="18"/>
      <c r="J783" s="18"/>
      <c r="K783" s="6">
        <f t="shared" si="16"/>
        <v>0</v>
      </c>
    </row>
    <row r="784" spans="1:11" x14ac:dyDescent="0.25">
      <c r="A784" s="4"/>
      <c r="B784" s="16"/>
      <c r="C784" s="16"/>
      <c r="D784" s="16"/>
      <c r="E784" s="17"/>
      <c r="F784" s="18"/>
      <c r="G784" s="18"/>
      <c r="H784" s="18"/>
      <c r="I784" s="18"/>
      <c r="J784" s="18"/>
      <c r="K784" s="6">
        <f t="shared" si="16"/>
        <v>0</v>
      </c>
    </row>
    <row r="785" spans="1:11" x14ac:dyDescent="0.25">
      <c r="A785" s="4"/>
      <c r="B785" s="16"/>
      <c r="C785" s="16"/>
      <c r="D785" s="16"/>
      <c r="E785" s="17"/>
      <c r="F785" s="18"/>
      <c r="G785" s="18"/>
      <c r="H785" s="18"/>
      <c r="I785" s="18"/>
      <c r="J785" s="18"/>
      <c r="K785" s="6">
        <f t="shared" si="16"/>
        <v>0</v>
      </c>
    </row>
    <row r="786" spans="1:11" x14ac:dyDescent="0.25">
      <c r="A786" s="4"/>
      <c r="B786" s="16"/>
      <c r="C786" s="16"/>
      <c r="D786" s="16"/>
      <c r="E786" s="17"/>
      <c r="F786" s="18"/>
      <c r="G786" s="18"/>
      <c r="H786" s="18"/>
      <c r="I786" s="18"/>
      <c r="J786" s="18"/>
      <c r="K786" s="6">
        <f t="shared" si="16"/>
        <v>0</v>
      </c>
    </row>
    <row r="787" spans="1:11" x14ac:dyDescent="0.25">
      <c r="A787" s="4"/>
      <c r="B787" s="16"/>
      <c r="C787" s="16"/>
      <c r="D787" s="16"/>
      <c r="E787" s="17"/>
      <c r="F787" s="18"/>
      <c r="G787" s="18"/>
      <c r="H787" s="18"/>
      <c r="I787" s="18"/>
      <c r="J787" s="18"/>
      <c r="K787" s="6">
        <f t="shared" si="16"/>
        <v>0</v>
      </c>
    </row>
    <row r="788" spans="1:11" x14ac:dyDescent="0.25">
      <c r="A788" s="4"/>
      <c r="B788" s="16"/>
      <c r="C788" s="16"/>
      <c r="D788" s="16"/>
      <c r="E788" s="17"/>
      <c r="F788" s="18"/>
      <c r="G788" s="18"/>
      <c r="H788" s="18"/>
      <c r="I788" s="18"/>
      <c r="J788" s="18"/>
      <c r="K788" s="6">
        <f t="shared" si="16"/>
        <v>0</v>
      </c>
    </row>
    <row r="789" spans="1:11" x14ac:dyDescent="0.25">
      <c r="A789" s="4"/>
      <c r="B789" s="16"/>
      <c r="C789" s="16"/>
      <c r="D789" s="16"/>
      <c r="E789" s="17"/>
      <c r="F789" s="18"/>
      <c r="G789" s="18"/>
      <c r="H789" s="18"/>
      <c r="I789" s="18"/>
      <c r="J789" s="18"/>
      <c r="K789" s="6">
        <f t="shared" si="16"/>
        <v>0</v>
      </c>
    </row>
    <row r="790" spans="1:11" x14ac:dyDescent="0.25">
      <c r="A790" s="4"/>
      <c r="B790" s="16"/>
      <c r="C790" s="16"/>
      <c r="D790" s="16"/>
      <c r="E790" s="17"/>
      <c r="F790" s="18"/>
      <c r="G790" s="18"/>
      <c r="H790" s="18"/>
      <c r="I790" s="18"/>
      <c r="J790" s="18"/>
      <c r="K790" s="6">
        <f t="shared" si="16"/>
        <v>0</v>
      </c>
    </row>
    <row r="791" spans="1:11" x14ac:dyDescent="0.25">
      <c r="A791" s="4"/>
      <c r="B791" s="16"/>
      <c r="C791" s="16"/>
      <c r="D791" s="16"/>
      <c r="E791" s="17"/>
      <c r="F791" s="18"/>
      <c r="G791" s="18"/>
      <c r="H791" s="18"/>
      <c r="I791" s="18"/>
      <c r="J791" s="18"/>
      <c r="K791" s="6">
        <f t="shared" si="16"/>
        <v>0</v>
      </c>
    </row>
    <row r="792" spans="1:11" x14ac:dyDescent="0.25">
      <c r="A792" s="4"/>
      <c r="B792" s="16"/>
      <c r="C792" s="16"/>
      <c r="D792" s="16"/>
      <c r="E792" s="17"/>
      <c r="F792" s="18"/>
      <c r="G792" s="18"/>
      <c r="H792" s="18"/>
      <c r="I792" s="18"/>
      <c r="J792" s="18"/>
      <c r="K792" s="6">
        <f t="shared" si="16"/>
        <v>0</v>
      </c>
    </row>
    <row r="793" spans="1:11" x14ac:dyDescent="0.25">
      <c r="A793" s="4"/>
      <c r="B793" s="16"/>
      <c r="C793" s="16"/>
      <c r="D793" s="16"/>
      <c r="E793" s="17"/>
      <c r="F793" s="18"/>
      <c r="G793" s="18"/>
      <c r="H793" s="18"/>
      <c r="I793" s="18"/>
      <c r="J793" s="18"/>
      <c r="K793" s="6">
        <f t="shared" si="16"/>
        <v>0</v>
      </c>
    </row>
    <row r="794" spans="1:11" x14ac:dyDescent="0.25">
      <c r="A794" s="4"/>
      <c r="B794" s="16"/>
      <c r="C794" s="16"/>
      <c r="D794" s="16"/>
      <c r="E794" s="17"/>
      <c r="F794" s="18"/>
      <c r="G794" s="18"/>
      <c r="H794" s="18"/>
      <c r="I794" s="18"/>
      <c r="J794" s="18"/>
      <c r="K794" s="6">
        <f t="shared" si="16"/>
        <v>0</v>
      </c>
    </row>
    <row r="795" spans="1:11" x14ac:dyDescent="0.25">
      <c r="A795" s="4"/>
      <c r="B795" s="16"/>
      <c r="C795" s="16"/>
      <c r="D795" s="16"/>
      <c r="E795" s="17"/>
      <c r="F795" s="18"/>
      <c r="G795" s="18"/>
      <c r="H795" s="18"/>
      <c r="I795" s="18"/>
      <c r="J795" s="18"/>
      <c r="K795" s="6">
        <f t="shared" si="16"/>
        <v>0</v>
      </c>
    </row>
    <row r="796" spans="1:11" x14ac:dyDescent="0.25">
      <c r="A796" s="4"/>
      <c r="B796" s="16"/>
      <c r="C796" s="16"/>
      <c r="D796" s="16"/>
      <c r="E796" s="17"/>
      <c r="F796" s="18"/>
      <c r="G796" s="18"/>
      <c r="H796" s="18"/>
      <c r="I796" s="18"/>
      <c r="J796" s="18"/>
      <c r="K796" s="6">
        <f t="shared" si="16"/>
        <v>0</v>
      </c>
    </row>
    <row r="797" spans="1:11" x14ac:dyDescent="0.25">
      <c r="A797" s="4"/>
      <c r="B797" s="16"/>
      <c r="C797" s="16"/>
      <c r="D797" s="16"/>
      <c r="E797" s="17"/>
      <c r="F797" s="18"/>
      <c r="G797" s="18"/>
      <c r="H797" s="18"/>
      <c r="I797" s="18"/>
      <c r="J797" s="18"/>
      <c r="K797" s="6">
        <f t="shared" si="16"/>
        <v>0</v>
      </c>
    </row>
    <row r="798" spans="1:11" x14ac:dyDescent="0.25">
      <c r="A798" s="4"/>
      <c r="B798" s="16"/>
      <c r="C798" s="16"/>
      <c r="D798" s="16"/>
      <c r="E798" s="17"/>
      <c r="F798" s="18"/>
      <c r="G798" s="18"/>
      <c r="H798" s="18"/>
      <c r="I798" s="18"/>
      <c r="J798" s="18"/>
      <c r="K798" s="6">
        <f t="shared" si="16"/>
        <v>0</v>
      </c>
    </row>
    <row r="799" spans="1:11" x14ac:dyDescent="0.25">
      <c r="A799" s="4"/>
      <c r="B799" s="16"/>
      <c r="C799" s="16"/>
      <c r="D799" s="16"/>
      <c r="E799" s="17"/>
      <c r="F799" s="18"/>
      <c r="G799" s="18"/>
      <c r="H799" s="18"/>
      <c r="I799" s="18"/>
      <c r="J799" s="18"/>
      <c r="K799" s="6">
        <f t="shared" si="16"/>
        <v>0</v>
      </c>
    </row>
    <row r="800" spans="1:11" x14ac:dyDescent="0.25">
      <c r="A800" s="4"/>
      <c r="B800" s="16"/>
      <c r="C800" s="16"/>
      <c r="D800" s="16"/>
      <c r="E800" s="17"/>
      <c r="F800" s="18"/>
      <c r="G800" s="18"/>
      <c r="H800" s="18"/>
      <c r="I800" s="18"/>
      <c r="J800" s="18"/>
      <c r="K800" s="6">
        <f t="shared" si="16"/>
        <v>0</v>
      </c>
    </row>
    <row r="801" spans="1:11" x14ac:dyDescent="0.25">
      <c r="A801" s="4"/>
      <c r="B801" s="16"/>
      <c r="C801" s="16"/>
      <c r="D801" s="16"/>
      <c r="E801" s="17"/>
      <c r="F801" s="18"/>
      <c r="G801" s="18"/>
      <c r="H801" s="18"/>
      <c r="I801" s="18"/>
      <c r="J801" s="18"/>
      <c r="K801" s="6">
        <f t="shared" si="16"/>
        <v>0</v>
      </c>
    </row>
    <row r="802" spans="1:11" x14ac:dyDescent="0.25">
      <c r="A802" s="4"/>
      <c r="B802" s="16"/>
      <c r="C802" s="16"/>
      <c r="D802" s="16"/>
      <c r="E802" s="17"/>
      <c r="F802" s="18"/>
      <c r="G802" s="18"/>
      <c r="H802" s="18"/>
      <c r="I802" s="18"/>
      <c r="J802" s="18"/>
      <c r="K802" s="6">
        <f t="shared" si="16"/>
        <v>0</v>
      </c>
    </row>
    <row r="803" spans="1:11" x14ac:dyDescent="0.25">
      <c r="A803" s="4"/>
      <c r="B803" s="16"/>
      <c r="C803" s="16"/>
      <c r="D803" s="16"/>
      <c r="E803" s="17"/>
      <c r="F803" s="18"/>
      <c r="G803" s="18"/>
      <c r="H803" s="18"/>
      <c r="I803" s="18"/>
      <c r="J803" s="18"/>
      <c r="K803" s="6">
        <f t="shared" si="16"/>
        <v>0</v>
      </c>
    </row>
    <row r="804" spans="1:11" x14ac:dyDescent="0.25">
      <c r="A804" s="4"/>
      <c r="B804" s="16"/>
      <c r="C804" s="16"/>
      <c r="D804" s="16"/>
      <c r="E804" s="17"/>
      <c r="F804" s="18"/>
      <c r="G804" s="18"/>
      <c r="H804" s="18"/>
      <c r="I804" s="18"/>
      <c r="J804" s="18"/>
      <c r="K804" s="6">
        <f t="shared" si="16"/>
        <v>0</v>
      </c>
    </row>
    <row r="805" spans="1:11" x14ac:dyDescent="0.25">
      <c r="A805" s="4"/>
      <c r="B805" s="16"/>
      <c r="C805" s="16"/>
      <c r="D805" s="16"/>
      <c r="E805" s="17"/>
      <c r="F805" s="18"/>
      <c r="G805" s="18"/>
      <c r="H805" s="18"/>
      <c r="I805" s="18"/>
      <c r="J805" s="18"/>
      <c r="K805" s="6">
        <f t="shared" si="16"/>
        <v>0</v>
      </c>
    </row>
    <row r="806" spans="1:11" x14ac:dyDescent="0.25">
      <c r="A806" s="4"/>
      <c r="B806" s="16"/>
      <c r="C806" s="16"/>
      <c r="D806" s="16"/>
      <c r="E806" s="17"/>
      <c r="F806" s="18"/>
      <c r="G806" s="18"/>
      <c r="H806" s="18"/>
      <c r="I806" s="18"/>
      <c r="J806" s="18"/>
      <c r="K806" s="6">
        <f t="shared" si="16"/>
        <v>0</v>
      </c>
    </row>
    <row r="807" spans="1:11" x14ac:dyDescent="0.25">
      <c r="A807" s="4"/>
      <c r="B807" s="16"/>
      <c r="C807" s="16"/>
      <c r="D807" s="16"/>
      <c r="E807" s="17"/>
      <c r="F807" s="18"/>
      <c r="G807" s="18"/>
      <c r="H807" s="18"/>
      <c r="I807" s="18"/>
      <c r="J807" s="18"/>
      <c r="K807" s="6">
        <f t="shared" si="16"/>
        <v>0</v>
      </c>
    </row>
    <row r="808" spans="1:11" x14ac:dyDescent="0.25">
      <c r="A808" s="4"/>
      <c r="B808" s="16"/>
      <c r="C808" s="16"/>
      <c r="D808" s="16"/>
      <c r="E808" s="17"/>
      <c r="F808" s="18"/>
      <c r="G808" s="18"/>
      <c r="H808" s="18"/>
      <c r="I808" s="18"/>
      <c r="J808" s="18"/>
      <c r="K808" s="6">
        <f t="shared" si="16"/>
        <v>0</v>
      </c>
    </row>
    <row r="809" spans="1:11" x14ac:dyDescent="0.25">
      <c r="A809" s="4"/>
      <c r="B809" s="16"/>
      <c r="C809" s="16"/>
      <c r="D809" s="16"/>
      <c r="E809" s="17"/>
      <c r="F809" s="18"/>
      <c r="G809" s="18"/>
      <c r="H809" s="18"/>
      <c r="I809" s="18"/>
      <c r="J809" s="18"/>
      <c r="K809" s="6">
        <f t="shared" si="16"/>
        <v>0</v>
      </c>
    </row>
    <row r="810" spans="1:11" x14ac:dyDescent="0.25">
      <c r="A810" s="4"/>
      <c r="B810" s="16"/>
      <c r="C810" s="16"/>
      <c r="D810" s="16"/>
      <c r="E810" s="17"/>
      <c r="F810" s="18"/>
      <c r="G810" s="18"/>
      <c r="H810" s="18"/>
      <c r="I810" s="18"/>
      <c r="J810" s="18"/>
      <c r="K810" s="6">
        <f t="shared" si="16"/>
        <v>0</v>
      </c>
    </row>
    <row r="811" spans="1:11" x14ac:dyDescent="0.25">
      <c r="A811" s="4"/>
      <c r="B811" s="16"/>
      <c r="C811" s="16"/>
      <c r="D811" s="16"/>
      <c r="E811" s="17"/>
      <c r="F811" s="18"/>
      <c r="G811" s="18"/>
      <c r="H811" s="18"/>
      <c r="I811" s="18"/>
      <c r="J811" s="18"/>
      <c r="K811" s="6">
        <f t="shared" si="16"/>
        <v>0</v>
      </c>
    </row>
    <row r="812" spans="1:11" x14ac:dyDescent="0.25">
      <c r="A812" s="4"/>
      <c r="B812" s="16"/>
      <c r="C812" s="16"/>
      <c r="D812" s="16"/>
      <c r="E812" s="17"/>
      <c r="F812" s="18"/>
      <c r="G812" s="18"/>
      <c r="H812" s="18"/>
      <c r="I812" s="18"/>
      <c r="J812" s="18"/>
      <c r="K812" s="6">
        <f t="shared" si="16"/>
        <v>0</v>
      </c>
    </row>
    <row r="813" spans="1:11" x14ac:dyDescent="0.25">
      <c r="A813" s="4"/>
      <c r="B813" s="16"/>
      <c r="C813" s="16"/>
      <c r="D813" s="16"/>
      <c r="E813" s="17"/>
      <c r="F813" s="18"/>
      <c r="G813" s="18"/>
      <c r="H813" s="18"/>
      <c r="I813" s="18"/>
      <c r="J813" s="18"/>
      <c r="K813" s="6">
        <f t="shared" si="16"/>
        <v>0</v>
      </c>
    </row>
    <row r="814" spans="1:11" x14ac:dyDescent="0.25">
      <c r="A814" s="4"/>
      <c r="B814" s="16"/>
      <c r="C814" s="16"/>
      <c r="D814" s="16"/>
      <c r="E814" s="17"/>
      <c r="F814" s="18"/>
      <c r="G814" s="18"/>
      <c r="H814" s="18"/>
      <c r="I814" s="18"/>
      <c r="J814" s="18"/>
      <c r="K814" s="6">
        <f t="shared" si="16"/>
        <v>0</v>
      </c>
    </row>
    <row r="815" spans="1:11" x14ac:dyDescent="0.25">
      <c r="A815" s="4"/>
      <c r="B815" s="16"/>
      <c r="C815" s="16"/>
      <c r="D815" s="16"/>
      <c r="E815" s="17"/>
      <c r="F815" s="18"/>
      <c r="G815" s="18"/>
      <c r="H815" s="18"/>
      <c r="I815" s="18"/>
      <c r="J815" s="18"/>
      <c r="K815" s="6">
        <f t="shared" si="16"/>
        <v>0</v>
      </c>
    </row>
    <row r="816" spans="1:11" x14ac:dyDescent="0.25">
      <c r="A816" s="4"/>
      <c r="B816" s="16"/>
      <c r="C816" s="16"/>
      <c r="D816" s="16"/>
      <c r="E816" s="17"/>
      <c r="F816" s="18"/>
      <c r="G816" s="18"/>
      <c r="H816" s="18"/>
      <c r="I816" s="18"/>
      <c r="J816" s="18"/>
      <c r="K816" s="6">
        <f t="shared" si="16"/>
        <v>0</v>
      </c>
    </row>
    <row r="817" spans="1:11" x14ac:dyDescent="0.25">
      <c r="A817" s="4"/>
      <c r="B817" s="16"/>
      <c r="C817" s="16"/>
      <c r="D817" s="16"/>
      <c r="E817" s="17"/>
      <c r="F817" s="18"/>
      <c r="G817" s="18"/>
      <c r="H817" s="18"/>
      <c r="I817" s="18"/>
      <c r="J817" s="18"/>
      <c r="K817" s="6">
        <f t="shared" si="16"/>
        <v>0</v>
      </c>
    </row>
    <row r="818" spans="1:11" x14ac:dyDescent="0.25">
      <c r="A818" s="4"/>
      <c r="B818" s="16"/>
      <c r="C818" s="16"/>
      <c r="D818" s="16"/>
      <c r="E818" s="17"/>
      <c r="F818" s="18"/>
      <c r="G818" s="18"/>
      <c r="H818" s="18"/>
      <c r="I818" s="18"/>
      <c r="J818" s="18"/>
      <c r="K818" s="6">
        <f t="shared" si="16"/>
        <v>0</v>
      </c>
    </row>
    <row r="819" spans="1:11" x14ac:dyDescent="0.25">
      <c r="A819" s="4"/>
      <c r="B819" s="16"/>
      <c r="C819" s="16"/>
      <c r="D819" s="16"/>
      <c r="E819" s="17"/>
      <c r="F819" s="18"/>
      <c r="G819" s="18"/>
      <c r="H819" s="18"/>
      <c r="I819" s="18"/>
      <c r="J819" s="18"/>
      <c r="K819" s="6">
        <f t="shared" si="16"/>
        <v>0</v>
      </c>
    </row>
    <row r="820" spans="1:11" x14ac:dyDescent="0.25">
      <c r="A820" s="4"/>
      <c r="B820" s="16"/>
      <c r="C820" s="16"/>
      <c r="D820" s="16"/>
      <c r="E820" s="17"/>
      <c r="F820" s="18"/>
      <c r="G820" s="18"/>
      <c r="H820" s="18"/>
      <c r="I820" s="18"/>
      <c r="J820" s="18"/>
      <c r="K820" s="6">
        <f t="shared" si="16"/>
        <v>0</v>
      </c>
    </row>
    <row r="821" spans="1:11" x14ac:dyDescent="0.25">
      <c r="A821" s="4"/>
      <c r="B821" s="16"/>
      <c r="C821" s="16"/>
      <c r="D821" s="16"/>
      <c r="E821" s="17"/>
      <c r="F821" s="18"/>
      <c r="G821" s="18"/>
      <c r="H821" s="18"/>
      <c r="I821" s="18"/>
      <c r="J821" s="18"/>
      <c r="K821" s="6">
        <f t="shared" si="16"/>
        <v>0</v>
      </c>
    </row>
    <row r="822" spans="1:11" x14ac:dyDescent="0.25">
      <c r="A822" s="4"/>
      <c r="B822" s="16"/>
      <c r="C822" s="16"/>
      <c r="D822" s="16"/>
      <c r="E822" s="17"/>
      <c r="F822" s="18"/>
      <c r="G822" s="18"/>
      <c r="H822" s="18"/>
      <c r="I822" s="18"/>
      <c r="J822" s="18"/>
      <c r="K822" s="6">
        <f t="shared" si="16"/>
        <v>0</v>
      </c>
    </row>
    <row r="823" spans="1:11" x14ac:dyDescent="0.25">
      <c r="A823" s="4"/>
      <c r="B823" s="16"/>
      <c r="C823" s="16"/>
      <c r="D823" s="16"/>
      <c r="E823" s="17"/>
      <c r="F823" s="18"/>
      <c r="G823" s="18"/>
      <c r="H823" s="18"/>
      <c r="I823" s="18"/>
      <c r="J823" s="18"/>
      <c r="K823" s="6">
        <f t="shared" si="16"/>
        <v>0</v>
      </c>
    </row>
    <row r="824" spans="1:11" x14ac:dyDescent="0.25">
      <c r="A824" s="4"/>
      <c r="B824" s="16"/>
      <c r="C824" s="16"/>
      <c r="D824" s="16"/>
      <c r="E824" s="17"/>
      <c r="F824" s="18"/>
      <c r="G824" s="18"/>
      <c r="H824" s="18"/>
      <c r="I824" s="18"/>
      <c r="J824" s="18"/>
      <c r="K824" s="6">
        <f t="shared" si="16"/>
        <v>0</v>
      </c>
    </row>
    <row r="825" spans="1:11" x14ac:dyDescent="0.25">
      <c r="A825" s="4"/>
      <c r="B825" s="16"/>
      <c r="C825" s="16"/>
      <c r="D825" s="16"/>
      <c r="E825" s="17"/>
      <c r="F825" s="18"/>
      <c r="G825" s="18"/>
      <c r="H825" s="18"/>
      <c r="I825" s="18"/>
      <c r="J825" s="18"/>
      <c r="K825" s="6">
        <f t="shared" si="16"/>
        <v>0</v>
      </c>
    </row>
    <row r="826" spans="1:11" x14ac:dyDescent="0.25">
      <c r="A826" s="4"/>
      <c r="B826" s="16"/>
      <c r="C826" s="16"/>
      <c r="D826" s="16"/>
      <c r="E826" s="17"/>
      <c r="F826" s="18"/>
      <c r="G826" s="18"/>
      <c r="H826" s="18"/>
      <c r="I826" s="18"/>
      <c r="J826" s="18"/>
      <c r="K826" s="6">
        <f t="shared" si="16"/>
        <v>0</v>
      </c>
    </row>
    <row r="827" spans="1:11" x14ac:dyDescent="0.25">
      <c r="A827" s="4"/>
      <c r="B827" s="16"/>
      <c r="C827" s="16"/>
      <c r="D827" s="16"/>
      <c r="E827" s="17"/>
      <c r="F827" s="18"/>
      <c r="G827" s="18"/>
      <c r="H827" s="18"/>
      <c r="I827" s="18"/>
      <c r="J827" s="18"/>
      <c r="K827" s="6">
        <f t="shared" si="16"/>
        <v>0</v>
      </c>
    </row>
    <row r="828" spans="1:11" x14ac:dyDescent="0.25">
      <c r="A828" s="4"/>
      <c r="B828" s="16"/>
      <c r="C828" s="16"/>
      <c r="D828" s="16"/>
      <c r="E828" s="17"/>
      <c r="F828" s="18"/>
      <c r="G828" s="18"/>
      <c r="H828" s="18"/>
      <c r="I828" s="18"/>
      <c r="J828" s="18"/>
      <c r="K828" s="6">
        <f t="shared" si="16"/>
        <v>0</v>
      </c>
    </row>
    <row r="829" spans="1:11" x14ac:dyDescent="0.25">
      <c r="A829" s="4"/>
      <c r="B829" s="16"/>
      <c r="C829" s="16"/>
      <c r="D829" s="16"/>
      <c r="E829" s="17"/>
      <c r="F829" s="18"/>
      <c r="G829" s="18"/>
      <c r="H829" s="18"/>
      <c r="I829" s="18"/>
      <c r="J829" s="18"/>
      <c r="K829" s="6">
        <f t="shared" si="16"/>
        <v>0</v>
      </c>
    </row>
    <row r="830" spans="1:11" x14ac:dyDescent="0.25">
      <c r="A830" s="4"/>
      <c r="B830" s="16"/>
      <c r="C830" s="16"/>
      <c r="D830" s="16"/>
      <c r="E830" s="17"/>
      <c r="F830" s="18"/>
      <c r="G830" s="18"/>
      <c r="H830" s="18"/>
      <c r="I830" s="18"/>
      <c r="J830" s="18"/>
      <c r="K830" s="6">
        <f t="shared" si="16"/>
        <v>0</v>
      </c>
    </row>
    <row r="831" spans="1:11" x14ac:dyDescent="0.25">
      <c r="A831" s="4"/>
      <c r="B831" s="16"/>
      <c r="C831" s="16"/>
      <c r="D831" s="16"/>
      <c r="E831" s="17"/>
      <c r="F831" s="18"/>
      <c r="G831" s="18"/>
      <c r="H831" s="18"/>
      <c r="I831" s="18"/>
      <c r="J831" s="18"/>
      <c r="K831" s="6">
        <f t="shared" si="16"/>
        <v>0</v>
      </c>
    </row>
    <row r="832" spans="1:11" x14ac:dyDescent="0.25">
      <c r="A832" s="4"/>
      <c r="B832" s="16"/>
      <c r="C832" s="16"/>
      <c r="D832" s="16"/>
      <c r="E832" s="17"/>
      <c r="F832" s="18"/>
      <c r="G832" s="18"/>
      <c r="H832" s="18"/>
      <c r="I832" s="18"/>
      <c r="J832" s="18"/>
      <c r="K832" s="6">
        <f t="shared" si="16"/>
        <v>0</v>
      </c>
    </row>
    <row r="833" spans="1:11" x14ac:dyDescent="0.25">
      <c r="A833" s="4"/>
      <c r="B833" s="16"/>
      <c r="C833" s="16"/>
      <c r="D833" s="16"/>
      <c r="E833" s="17"/>
      <c r="F833" s="18"/>
      <c r="G833" s="18"/>
      <c r="H833" s="18"/>
      <c r="I833" s="18"/>
      <c r="J833" s="18"/>
      <c r="K833" s="6">
        <f t="shared" si="16"/>
        <v>0</v>
      </c>
    </row>
    <row r="834" spans="1:11" x14ac:dyDescent="0.25">
      <c r="A834" s="4"/>
      <c r="B834" s="16"/>
      <c r="C834" s="16"/>
      <c r="D834" s="16"/>
      <c r="E834" s="17"/>
      <c r="F834" s="18"/>
      <c r="G834" s="18"/>
      <c r="H834" s="18"/>
      <c r="I834" s="18"/>
      <c r="J834" s="18"/>
      <c r="K834" s="6">
        <f t="shared" si="16"/>
        <v>0</v>
      </c>
    </row>
    <row r="835" spans="1:11" x14ac:dyDescent="0.25">
      <c r="A835" s="4"/>
      <c r="B835" s="16"/>
      <c r="C835" s="16"/>
      <c r="D835" s="16"/>
      <c r="E835" s="17"/>
      <c r="F835" s="18"/>
      <c r="G835" s="18"/>
      <c r="H835" s="18"/>
      <c r="I835" s="18"/>
      <c r="J835" s="18"/>
      <c r="K835" s="6">
        <f t="shared" si="16"/>
        <v>0</v>
      </c>
    </row>
    <row r="836" spans="1:11" x14ac:dyDescent="0.25">
      <c r="A836" s="4"/>
      <c r="B836" s="16"/>
      <c r="C836" s="16"/>
      <c r="D836" s="16"/>
      <c r="E836" s="17"/>
      <c r="F836" s="18"/>
      <c r="G836" s="18"/>
      <c r="H836" s="18"/>
      <c r="I836" s="18"/>
      <c r="J836" s="18"/>
      <c r="K836" s="6">
        <f t="shared" si="16"/>
        <v>0</v>
      </c>
    </row>
    <row r="837" spans="1:11" x14ac:dyDescent="0.25">
      <c r="A837" s="4"/>
      <c r="B837" s="16"/>
      <c r="C837" s="16"/>
      <c r="D837" s="16"/>
      <c r="E837" s="17"/>
      <c r="F837" s="18"/>
      <c r="G837" s="18"/>
      <c r="H837" s="18"/>
      <c r="I837" s="18"/>
      <c r="J837" s="18"/>
      <c r="K837" s="6">
        <f t="shared" si="16"/>
        <v>0</v>
      </c>
    </row>
    <row r="838" spans="1:11" x14ac:dyDescent="0.25">
      <c r="A838" s="4"/>
      <c r="B838" s="16"/>
      <c r="C838" s="16"/>
      <c r="D838" s="16"/>
      <c r="E838" s="17"/>
      <c r="F838" s="18"/>
      <c r="G838" s="18"/>
      <c r="H838" s="18"/>
      <c r="I838" s="18"/>
      <c r="J838" s="18"/>
      <c r="K838" s="6">
        <f t="shared" si="16"/>
        <v>0</v>
      </c>
    </row>
    <row r="839" spans="1:11" x14ac:dyDescent="0.25">
      <c r="A839" s="4"/>
      <c r="B839" s="16"/>
      <c r="C839" s="16"/>
      <c r="D839" s="16"/>
      <c r="E839" s="17"/>
      <c r="F839" s="18"/>
      <c r="G839" s="18"/>
      <c r="H839" s="18"/>
      <c r="I839" s="18"/>
      <c r="J839" s="18"/>
      <c r="K839" s="6">
        <f t="shared" si="16"/>
        <v>0</v>
      </c>
    </row>
    <row r="840" spans="1:11" x14ac:dyDescent="0.25">
      <c r="A840" s="4"/>
      <c r="B840" s="16"/>
      <c r="C840" s="16"/>
      <c r="D840" s="16"/>
      <c r="E840" s="17"/>
      <c r="F840" s="18"/>
      <c r="G840" s="18"/>
      <c r="H840" s="18"/>
      <c r="I840" s="18"/>
      <c r="J840" s="18"/>
      <c r="K840" s="6">
        <f t="shared" si="16"/>
        <v>0</v>
      </c>
    </row>
    <row r="841" spans="1:11" x14ac:dyDescent="0.25">
      <c r="A841" s="4"/>
      <c r="B841" s="16"/>
      <c r="C841" s="16"/>
      <c r="D841" s="16"/>
      <c r="E841" s="17"/>
      <c r="F841" s="18"/>
      <c r="G841" s="18"/>
      <c r="H841" s="18"/>
      <c r="I841" s="18"/>
      <c r="J841" s="18"/>
      <c r="K841" s="6">
        <f>SUM(F841:J841)</f>
        <v>0</v>
      </c>
    </row>
    <row r="842" spans="1:11" x14ac:dyDescent="0.25">
      <c r="A842" s="4"/>
      <c r="B842" s="16"/>
      <c r="C842" s="16"/>
      <c r="D842" s="16"/>
      <c r="E842" s="17"/>
      <c r="F842" s="18"/>
      <c r="G842" s="18"/>
      <c r="H842" s="18"/>
      <c r="I842" s="18"/>
      <c r="J842" s="18"/>
      <c r="K842" s="6">
        <f t="shared" ref="K842:K844" si="17">SUM(F842:J842)</f>
        <v>0</v>
      </c>
    </row>
    <row r="843" spans="1:11" x14ac:dyDescent="0.25">
      <c r="A843" s="4"/>
      <c r="B843" s="16"/>
      <c r="C843" s="16"/>
      <c r="D843" s="16"/>
      <c r="E843" s="17"/>
      <c r="F843" s="18"/>
      <c r="G843" s="18"/>
      <c r="H843" s="18"/>
      <c r="I843" s="18"/>
      <c r="J843" s="18"/>
      <c r="K843" s="6">
        <f t="shared" si="17"/>
        <v>0</v>
      </c>
    </row>
    <row r="844" spans="1:11" x14ac:dyDescent="0.25">
      <c r="A844" s="4"/>
      <c r="B844" s="16"/>
      <c r="C844" s="16"/>
      <c r="D844" s="16"/>
      <c r="E844" s="17"/>
      <c r="F844" s="18"/>
      <c r="G844" s="18"/>
      <c r="H844" s="18"/>
      <c r="I844" s="18"/>
      <c r="J844" s="18"/>
      <c r="K844" s="6">
        <f t="shared" si="17"/>
        <v>0</v>
      </c>
    </row>
  </sheetData>
  <autoFilter ref="A1:K844" xr:uid="{3CB0C295-EF0B-4216-BE01-60E48FEBA8DE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0C57-D6A8-4E6F-B6EB-505E70D7D09C}">
  <dimension ref="A1:K885"/>
  <sheetViews>
    <sheetView zoomScale="85" zoomScaleNormal="85" workbookViewId="0"/>
  </sheetViews>
  <sheetFormatPr baseColWidth="10" defaultRowHeight="15" x14ac:dyDescent="0.25"/>
  <cols>
    <col min="2" max="3" width="8.42578125" customWidth="1"/>
    <col min="4" max="4" width="8.7109375" customWidth="1"/>
    <col min="5" max="5" width="32.5703125" customWidth="1"/>
  </cols>
  <sheetData>
    <row r="1" spans="1:11" ht="36" x14ac:dyDescent="0.25">
      <c r="A1" s="1"/>
      <c r="B1" s="13" t="s">
        <v>0</v>
      </c>
      <c r="C1" s="13" t="s">
        <v>1</v>
      </c>
      <c r="D1" s="13" t="s">
        <v>2</v>
      </c>
      <c r="E1" s="13" t="s">
        <v>3</v>
      </c>
      <c r="F1" s="14" t="s">
        <v>4</v>
      </c>
      <c r="G1" s="14" t="s">
        <v>5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x14ac:dyDescent="0.25">
      <c r="A2" s="4">
        <v>2023</v>
      </c>
      <c r="B2" s="11" t="s">
        <v>288</v>
      </c>
      <c r="C2" s="11" t="s">
        <v>289</v>
      </c>
      <c r="D2" s="11" t="s">
        <v>290</v>
      </c>
      <c r="E2" s="12" t="s">
        <v>291</v>
      </c>
      <c r="F2" s="5"/>
      <c r="G2" s="5">
        <v>0</v>
      </c>
      <c r="H2" s="5">
        <v>551</v>
      </c>
      <c r="I2" s="5">
        <v>32</v>
      </c>
      <c r="J2" s="5">
        <v>120</v>
      </c>
      <c r="K2" s="6">
        <f>SUM(F2:J2)</f>
        <v>703</v>
      </c>
    </row>
    <row r="3" spans="1:11" x14ac:dyDescent="0.25">
      <c r="A3" s="4">
        <v>2023</v>
      </c>
      <c r="B3" s="11" t="s">
        <v>295</v>
      </c>
      <c r="C3" s="11" t="s">
        <v>289</v>
      </c>
      <c r="D3" s="11" t="s">
        <v>290</v>
      </c>
      <c r="E3" s="12" t="s">
        <v>296</v>
      </c>
      <c r="F3" s="5"/>
      <c r="G3" s="5">
        <v>0</v>
      </c>
      <c r="H3" s="5">
        <v>551</v>
      </c>
      <c r="I3" s="5">
        <v>32</v>
      </c>
      <c r="J3" s="5">
        <v>120</v>
      </c>
      <c r="K3" s="6">
        <f t="shared" ref="K3:K49" si="0">SUM(F3:J3)</f>
        <v>703</v>
      </c>
    </row>
    <row r="4" spans="1:11" x14ac:dyDescent="0.25">
      <c r="A4" s="4">
        <v>2023</v>
      </c>
      <c r="B4" s="11" t="s">
        <v>301</v>
      </c>
      <c r="C4" s="11" t="s">
        <v>289</v>
      </c>
      <c r="D4" s="11" t="s">
        <v>290</v>
      </c>
      <c r="E4" s="12" t="s">
        <v>302</v>
      </c>
      <c r="F4" s="5"/>
      <c r="G4" s="5">
        <v>0</v>
      </c>
      <c r="H4" s="5">
        <v>551</v>
      </c>
      <c r="I4" s="5">
        <v>32</v>
      </c>
      <c r="J4" s="5">
        <v>120</v>
      </c>
      <c r="K4" s="6">
        <f t="shared" si="0"/>
        <v>703</v>
      </c>
    </row>
    <row r="5" spans="1:11" x14ac:dyDescent="0.25">
      <c r="A5" s="4">
        <v>2023</v>
      </c>
      <c r="B5" s="11" t="s">
        <v>299</v>
      </c>
      <c r="C5" s="11" t="s">
        <v>289</v>
      </c>
      <c r="D5" s="11" t="s">
        <v>290</v>
      </c>
      <c r="E5" s="12" t="s">
        <v>300</v>
      </c>
      <c r="F5" s="5"/>
      <c r="G5" s="5">
        <v>0</v>
      </c>
      <c r="H5" s="5">
        <v>551</v>
      </c>
      <c r="I5" s="5">
        <v>32</v>
      </c>
      <c r="J5" s="5">
        <v>120</v>
      </c>
      <c r="K5" s="6">
        <f t="shared" si="0"/>
        <v>703</v>
      </c>
    </row>
    <row r="6" spans="1:11" x14ac:dyDescent="0.25">
      <c r="A6" s="4">
        <v>2023</v>
      </c>
      <c r="B6" s="11" t="s">
        <v>297</v>
      </c>
      <c r="C6" s="11" t="s">
        <v>289</v>
      </c>
      <c r="D6" s="11" t="s">
        <v>290</v>
      </c>
      <c r="E6" s="12" t="s">
        <v>298</v>
      </c>
      <c r="F6" s="5"/>
      <c r="G6" s="5">
        <v>0</v>
      </c>
      <c r="H6" s="5">
        <v>551</v>
      </c>
      <c r="I6" s="5">
        <v>32</v>
      </c>
      <c r="J6" s="5">
        <v>120</v>
      </c>
      <c r="K6" s="6">
        <f t="shared" si="0"/>
        <v>703</v>
      </c>
    </row>
    <row r="7" spans="1:11" x14ac:dyDescent="0.25">
      <c r="A7" s="4">
        <v>2023</v>
      </c>
      <c r="B7" s="11" t="s">
        <v>391</v>
      </c>
      <c r="C7" s="11" t="s">
        <v>383</v>
      </c>
      <c r="D7" s="11" t="s">
        <v>384</v>
      </c>
      <c r="E7" s="12" t="s">
        <v>392</v>
      </c>
      <c r="F7" s="5"/>
      <c r="G7" s="5">
        <v>0</v>
      </c>
      <c r="H7" s="5">
        <v>551</v>
      </c>
      <c r="I7" s="5">
        <v>32</v>
      </c>
      <c r="J7" s="5">
        <v>120</v>
      </c>
      <c r="K7" s="6">
        <f t="shared" si="0"/>
        <v>703</v>
      </c>
    </row>
    <row r="8" spans="1:11" x14ac:dyDescent="0.25">
      <c r="A8" s="4">
        <v>2023</v>
      </c>
      <c r="B8" s="11" t="s">
        <v>393</v>
      </c>
      <c r="C8" s="11" t="s">
        <v>383</v>
      </c>
      <c r="D8" s="11" t="s">
        <v>384</v>
      </c>
      <c r="E8" s="12" t="s">
        <v>394</v>
      </c>
      <c r="F8" s="5"/>
      <c r="G8" s="5">
        <v>0</v>
      </c>
      <c r="H8" s="5">
        <v>551</v>
      </c>
      <c r="I8" s="5">
        <v>32</v>
      </c>
      <c r="J8" s="5">
        <v>120</v>
      </c>
      <c r="K8" s="6">
        <f t="shared" si="0"/>
        <v>703</v>
      </c>
    </row>
    <row r="9" spans="1:11" x14ac:dyDescent="0.25">
      <c r="A9" s="4">
        <v>2023</v>
      </c>
      <c r="B9" s="11" t="s">
        <v>387</v>
      </c>
      <c r="C9" s="11" t="s">
        <v>383</v>
      </c>
      <c r="D9" s="11" t="s">
        <v>384</v>
      </c>
      <c r="E9" s="12" t="s">
        <v>388</v>
      </c>
      <c r="F9" s="5"/>
      <c r="G9" s="5">
        <v>0</v>
      </c>
      <c r="H9" s="5">
        <v>551</v>
      </c>
      <c r="I9" s="5">
        <v>32</v>
      </c>
      <c r="J9" s="5">
        <v>120</v>
      </c>
      <c r="K9" s="6">
        <f t="shared" si="0"/>
        <v>703</v>
      </c>
    </row>
    <row r="10" spans="1:11" x14ac:dyDescent="0.25">
      <c r="A10" s="4">
        <v>2023</v>
      </c>
      <c r="B10" s="11" t="s">
        <v>382</v>
      </c>
      <c r="C10" s="11" t="s">
        <v>383</v>
      </c>
      <c r="D10" s="11" t="s">
        <v>384</v>
      </c>
      <c r="E10" s="12" t="s">
        <v>385</v>
      </c>
      <c r="F10" s="5"/>
      <c r="G10" s="5">
        <v>0</v>
      </c>
      <c r="H10" s="5">
        <v>551</v>
      </c>
      <c r="I10" s="5">
        <v>32</v>
      </c>
      <c r="J10" s="5">
        <v>120</v>
      </c>
      <c r="K10" s="6">
        <f t="shared" si="0"/>
        <v>703</v>
      </c>
    </row>
    <row r="11" spans="1:11" x14ac:dyDescent="0.25">
      <c r="A11" s="4">
        <v>2023</v>
      </c>
      <c r="B11" s="11" t="s">
        <v>389</v>
      </c>
      <c r="C11" s="11" t="s">
        <v>383</v>
      </c>
      <c r="D11" s="11" t="s">
        <v>384</v>
      </c>
      <c r="E11" s="12" t="s">
        <v>390</v>
      </c>
      <c r="F11" s="5"/>
      <c r="G11" s="5">
        <v>0</v>
      </c>
      <c r="H11" s="5">
        <v>551</v>
      </c>
      <c r="I11" s="5">
        <v>32</v>
      </c>
      <c r="J11" s="5">
        <v>120</v>
      </c>
      <c r="K11" s="6">
        <f t="shared" si="0"/>
        <v>703</v>
      </c>
    </row>
    <row r="12" spans="1:11" x14ac:dyDescent="0.25">
      <c r="A12" s="4">
        <v>2023</v>
      </c>
      <c r="B12" s="11" t="s">
        <v>337</v>
      </c>
      <c r="C12" s="11" t="s">
        <v>331</v>
      </c>
      <c r="D12" s="11" t="s">
        <v>332</v>
      </c>
      <c r="E12" s="12" t="s">
        <v>338</v>
      </c>
      <c r="F12" s="5"/>
      <c r="G12" s="5">
        <v>0</v>
      </c>
      <c r="H12" s="5">
        <v>551</v>
      </c>
      <c r="I12" s="5">
        <v>32</v>
      </c>
      <c r="J12" s="5">
        <v>120</v>
      </c>
      <c r="K12" s="6">
        <f t="shared" si="0"/>
        <v>703</v>
      </c>
    </row>
    <row r="13" spans="1:11" x14ac:dyDescent="0.25">
      <c r="A13" s="4">
        <v>2023</v>
      </c>
      <c r="B13" s="11" t="s">
        <v>345</v>
      </c>
      <c r="C13" s="11" t="s">
        <v>331</v>
      </c>
      <c r="D13" s="11" t="s">
        <v>332</v>
      </c>
      <c r="E13" s="12" t="s">
        <v>346</v>
      </c>
      <c r="F13" s="5"/>
      <c r="G13" s="5">
        <v>0</v>
      </c>
      <c r="H13" s="5">
        <v>551</v>
      </c>
      <c r="I13" s="5">
        <v>32</v>
      </c>
      <c r="J13" s="5">
        <v>120</v>
      </c>
      <c r="K13" s="6">
        <f t="shared" si="0"/>
        <v>703</v>
      </c>
    </row>
    <row r="14" spans="1:11" x14ac:dyDescent="0.25">
      <c r="A14" s="4">
        <v>2023</v>
      </c>
      <c r="B14" s="11" t="s">
        <v>341</v>
      </c>
      <c r="C14" s="11" t="s">
        <v>331</v>
      </c>
      <c r="D14" s="11" t="s">
        <v>332</v>
      </c>
      <c r="E14" s="12" t="s">
        <v>342</v>
      </c>
      <c r="F14" s="5"/>
      <c r="G14" s="5">
        <v>0</v>
      </c>
      <c r="H14" s="5">
        <v>551</v>
      </c>
      <c r="I14" s="5">
        <v>32</v>
      </c>
      <c r="J14" s="5">
        <v>120</v>
      </c>
      <c r="K14" s="6">
        <f t="shared" si="0"/>
        <v>703</v>
      </c>
    </row>
    <row r="15" spans="1:11" x14ac:dyDescent="0.25">
      <c r="A15" s="4">
        <v>2023</v>
      </c>
      <c r="B15" s="11" t="s">
        <v>343</v>
      </c>
      <c r="C15" s="11" t="s">
        <v>331</v>
      </c>
      <c r="D15" s="11" t="s">
        <v>332</v>
      </c>
      <c r="E15" s="12" t="s">
        <v>344</v>
      </c>
      <c r="F15" s="5"/>
      <c r="G15" s="5">
        <v>0</v>
      </c>
      <c r="H15" s="5">
        <v>551</v>
      </c>
      <c r="I15" s="5">
        <v>32</v>
      </c>
      <c r="J15" s="5">
        <v>120</v>
      </c>
      <c r="K15" s="6">
        <f t="shared" si="0"/>
        <v>703</v>
      </c>
    </row>
    <row r="16" spans="1:11" x14ac:dyDescent="0.25">
      <c r="A16" s="4">
        <v>2023</v>
      </c>
      <c r="B16" s="11" t="s">
        <v>347</v>
      </c>
      <c r="C16" s="11" t="s">
        <v>331</v>
      </c>
      <c r="D16" s="11" t="s">
        <v>332</v>
      </c>
      <c r="E16" s="12" t="s">
        <v>348</v>
      </c>
      <c r="F16" s="5"/>
      <c r="G16" s="5">
        <v>0</v>
      </c>
      <c r="H16" s="5">
        <v>551</v>
      </c>
      <c r="I16" s="5">
        <v>32</v>
      </c>
      <c r="J16" s="5">
        <v>120</v>
      </c>
      <c r="K16" s="6">
        <f t="shared" si="0"/>
        <v>703</v>
      </c>
    </row>
    <row r="17" spans="1:11" x14ac:dyDescent="0.25">
      <c r="A17" s="4">
        <v>2023</v>
      </c>
      <c r="B17" s="11" t="s">
        <v>330</v>
      </c>
      <c r="C17" s="11" t="s">
        <v>331</v>
      </c>
      <c r="D17" s="11" t="s">
        <v>332</v>
      </c>
      <c r="E17" s="12" t="s">
        <v>333</v>
      </c>
      <c r="F17" s="5"/>
      <c r="G17" s="5">
        <v>0</v>
      </c>
      <c r="H17" s="5">
        <v>551</v>
      </c>
      <c r="I17" s="5">
        <v>32</v>
      </c>
      <c r="J17" s="5">
        <v>120</v>
      </c>
      <c r="K17" s="6">
        <f t="shared" si="0"/>
        <v>703</v>
      </c>
    </row>
    <row r="18" spans="1:11" x14ac:dyDescent="0.25">
      <c r="A18" s="4">
        <v>2023</v>
      </c>
      <c r="B18" s="11" t="s">
        <v>335</v>
      </c>
      <c r="C18" s="11" t="s">
        <v>331</v>
      </c>
      <c r="D18" s="11" t="s">
        <v>332</v>
      </c>
      <c r="E18" s="12" t="s">
        <v>336</v>
      </c>
      <c r="F18" s="5"/>
      <c r="G18" s="5">
        <v>0</v>
      </c>
      <c r="H18" s="5">
        <v>551</v>
      </c>
      <c r="I18" s="5">
        <v>32</v>
      </c>
      <c r="J18" s="5">
        <v>120</v>
      </c>
      <c r="K18" s="6">
        <f t="shared" si="0"/>
        <v>703</v>
      </c>
    </row>
    <row r="19" spans="1:11" x14ac:dyDescent="0.25">
      <c r="A19" s="4">
        <v>2023</v>
      </c>
      <c r="B19" s="11" t="s">
        <v>339</v>
      </c>
      <c r="C19" s="11" t="s">
        <v>331</v>
      </c>
      <c r="D19" s="11" t="s">
        <v>332</v>
      </c>
      <c r="E19" s="12" t="s">
        <v>340</v>
      </c>
      <c r="F19" s="5"/>
      <c r="G19" s="5">
        <v>0</v>
      </c>
      <c r="H19" s="5">
        <v>551</v>
      </c>
      <c r="I19" s="5">
        <v>32</v>
      </c>
      <c r="J19" s="5">
        <v>120</v>
      </c>
      <c r="K19" s="6">
        <f t="shared" si="0"/>
        <v>703</v>
      </c>
    </row>
    <row r="20" spans="1:11" x14ac:dyDescent="0.25">
      <c r="A20" s="4">
        <v>2023</v>
      </c>
      <c r="B20" s="11" t="s">
        <v>318</v>
      </c>
      <c r="C20" s="11" t="s">
        <v>304</v>
      </c>
      <c r="D20" s="11" t="s">
        <v>305</v>
      </c>
      <c r="E20" s="12" t="s">
        <v>319</v>
      </c>
      <c r="F20" s="5"/>
      <c r="G20" s="5">
        <v>0</v>
      </c>
      <c r="H20" s="5">
        <v>551</v>
      </c>
      <c r="I20" s="5">
        <v>32</v>
      </c>
      <c r="J20" s="5">
        <v>120</v>
      </c>
      <c r="K20" s="6">
        <f t="shared" si="0"/>
        <v>703</v>
      </c>
    </row>
    <row r="21" spans="1:11" x14ac:dyDescent="0.25">
      <c r="A21" s="4">
        <v>2023</v>
      </c>
      <c r="B21" s="11" t="s">
        <v>312</v>
      </c>
      <c r="C21" s="11" t="s">
        <v>304</v>
      </c>
      <c r="D21" s="11" t="s">
        <v>305</v>
      </c>
      <c r="E21" s="12" t="s">
        <v>313</v>
      </c>
      <c r="F21" s="5"/>
      <c r="G21" s="5">
        <v>0</v>
      </c>
      <c r="H21" s="5">
        <v>551</v>
      </c>
      <c r="I21" s="5">
        <v>32</v>
      </c>
      <c r="J21" s="5">
        <v>120</v>
      </c>
      <c r="K21" s="6">
        <f t="shared" si="0"/>
        <v>703</v>
      </c>
    </row>
    <row r="22" spans="1:11" x14ac:dyDescent="0.25">
      <c r="A22" s="4">
        <v>2023</v>
      </c>
      <c r="B22" s="11" t="s">
        <v>326</v>
      </c>
      <c r="C22" s="11" t="s">
        <v>304</v>
      </c>
      <c r="D22" s="11" t="s">
        <v>305</v>
      </c>
      <c r="E22" s="12" t="s">
        <v>327</v>
      </c>
      <c r="F22" s="5"/>
      <c r="G22" s="5">
        <v>0</v>
      </c>
      <c r="H22" s="5">
        <v>551</v>
      </c>
      <c r="I22" s="5">
        <v>32</v>
      </c>
      <c r="J22" s="5">
        <v>120</v>
      </c>
      <c r="K22" s="6">
        <f t="shared" si="0"/>
        <v>703</v>
      </c>
    </row>
    <row r="23" spans="1:11" x14ac:dyDescent="0.25">
      <c r="A23" s="4">
        <v>2023</v>
      </c>
      <c r="B23" s="11" t="s">
        <v>322</v>
      </c>
      <c r="C23" s="11" t="s">
        <v>304</v>
      </c>
      <c r="D23" s="11" t="s">
        <v>305</v>
      </c>
      <c r="E23" s="12" t="s">
        <v>323</v>
      </c>
      <c r="F23" s="5"/>
      <c r="G23" s="5">
        <v>0</v>
      </c>
      <c r="H23" s="5">
        <v>551</v>
      </c>
      <c r="I23" s="5">
        <v>32</v>
      </c>
      <c r="J23" s="5">
        <v>120</v>
      </c>
      <c r="K23" s="6">
        <f t="shared" si="0"/>
        <v>703</v>
      </c>
    </row>
    <row r="24" spans="1:11" x14ac:dyDescent="0.25">
      <c r="A24" s="4">
        <v>2023</v>
      </c>
      <c r="B24" s="11" t="s">
        <v>324</v>
      </c>
      <c r="C24" s="11" t="s">
        <v>304</v>
      </c>
      <c r="D24" s="11" t="s">
        <v>305</v>
      </c>
      <c r="E24" s="12" t="s">
        <v>325</v>
      </c>
      <c r="F24" s="5"/>
      <c r="G24" s="5">
        <v>0</v>
      </c>
      <c r="H24" s="5">
        <v>551</v>
      </c>
      <c r="I24" s="5">
        <v>32</v>
      </c>
      <c r="J24" s="5">
        <v>120</v>
      </c>
      <c r="K24" s="6">
        <f t="shared" si="0"/>
        <v>703</v>
      </c>
    </row>
    <row r="25" spans="1:11" x14ac:dyDescent="0.25">
      <c r="A25" s="4">
        <v>2023</v>
      </c>
      <c r="B25" s="11" t="s">
        <v>328</v>
      </c>
      <c r="C25" s="11" t="s">
        <v>304</v>
      </c>
      <c r="D25" s="11" t="s">
        <v>305</v>
      </c>
      <c r="E25" s="12" t="s">
        <v>329</v>
      </c>
      <c r="F25" s="5"/>
      <c r="G25" s="5">
        <v>0</v>
      </c>
      <c r="H25" s="5">
        <v>551</v>
      </c>
      <c r="I25" s="5">
        <v>32</v>
      </c>
      <c r="J25" s="5">
        <v>120</v>
      </c>
      <c r="K25" s="6">
        <f t="shared" si="0"/>
        <v>703</v>
      </c>
    </row>
    <row r="26" spans="1:11" x14ac:dyDescent="0.25">
      <c r="A26" s="4">
        <v>2023</v>
      </c>
      <c r="B26" s="11" t="s">
        <v>314</v>
      </c>
      <c r="C26" s="11" t="s">
        <v>304</v>
      </c>
      <c r="D26" s="11" t="s">
        <v>305</v>
      </c>
      <c r="E26" s="12" t="s">
        <v>315</v>
      </c>
      <c r="F26" s="5"/>
      <c r="G26" s="5">
        <v>0</v>
      </c>
      <c r="H26" s="5">
        <v>551</v>
      </c>
      <c r="I26" s="5">
        <v>32</v>
      </c>
      <c r="J26" s="5">
        <v>120</v>
      </c>
      <c r="K26" s="6">
        <f t="shared" si="0"/>
        <v>703</v>
      </c>
    </row>
    <row r="27" spans="1:11" x14ac:dyDescent="0.25">
      <c r="A27" s="4">
        <v>2023</v>
      </c>
      <c r="B27" s="11" t="s">
        <v>316</v>
      </c>
      <c r="C27" s="11" t="s">
        <v>304</v>
      </c>
      <c r="D27" s="11" t="s">
        <v>305</v>
      </c>
      <c r="E27" s="12" t="s">
        <v>317</v>
      </c>
      <c r="F27" s="5"/>
      <c r="G27" s="5">
        <v>0</v>
      </c>
      <c r="H27" s="5">
        <v>551</v>
      </c>
      <c r="I27" s="5">
        <v>32</v>
      </c>
      <c r="J27" s="5">
        <v>120</v>
      </c>
      <c r="K27" s="6">
        <f t="shared" si="0"/>
        <v>703</v>
      </c>
    </row>
    <row r="28" spans="1:11" x14ac:dyDescent="0.25">
      <c r="A28" s="4">
        <v>2023</v>
      </c>
      <c r="B28" s="11" t="s">
        <v>320</v>
      </c>
      <c r="C28" s="11" t="s">
        <v>304</v>
      </c>
      <c r="D28" s="11" t="s">
        <v>305</v>
      </c>
      <c r="E28" s="12" t="s">
        <v>321</v>
      </c>
      <c r="F28" s="5"/>
      <c r="G28" s="5">
        <v>0</v>
      </c>
      <c r="H28" s="5">
        <v>551</v>
      </c>
      <c r="I28" s="5">
        <v>32</v>
      </c>
      <c r="J28" s="5">
        <v>120</v>
      </c>
      <c r="K28" s="6">
        <f t="shared" si="0"/>
        <v>703</v>
      </c>
    </row>
    <row r="29" spans="1:11" x14ac:dyDescent="0.25">
      <c r="A29" s="4">
        <v>2023</v>
      </c>
      <c r="B29" s="11" t="s">
        <v>310</v>
      </c>
      <c r="C29" s="11" t="s">
        <v>304</v>
      </c>
      <c r="D29" s="11" t="s">
        <v>305</v>
      </c>
      <c r="E29" s="12" t="s">
        <v>311</v>
      </c>
      <c r="F29" s="5"/>
      <c r="G29" s="5">
        <v>0</v>
      </c>
      <c r="H29" s="5">
        <v>551</v>
      </c>
      <c r="I29" s="5">
        <v>32</v>
      </c>
      <c r="J29" s="5">
        <v>120</v>
      </c>
      <c r="K29" s="6">
        <f t="shared" si="0"/>
        <v>703</v>
      </c>
    </row>
    <row r="30" spans="1:11" x14ac:dyDescent="0.25">
      <c r="A30" s="4">
        <v>2023</v>
      </c>
      <c r="B30" s="11" t="s">
        <v>308</v>
      </c>
      <c r="C30" s="11" t="s">
        <v>304</v>
      </c>
      <c r="D30" s="11" t="s">
        <v>305</v>
      </c>
      <c r="E30" s="12" t="s">
        <v>309</v>
      </c>
      <c r="F30" s="5"/>
      <c r="G30" s="5">
        <v>0</v>
      </c>
      <c r="H30" s="5">
        <v>551</v>
      </c>
      <c r="I30" s="5">
        <v>32</v>
      </c>
      <c r="J30" s="5">
        <v>120</v>
      </c>
      <c r="K30" s="6">
        <f t="shared" si="0"/>
        <v>703</v>
      </c>
    </row>
    <row r="31" spans="1:11" x14ac:dyDescent="0.25">
      <c r="A31" s="4">
        <v>2023</v>
      </c>
      <c r="B31" s="11" t="s">
        <v>303</v>
      </c>
      <c r="C31" s="11" t="s">
        <v>304</v>
      </c>
      <c r="D31" s="11" t="s">
        <v>305</v>
      </c>
      <c r="E31" s="12" t="s">
        <v>306</v>
      </c>
      <c r="F31" s="5"/>
      <c r="G31" s="5">
        <v>0</v>
      </c>
      <c r="H31" s="5">
        <v>551</v>
      </c>
      <c r="I31" s="5">
        <v>32</v>
      </c>
      <c r="J31" s="5">
        <v>120</v>
      </c>
      <c r="K31" s="6">
        <f t="shared" si="0"/>
        <v>703</v>
      </c>
    </row>
    <row r="32" spans="1:11" x14ac:dyDescent="0.25">
      <c r="A32" s="4">
        <v>2023</v>
      </c>
      <c r="B32" s="11" t="s">
        <v>293</v>
      </c>
      <c r="C32" s="11" t="s">
        <v>289</v>
      </c>
      <c r="D32" s="11" t="s">
        <v>290</v>
      </c>
      <c r="E32" s="12" t="s">
        <v>294</v>
      </c>
      <c r="F32" s="5"/>
      <c r="G32" s="5">
        <v>0</v>
      </c>
      <c r="H32" s="5">
        <v>551</v>
      </c>
      <c r="I32" s="5">
        <v>32</v>
      </c>
      <c r="J32" s="5">
        <v>120</v>
      </c>
      <c r="K32" s="6">
        <f t="shared" si="0"/>
        <v>703</v>
      </c>
    </row>
    <row r="33" spans="1:11" x14ac:dyDescent="0.25">
      <c r="A33" s="4">
        <v>2023</v>
      </c>
      <c r="B33" s="11" t="s">
        <v>378</v>
      </c>
      <c r="C33" s="11" t="s">
        <v>350</v>
      </c>
      <c r="D33" s="11" t="s">
        <v>351</v>
      </c>
      <c r="E33" s="12" t="s">
        <v>379</v>
      </c>
      <c r="F33" s="5"/>
      <c r="G33" s="5">
        <v>0</v>
      </c>
      <c r="H33" s="5">
        <v>551</v>
      </c>
      <c r="I33" s="5">
        <v>32</v>
      </c>
      <c r="J33" s="5">
        <v>120</v>
      </c>
      <c r="K33" s="6">
        <f t="shared" si="0"/>
        <v>703</v>
      </c>
    </row>
    <row r="34" spans="1:11" x14ac:dyDescent="0.25">
      <c r="A34" s="4">
        <v>2023</v>
      </c>
      <c r="B34" s="11" t="s">
        <v>376</v>
      </c>
      <c r="C34" s="11" t="s">
        <v>350</v>
      </c>
      <c r="D34" s="11" t="s">
        <v>351</v>
      </c>
      <c r="E34" s="12" t="s">
        <v>377</v>
      </c>
      <c r="F34" s="5"/>
      <c r="G34" s="5">
        <v>0</v>
      </c>
      <c r="H34" s="5">
        <v>551</v>
      </c>
      <c r="I34" s="5">
        <v>32</v>
      </c>
      <c r="J34" s="5">
        <v>120</v>
      </c>
      <c r="K34" s="6">
        <f t="shared" si="0"/>
        <v>703</v>
      </c>
    </row>
    <row r="35" spans="1:11" x14ac:dyDescent="0.25">
      <c r="A35" s="4">
        <v>2023</v>
      </c>
      <c r="B35" s="11" t="s">
        <v>380</v>
      </c>
      <c r="C35" s="11" t="s">
        <v>350</v>
      </c>
      <c r="D35" s="11" t="s">
        <v>351</v>
      </c>
      <c r="E35" s="12" t="s">
        <v>381</v>
      </c>
      <c r="F35" s="5"/>
      <c r="G35" s="5">
        <v>0</v>
      </c>
      <c r="H35" s="5">
        <v>551</v>
      </c>
      <c r="I35" s="5">
        <v>32</v>
      </c>
      <c r="J35" s="5">
        <v>120</v>
      </c>
      <c r="K35" s="6">
        <f t="shared" si="0"/>
        <v>703</v>
      </c>
    </row>
    <row r="36" spans="1:11" x14ac:dyDescent="0.25">
      <c r="A36" s="4">
        <v>2023</v>
      </c>
      <c r="B36" s="11" t="s">
        <v>360</v>
      </c>
      <c r="C36" s="11" t="s">
        <v>350</v>
      </c>
      <c r="D36" s="11" t="s">
        <v>351</v>
      </c>
      <c r="E36" s="12" t="s">
        <v>361</v>
      </c>
      <c r="F36" s="5"/>
      <c r="G36" s="5">
        <v>0</v>
      </c>
      <c r="H36" s="5">
        <v>551</v>
      </c>
      <c r="I36" s="5">
        <v>32</v>
      </c>
      <c r="J36" s="5">
        <v>120</v>
      </c>
      <c r="K36" s="6">
        <f t="shared" si="0"/>
        <v>703</v>
      </c>
    </row>
    <row r="37" spans="1:11" x14ac:dyDescent="0.25">
      <c r="A37" s="4">
        <v>2023</v>
      </c>
      <c r="B37" s="11" t="s">
        <v>368</v>
      </c>
      <c r="C37" s="11" t="s">
        <v>350</v>
      </c>
      <c r="D37" s="11" t="s">
        <v>351</v>
      </c>
      <c r="E37" s="12" t="s">
        <v>369</v>
      </c>
      <c r="F37" s="5"/>
      <c r="G37" s="5">
        <v>0</v>
      </c>
      <c r="H37" s="5">
        <v>551</v>
      </c>
      <c r="I37" s="5">
        <v>32</v>
      </c>
      <c r="J37" s="5">
        <v>120</v>
      </c>
      <c r="K37" s="6">
        <f t="shared" si="0"/>
        <v>703</v>
      </c>
    </row>
    <row r="38" spans="1:11" x14ac:dyDescent="0.25">
      <c r="A38" s="4">
        <v>2023</v>
      </c>
      <c r="B38" s="11" t="s">
        <v>358</v>
      </c>
      <c r="C38" s="11" t="s">
        <v>350</v>
      </c>
      <c r="D38" s="11" t="s">
        <v>351</v>
      </c>
      <c r="E38" s="12" t="s">
        <v>359</v>
      </c>
      <c r="F38" s="5"/>
      <c r="G38" s="5">
        <v>0</v>
      </c>
      <c r="H38" s="5">
        <v>551</v>
      </c>
      <c r="I38" s="5">
        <v>32</v>
      </c>
      <c r="J38" s="5">
        <v>120</v>
      </c>
      <c r="K38" s="6">
        <f t="shared" si="0"/>
        <v>703</v>
      </c>
    </row>
    <row r="39" spans="1:11" x14ac:dyDescent="0.25">
      <c r="A39" s="4">
        <v>2023</v>
      </c>
      <c r="B39" s="11" t="s">
        <v>362</v>
      </c>
      <c r="C39" s="11" t="s">
        <v>350</v>
      </c>
      <c r="D39" s="11" t="s">
        <v>351</v>
      </c>
      <c r="E39" s="12" t="s">
        <v>363</v>
      </c>
      <c r="F39" s="5"/>
      <c r="G39" s="5">
        <v>0</v>
      </c>
      <c r="H39" s="5">
        <v>551</v>
      </c>
      <c r="I39" s="5">
        <v>32</v>
      </c>
      <c r="J39" s="5">
        <v>120</v>
      </c>
      <c r="K39" s="6">
        <f t="shared" si="0"/>
        <v>703</v>
      </c>
    </row>
    <row r="40" spans="1:11" x14ac:dyDescent="0.25">
      <c r="A40" s="4">
        <v>2023</v>
      </c>
      <c r="B40" s="11" t="s">
        <v>374</v>
      </c>
      <c r="C40" s="11" t="s">
        <v>350</v>
      </c>
      <c r="D40" s="11" t="s">
        <v>351</v>
      </c>
      <c r="E40" s="12" t="s">
        <v>375</v>
      </c>
      <c r="F40" s="5"/>
      <c r="G40" s="5">
        <v>0</v>
      </c>
      <c r="H40" s="5">
        <v>551</v>
      </c>
      <c r="I40" s="5">
        <v>32</v>
      </c>
      <c r="J40" s="5">
        <v>120</v>
      </c>
      <c r="K40" s="6">
        <f t="shared" si="0"/>
        <v>703</v>
      </c>
    </row>
    <row r="41" spans="1:11" x14ac:dyDescent="0.25">
      <c r="A41" s="4">
        <v>2023</v>
      </c>
      <c r="B41" s="11" t="s">
        <v>364</v>
      </c>
      <c r="C41" s="11" t="s">
        <v>350</v>
      </c>
      <c r="D41" s="11" t="s">
        <v>351</v>
      </c>
      <c r="E41" s="12" t="s">
        <v>365</v>
      </c>
      <c r="F41" s="5"/>
      <c r="G41" s="5">
        <v>0</v>
      </c>
      <c r="H41" s="5">
        <v>551</v>
      </c>
      <c r="I41" s="5">
        <v>32</v>
      </c>
      <c r="J41" s="5">
        <v>120</v>
      </c>
      <c r="K41" s="6">
        <f t="shared" si="0"/>
        <v>703</v>
      </c>
    </row>
    <row r="42" spans="1:11" x14ac:dyDescent="0.25">
      <c r="A42" s="4">
        <v>2023</v>
      </c>
      <c r="B42" s="11" t="s">
        <v>366</v>
      </c>
      <c r="C42" s="11" t="s">
        <v>350</v>
      </c>
      <c r="D42" s="11" t="s">
        <v>351</v>
      </c>
      <c r="E42" s="12" t="s">
        <v>367</v>
      </c>
      <c r="F42" s="5"/>
      <c r="G42" s="5">
        <v>0</v>
      </c>
      <c r="H42" s="5">
        <v>551</v>
      </c>
      <c r="I42" s="5">
        <v>32</v>
      </c>
      <c r="J42" s="5">
        <v>120</v>
      </c>
      <c r="K42" s="6">
        <f t="shared" si="0"/>
        <v>703</v>
      </c>
    </row>
    <row r="43" spans="1:11" x14ac:dyDescent="0.25">
      <c r="A43" s="4">
        <v>2023</v>
      </c>
      <c r="B43" s="11" t="s">
        <v>372</v>
      </c>
      <c r="C43" s="11" t="s">
        <v>350</v>
      </c>
      <c r="D43" s="11" t="s">
        <v>351</v>
      </c>
      <c r="E43" s="12" t="s">
        <v>373</v>
      </c>
      <c r="F43" s="5"/>
      <c r="G43" s="5">
        <v>0</v>
      </c>
      <c r="H43" s="5">
        <v>551</v>
      </c>
      <c r="I43" s="5">
        <v>32</v>
      </c>
      <c r="J43" s="5">
        <v>120</v>
      </c>
      <c r="K43" s="6">
        <f t="shared" si="0"/>
        <v>703</v>
      </c>
    </row>
    <row r="44" spans="1:11" x14ac:dyDescent="0.25">
      <c r="A44" s="4">
        <v>2023</v>
      </c>
      <c r="B44" s="11" t="s">
        <v>370</v>
      </c>
      <c r="C44" s="11" t="s">
        <v>350</v>
      </c>
      <c r="D44" s="11" t="s">
        <v>351</v>
      </c>
      <c r="E44" s="12" t="s">
        <v>371</v>
      </c>
      <c r="F44" s="5"/>
      <c r="G44" s="5">
        <v>0</v>
      </c>
      <c r="H44" s="5">
        <v>551</v>
      </c>
      <c r="I44" s="5">
        <v>32</v>
      </c>
      <c r="J44" s="5">
        <v>120</v>
      </c>
      <c r="K44" s="6">
        <f t="shared" si="0"/>
        <v>703</v>
      </c>
    </row>
    <row r="45" spans="1:11" x14ac:dyDescent="0.25">
      <c r="A45" s="4">
        <v>2023</v>
      </c>
      <c r="B45" s="11" t="s">
        <v>356</v>
      </c>
      <c r="C45" s="11" t="s">
        <v>350</v>
      </c>
      <c r="D45" s="11" t="s">
        <v>351</v>
      </c>
      <c r="E45" s="12" t="s">
        <v>357</v>
      </c>
      <c r="F45" s="5"/>
      <c r="G45" s="5">
        <v>0</v>
      </c>
      <c r="H45" s="5">
        <v>551</v>
      </c>
      <c r="I45" s="5">
        <v>32</v>
      </c>
      <c r="J45" s="5">
        <v>120</v>
      </c>
      <c r="K45" s="6">
        <f t="shared" si="0"/>
        <v>703</v>
      </c>
    </row>
    <row r="46" spans="1:11" x14ac:dyDescent="0.25">
      <c r="A46" s="4">
        <v>2023</v>
      </c>
      <c r="B46" s="11" t="s">
        <v>354</v>
      </c>
      <c r="C46" s="11" t="s">
        <v>350</v>
      </c>
      <c r="D46" s="11" t="s">
        <v>351</v>
      </c>
      <c r="E46" s="12" t="s">
        <v>355</v>
      </c>
      <c r="F46" s="5"/>
      <c r="G46" s="5">
        <v>0</v>
      </c>
      <c r="H46" s="5">
        <v>551</v>
      </c>
      <c r="I46" s="5">
        <v>32</v>
      </c>
      <c r="J46" s="5">
        <v>120</v>
      </c>
      <c r="K46" s="6">
        <f t="shared" si="0"/>
        <v>703</v>
      </c>
    </row>
    <row r="47" spans="1:11" x14ac:dyDescent="0.25">
      <c r="A47" s="4">
        <v>2023</v>
      </c>
      <c r="B47" s="11" t="s">
        <v>349</v>
      </c>
      <c r="C47" s="11" t="s">
        <v>350</v>
      </c>
      <c r="D47" s="11" t="s">
        <v>351</v>
      </c>
      <c r="E47" s="12" t="s">
        <v>352</v>
      </c>
      <c r="F47" s="5"/>
      <c r="G47" s="5">
        <v>0</v>
      </c>
      <c r="H47" s="5">
        <v>551</v>
      </c>
      <c r="I47" s="5">
        <v>32</v>
      </c>
      <c r="J47" s="5">
        <v>120</v>
      </c>
      <c r="K47" s="6">
        <f t="shared" si="0"/>
        <v>703</v>
      </c>
    </row>
    <row r="48" spans="1:11" x14ac:dyDescent="0.25">
      <c r="A48" s="4">
        <v>2023</v>
      </c>
      <c r="B48" s="11" t="s">
        <v>399</v>
      </c>
      <c r="C48" s="11" t="s">
        <v>400</v>
      </c>
      <c r="D48" s="11" t="s">
        <v>401</v>
      </c>
      <c r="E48" s="12" t="s">
        <v>402</v>
      </c>
      <c r="F48" s="5"/>
      <c r="G48" s="5">
        <v>0</v>
      </c>
      <c r="H48" s="5">
        <v>551</v>
      </c>
      <c r="I48" s="5">
        <v>32</v>
      </c>
      <c r="J48" s="5">
        <v>120</v>
      </c>
      <c r="K48" s="6">
        <f t="shared" si="0"/>
        <v>703</v>
      </c>
    </row>
    <row r="49" spans="1:11" x14ac:dyDescent="0.25">
      <c r="A49" s="4">
        <v>2023</v>
      </c>
      <c r="B49" s="11" t="s">
        <v>395</v>
      </c>
      <c r="C49" s="11" t="s">
        <v>396</v>
      </c>
      <c r="D49" s="11" t="s">
        <v>397</v>
      </c>
      <c r="E49" s="12" t="s">
        <v>398</v>
      </c>
      <c r="F49" s="5"/>
      <c r="G49" s="5">
        <v>0</v>
      </c>
      <c r="H49" s="5">
        <v>551</v>
      </c>
      <c r="I49" s="5">
        <v>32</v>
      </c>
      <c r="J49" s="5">
        <v>120</v>
      </c>
      <c r="K49" s="6">
        <f t="shared" si="0"/>
        <v>703</v>
      </c>
    </row>
    <row r="50" spans="1:11" x14ac:dyDescent="0.25">
      <c r="A50" s="7">
        <v>2022</v>
      </c>
      <c r="B50" s="33" t="s">
        <v>288</v>
      </c>
      <c r="C50" s="33" t="s">
        <v>289</v>
      </c>
      <c r="D50" s="33" t="s">
        <v>290</v>
      </c>
      <c r="E50" s="34" t="s">
        <v>291</v>
      </c>
      <c r="F50" s="36"/>
      <c r="G50" s="36">
        <v>0</v>
      </c>
      <c r="H50" s="36">
        <v>551</v>
      </c>
      <c r="I50" s="36">
        <v>32</v>
      </c>
      <c r="J50" s="36">
        <v>120</v>
      </c>
      <c r="K50" s="6">
        <f>SUM(F50:J50)</f>
        <v>703</v>
      </c>
    </row>
    <row r="51" spans="1:11" x14ac:dyDescent="0.25">
      <c r="A51" s="7">
        <v>2022</v>
      </c>
      <c r="B51" s="33" t="s">
        <v>295</v>
      </c>
      <c r="C51" s="33" t="s">
        <v>289</v>
      </c>
      <c r="D51" s="33" t="s">
        <v>290</v>
      </c>
      <c r="E51" s="34" t="s">
        <v>296</v>
      </c>
      <c r="F51" s="36"/>
      <c r="G51" s="36">
        <v>0</v>
      </c>
      <c r="H51" s="36">
        <v>551</v>
      </c>
      <c r="I51" s="36">
        <v>32</v>
      </c>
      <c r="J51" s="36">
        <v>120</v>
      </c>
      <c r="K51" s="6">
        <f t="shared" ref="K51:K97" si="1">SUM(F51:J51)</f>
        <v>703</v>
      </c>
    </row>
    <row r="52" spans="1:11" x14ac:dyDescent="0.25">
      <c r="A52" s="7">
        <v>2022</v>
      </c>
      <c r="B52" s="33" t="s">
        <v>301</v>
      </c>
      <c r="C52" s="33" t="s">
        <v>289</v>
      </c>
      <c r="D52" s="33" t="s">
        <v>290</v>
      </c>
      <c r="E52" s="34" t="s">
        <v>302</v>
      </c>
      <c r="F52" s="36"/>
      <c r="G52" s="36">
        <v>0</v>
      </c>
      <c r="H52" s="36">
        <v>551</v>
      </c>
      <c r="I52" s="36">
        <v>32</v>
      </c>
      <c r="J52" s="36">
        <v>120</v>
      </c>
      <c r="K52" s="6">
        <f t="shared" si="1"/>
        <v>703</v>
      </c>
    </row>
    <row r="53" spans="1:11" x14ac:dyDescent="0.25">
      <c r="A53" s="7">
        <v>2022</v>
      </c>
      <c r="B53" s="33" t="s">
        <v>299</v>
      </c>
      <c r="C53" s="33" t="s">
        <v>289</v>
      </c>
      <c r="D53" s="33" t="s">
        <v>290</v>
      </c>
      <c r="E53" s="34" t="s">
        <v>300</v>
      </c>
      <c r="F53" s="36"/>
      <c r="G53" s="36">
        <v>0</v>
      </c>
      <c r="H53" s="36">
        <v>551</v>
      </c>
      <c r="I53" s="36">
        <v>32</v>
      </c>
      <c r="J53" s="36">
        <v>120</v>
      </c>
      <c r="K53" s="6">
        <f t="shared" si="1"/>
        <v>703</v>
      </c>
    </row>
    <row r="54" spans="1:11" x14ac:dyDescent="0.25">
      <c r="A54" s="7">
        <v>2022</v>
      </c>
      <c r="B54" s="33" t="s">
        <v>297</v>
      </c>
      <c r="C54" s="33" t="s">
        <v>289</v>
      </c>
      <c r="D54" s="33" t="s">
        <v>290</v>
      </c>
      <c r="E54" s="34" t="s">
        <v>298</v>
      </c>
      <c r="F54" s="36"/>
      <c r="G54" s="36">
        <v>0</v>
      </c>
      <c r="H54" s="36">
        <v>551</v>
      </c>
      <c r="I54" s="36">
        <v>32</v>
      </c>
      <c r="J54" s="36">
        <v>120</v>
      </c>
      <c r="K54" s="6">
        <f t="shared" si="1"/>
        <v>703</v>
      </c>
    </row>
    <row r="55" spans="1:11" x14ac:dyDescent="0.25">
      <c r="A55" s="7">
        <v>2022</v>
      </c>
      <c r="B55" s="33" t="s">
        <v>391</v>
      </c>
      <c r="C55" s="33" t="s">
        <v>383</v>
      </c>
      <c r="D55" s="33" t="s">
        <v>384</v>
      </c>
      <c r="E55" s="34" t="s">
        <v>392</v>
      </c>
      <c r="F55" s="36"/>
      <c r="G55" s="36">
        <v>0</v>
      </c>
      <c r="H55" s="36">
        <v>551</v>
      </c>
      <c r="I55" s="36">
        <v>32</v>
      </c>
      <c r="J55" s="36">
        <v>120</v>
      </c>
      <c r="K55" s="6">
        <f t="shared" si="1"/>
        <v>703</v>
      </c>
    </row>
    <row r="56" spans="1:11" x14ac:dyDescent="0.25">
      <c r="A56" s="7">
        <v>2022</v>
      </c>
      <c r="B56" s="33" t="s">
        <v>393</v>
      </c>
      <c r="C56" s="33" t="s">
        <v>383</v>
      </c>
      <c r="D56" s="33" t="s">
        <v>384</v>
      </c>
      <c r="E56" s="34" t="s">
        <v>394</v>
      </c>
      <c r="F56" s="36"/>
      <c r="G56" s="36">
        <v>0</v>
      </c>
      <c r="H56" s="36">
        <v>551</v>
      </c>
      <c r="I56" s="36">
        <v>32</v>
      </c>
      <c r="J56" s="36">
        <v>120</v>
      </c>
      <c r="K56" s="6">
        <f t="shared" si="1"/>
        <v>703</v>
      </c>
    </row>
    <row r="57" spans="1:11" x14ac:dyDescent="0.25">
      <c r="A57" s="7">
        <v>2022</v>
      </c>
      <c r="B57" s="33" t="s">
        <v>387</v>
      </c>
      <c r="C57" s="33" t="s">
        <v>383</v>
      </c>
      <c r="D57" s="33" t="s">
        <v>384</v>
      </c>
      <c r="E57" s="34" t="s">
        <v>388</v>
      </c>
      <c r="F57" s="36"/>
      <c r="G57" s="36">
        <v>0</v>
      </c>
      <c r="H57" s="36">
        <v>551</v>
      </c>
      <c r="I57" s="36">
        <v>32</v>
      </c>
      <c r="J57" s="36">
        <v>120</v>
      </c>
      <c r="K57" s="6">
        <f t="shared" si="1"/>
        <v>703</v>
      </c>
    </row>
    <row r="58" spans="1:11" x14ac:dyDescent="0.25">
      <c r="A58" s="7">
        <v>2022</v>
      </c>
      <c r="B58" s="33" t="s">
        <v>382</v>
      </c>
      <c r="C58" s="33" t="s">
        <v>383</v>
      </c>
      <c r="D58" s="33" t="s">
        <v>384</v>
      </c>
      <c r="E58" s="34" t="s">
        <v>385</v>
      </c>
      <c r="F58" s="36"/>
      <c r="G58" s="36">
        <v>0</v>
      </c>
      <c r="H58" s="36">
        <v>551</v>
      </c>
      <c r="I58" s="36">
        <v>32</v>
      </c>
      <c r="J58" s="36">
        <v>120</v>
      </c>
      <c r="K58" s="6">
        <f t="shared" si="1"/>
        <v>703</v>
      </c>
    </row>
    <row r="59" spans="1:11" x14ac:dyDescent="0.25">
      <c r="A59" s="7">
        <v>2022</v>
      </c>
      <c r="B59" s="33" t="s">
        <v>389</v>
      </c>
      <c r="C59" s="33" t="s">
        <v>383</v>
      </c>
      <c r="D59" s="33" t="s">
        <v>384</v>
      </c>
      <c r="E59" s="34" t="s">
        <v>390</v>
      </c>
      <c r="F59" s="36"/>
      <c r="G59" s="36">
        <v>0</v>
      </c>
      <c r="H59" s="36">
        <v>551</v>
      </c>
      <c r="I59" s="36">
        <v>32</v>
      </c>
      <c r="J59" s="36">
        <v>120</v>
      </c>
      <c r="K59" s="6">
        <f t="shared" si="1"/>
        <v>703</v>
      </c>
    </row>
    <row r="60" spans="1:11" x14ac:dyDescent="0.25">
      <c r="A60" s="7">
        <v>2022</v>
      </c>
      <c r="B60" s="33" t="s">
        <v>337</v>
      </c>
      <c r="C60" s="33" t="s">
        <v>331</v>
      </c>
      <c r="D60" s="33" t="s">
        <v>332</v>
      </c>
      <c r="E60" s="34" t="s">
        <v>338</v>
      </c>
      <c r="F60" s="36"/>
      <c r="G60" s="36">
        <v>0</v>
      </c>
      <c r="H60" s="36">
        <v>551</v>
      </c>
      <c r="I60" s="36">
        <v>32</v>
      </c>
      <c r="J60" s="36">
        <v>120</v>
      </c>
      <c r="K60" s="6">
        <f t="shared" si="1"/>
        <v>703</v>
      </c>
    </row>
    <row r="61" spans="1:11" x14ac:dyDescent="0.25">
      <c r="A61" s="7">
        <v>2022</v>
      </c>
      <c r="B61" s="33" t="s">
        <v>345</v>
      </c>
      <c r="C61" s="33" t="s">
        <v>331</v>
      </c>
      <c r="D61" s="33" t="s">
        <v>332</v>
      </c>
      <c r="E61" s="34" t="s">
        <v>346</v>
      </c>
      <c r="F61" s="36"/>
      <c r="G61" s="36">
        <v>0</v>
      </c>
      <c r="H61" s="36">
        <v>551</v>
      </c>
      <c r="I61" s="36">
        <v>32</v>
      </c>
      <c r="J61" s="36">
        <v>120</v>
      </c>
      <c r="K61" s="6">
        <f t="shared" si="1"/>
        <v>703</v>
      </c>
    </row>
    <row r="62" spans="1:11" x14ac:dyDescent="0.25">
      <c r="A62" s="7">
        <v>2022</v>
      </c>
      <c r="B62" s="33" t="s">
        <v>341</v>
      </c>
      <c r="C62" s="33" t="s">
        <v>331</v>
      </c>
      <c r="D62" s="33" t="s">
        <v>332</v>
      </c>
      <c r="E62" s="34" t="s">
        <v>342</v>
      </c>
      <c r="F62" s="36"/>
      <c r="G62" s="36">
        <v>0</v>
      </c>
      <c r="H62" s="36">
        <v>551</v>
      </c>
      <c r="I62" s="36">
        <v>32</v>
      </c>
      <c r="J62" s="36">
        <v>120</v>
      </c>
      <c r="K62" s="6">
        <f t="shared" si="1"/>
        <v>703</v>
      </c>
    </row>
    <row r="63" spans="1:11" x14ac:dyDescent="0.25">
      <c r="A63" s="7">
        <v>2022</v>
      </c>
      <c r="B63" s="33" t="s">
        <v>343</v>
      </c>
      <c r="C63" s="33" t="s">
        <v>331</v>
      </c>
      <c r="D63" s="33" t="s">
        <v>332</v>
      </c>
      <c r="E63" s="34" t="s">
        <v>344</v>
      </c>
      <c r="F63" s="36"/>
      <c r="G63" s="36">
        <v>0</v>
      </c>
      <c r="H63" s="36">
        <v>551</v>
      </c>
      <c r="I63" s="36">
        <v>32</v>
      </c>
      <c r="J63" s="36">
        <v>120</v>
      </c>
      <c r="K63" s="6">
        <f t="shared" si="1"/>
        <v>703</v>
      </c>
    </row>
    <row r="64" spans="1:11" x14ac:dyDescent="0.25">
      <c r="A64" s="7">
        <v>2022</v>
      </c>
      <c r="B64" s="33" t="s">
        <v>347</v>
      </c>
      <c r="C64" s="33" t="s">
        <v>331</v>
      </c>
      <c r="D64" s="33" t="s">
        <v>332</v>
      </c>
      <c r="E64" s="34" t="s">
        <v>348</v>
      </c>
      <c r="F64" s="36"/>
      <c r="G64" s="36">
        <v>0</v>
      </c>
      <c r="H64" s="36">
        <v>551</v>
      </c>
      <c r="I64" s="36">
        <v>32</v>
      </c>
      <c r="J64" s="36">
        <v>120</v>
      </c>
      <c r="K64" s="6">
        <f t="shared" si="1"/>
        <v>703</v>
      </c>
    </row>
    <row r="65" spans="1:11" x14ac:dyDescent="0.25">
      <c r="A65" s="7">
        <v>2022</v>
      </c>
      <c r="B65" s="33" t="s">
        <v>330</v>
      </c>
      <c r="C65" s="33" t="s">
        <v>331</v>
      </c>
      <c r="D65" s="33" t="s">
        <v>332</v>
      </c>
      <c r="E65" s="34" t="s">
        <v>333</v>
      </c>
      <c r="F65" s="36"/>
      <c r="G65" s="36">
        <v>0</v>
      </c>
      <c r="H65" s="36">
        <v>551</v>
      </c>
      <c r="I65" s="36">
        <v>32</v>
      </c>
      <c r="J65" s="36">
        <v>120</v>
      </c>
      <c r="K65" s="6">
        <f t="shared" si="1"/>
        <v>703</v>
      </c>
    </row>
    <row r="66" spans="1:11" x14ac:dyDescent="0.25">
      <c r="A66" s="7">
        <v>2022</v>
      </c>
      <c r="B66" s="33" t="s">
        <v>335</v>
      </c>
      <c r="C66" s="33" t="s">
        <v>331</v>
      </c>
      <c r="D66" s="33" t="s">
        <v>332</v>
      </c>
      <c r="E66" s="34" t="s">
        <v>336</v>
      </c>
      <c r="F66" s="36"/>
      <c r="G66" s="36">
        <v>0</v>
      </c>
      <c r="H66" s="36">
        <v>551</v>
      </c>
      <c r="I66" s="36">
        <v>32</v>
      </c>
      <c r="J66" s="36">
        <v>120</v>
      </c>
      <c r="K66" s="6">
        <f t="shared" si="1"/>
        <v>703</v>
      </c>
    </row>
    <row r="67" spans="1:11" x14ac:dyDescent="0.25">
      <c r="A67" s="7">
        <v>2022</v>
      </c>
      <c r="B67" s="33" t="s">
        <v>339</v>
      </c>
      <c r="C67" s="33" t="s">
        <v>331</v>
      </c>
      <c r="D67" s="33" t="s">
        <v>332</v>
      </c>
      <c r="E67" s="34" t="s">
        <v>340</v>
      </c>
      <c r="F67" s="36"/>
      <c r="G67" s="36">
        <v>0</v>
      </c>
      <c r="H67" s="36">
        <v>551</v>
      </c>
      <c r="I67" s="36">
        <v>32</v>
      </c>
      <c r="J67" s="36">
        <v>120</v>
      </c>
      <c r="K67" s="6">
        <f t="shared" si="1"/>
        <v>703</v>
      </c>
    </row>
    <row r="68" spans="1:11" x14ac:dyDescent="0.25">
      <c r="A68" s="7">
        <v>2022</v>
      </c>
      <c r="B68" s="33" t="s">
        <v>318</v>
      </c>
      <c r="C68" s="33" t="s">
        <v>304</v>
      </c>
      <c r="D68" s="33" t="s">
        <v>305</v>
      </c>
      <c r="E68" s="34" t="s">
        <v>319</v>
      </c>
      <c r="F68" s="36"/>
      <c r="G68" s="36">
        <v>0</v>
      </c>
      <c r="H68" s="36">
        <v>551</v>
      </c>
      <c r="I68" s="36">
        <v>32</v>
      </c>
      <c r="J68" s="36">
        <v>120</v>
      </c>
      <c r="K68" s="6">
        <f t="shared" si="1"/>
        <v>703</v>
      </c>
    </row>
    <row r="69" spans="1:11" x14ac:dyDescent="0.25">
      <c r="A69" s="7">
        <v>2022</v>
      </c>
      <c r="B69" s="33" t="s">
        <v>312</v>
      </c>
      <c r="C69" s="33" t="s">
        <v>304</v>
      </c>
      <c r="D69" s="33" t="s">
        <v>305</v>
      </c>
      <c r="E69" s="34" t="s">
        <v>313</v>
      </c>
      <c r="F69" s="36"/>
      <c r="G69" s="36">
        <v>0</v>
      </c>
      <c r="H69" s="36">
        <v>551</v>
      </c>
      <c r="I69" s="36">
        <v>32</v>
      </c>
      <c r="J69" s="36">
        <v>120</v>
      </c>
      <c r="K69" s="6">
        <f t="shared" si="1"/>
        <v>703</v>
      </c>
    </row>
    <row r="70" spans="1:11" x14ac:dyDescent="0.25">
      <c r="A70" s="7">
        <v>2022</v>
      </c>
      <c r="B70" s="33" t="s">
        <v>326</v>
      </c>
      <c r="C70" s="33" t="s">
        <v>304</v>
      </c>
      <c r="D70" s="33" t="s">
        <v>305</v>
      </c>
      <c r="E70" s="34" t="s">
        <v>327</v>
      </c>
      <c r="F70" s="36"/>
      <c r="G70" s="36">
        <v>0</v>
      </c>
      <c r="H70" s="36">
        <v>551</v>
      </c>
      <c r="I70" s="36">
        <v>32</v>
      </c>
      <c r="J70" s="36">
        <v>120</v>
      </c>
      <c r="K70" s="6">
        <f t="shared" si="1"/>
        <v>703</v>
      </c>
    </row>
    <row r="71" spans="1:11" x14ac:dyDescent="0.25">
      <c r="A71" s="7">
        <v>2022</v>
      </c>
      <c r="B71" s="33" t="s">
        <v>322</v>
      </c>
      <c r="C71" s="33" t="s">
        <v>304</v>
      </c>
      <c r="D71" s="33" t="s">
        <v>305</v>
      </c>
      <c r="E71" s="34" t="s">
        <v>323</v>
      </c>
      <c r="F71" s="36"/>
      <c r="G71" s="36">
        <v>0</v>
      </c>
      <c r="H71" s="36">
        <v>551</v>
      </c>
      <c r="I71" s="36">
        <v>32</v>
      </c>
      <c r="J71" s="36">
        <v>120</v>
      </c>
      <c r="K71" s="6">
        <f t="shared" si="1"/>
        <v>703</v>
      </c>
    </row>
    <row r="72" spans="1:11" x14ac:dyDescent="0.25">
      <c r="A72" s="7">
        <v>2022</v>
      </c>
      <c r="B72" s="33" t="s">
        <v>324</v>
      </c>
      <c r="C72" s="33" t="s">
        <v>304</v>
      </c>
      <c r="D72" s="33" t="s">
        <v>305</v>
      </c>
      <c r="E72" s="34" t="s">
        <v>325</v>
      </c>
      <c r="F72" s="36"/>
      <c r="G72" s="36">
        <v>0</v>
      </c>
      <c r="H72" s="36">
        <v>551</v>
      </c>
      <c r="I72" s="36">
        <v>32</v>
      </c>
      <c r="J72" s="36">
        <v>120</v>
      </c>
      <c r="K72" s="6">
        <f t="shared" si="1"/>
        <v>703</v>
      </c>
    </row>
    <row r="73" spans="1:11" x14ac:dyDescent="0.25">
      <c r="A73" s="7">
        <v>2022</v>
      </c>
      <c r="B73" s="33" t="s">
        <v>328</v>
      </c>
      <c r="C73" s="33" t="s">
        <v>304</v>
      </c>
      <c r="D73" s="33" t="s">
        <v>305</v>
      </c>
      <c r="E73" s="34" t="s">
        <v>329</v>
      </c>
      <c r="F73" s="36"/>
      <c r="G73" s="36">
        <v>0</v>
      </c>
      <c r="H73" s="36">
        <v>551</v>
      </c>
      <c r="I73" s="36">
        <v>32</v>
      </c>
      <c r="J73" s="36">
        <v>120</v>
      </c>
      <c r="K73" s="6">
        <f t="shared" si="1"/>
        <v>703</v>
      </c>
    </row>
    <row r="74" spans="1:11" x14ac:dyDescent="0.25">
      <c r="A74" s="7">
        <v>2022</v>
      </c>
      <c r="B74" s="33" t="s">
        <v>314</v>
      </c>
      <c r="C74" s="33" t="s">
        <v>304</v>
      </c>
      <c r="D74" s="33" t="s">
        <v>305</v>
      </c>
      <c r="E74" s="34" t="s">
        <v>315</v>
      </c>
      <c r="F74" s="36"/>
      <c r="G74" s="36">
        <v>0</v>
      </c>
      <c r="H74" s="36">
        <v>551</v>
      </c>
      <c r="I74" s="36">
        <v>32</v>
      </c>
      <c r="J74" s="36">
        <v>120</v>
      </c>
      <c r="K74" s="6">
        <f t="shared" si="1"/>
        <v>703</v>
      </c>
    </row>
    <row r="75" spans="1:11" x14ac:dyDescent="0.25">
      <c r="A75" s="7">
        <v>2022</v>
      </c>
      <c r="B75" s="33" t="s">
        <v>316</v>
      </c>
      <c r="C75" s="33" t="s">
        <v>304</v>
      </c>
      <c r="D75" s="33" t="s">
        <v>305</v>
      </c>
      <c r="E75" s="34" t="s">
        <v>317</v>
      </c>
      <c r="F75" s="36"/>
      <c r="G75" s="36">
        <v>0</v>
      </c>
      <c r="H75" s="36">
        <v>551</v>
      </c>
      <c r="I75" s="36">
        <v>32</v>
      </c>
      <c r="J75" s="36">
        <v>120</v>
      </c>
      <c r="K75" s="6">
        <f t="shared" si="1"/>
        <v>703</v>
      </c>
    </row>
    <row r="76" spans="1:11" x14ac:dyDescent="0.25">
      <c r="A76" s="7">
        <v>2022</v>
      </c>
      <c r="B76" s="33" t="s">
        <v>320</v>
      </c>
      <c r="C76" s="33" t="s">
        <v>304</v>
      </c>
      <c r="D76" s="33" t="s">
        <v>305</v>
      </c>
      <c r="E76" s="34" t="s">
        <v>321</v>
      </c>
      <c r="F76" s="36"/>
      <c r="G76" s="36">
        <v>0</v>
      </c>
      <c r="H76" s="36">
        <v>551</v>
      </c>
      <c r="I76" s="36">
        <v>32</v>
      </c>
      <c r="J76" s="36">
        <v>120</v>
      </c>
      <c r="K76" s="6">
        <f t="shared" si="1"/>
        <v>703</v>
      </c>
    </row>
    <row r="77" spans="1:11" x14ac:dyDescent="0.25">
      <c r="A77" s="7">
        <v>2022</v>
      </c>
      <c r="B77" s="33" t="s">
        <v>310</v>
      </c>
      <c r="C77" s="33" t="s">
        <v>304</v>
      </c>
      <c r="D77" s="33" t="s">
        <v>305</v>
      </c>
      <c r="E77" s="34" t="s">
        <v>311</v>
      </c>
      <c r="F77" s="36"/>
      <c r="G77" s="36">
        <v>0</v>
      </c>
      <c r="H77" s="36">
        <v>551</v>
      </c>
      <c r="I77" s="36">
        <v>32</v>
      </c>
      <c r="J77" s="36">
        <v>120</v>
      </c>
      <c r="K77" s="6">
        <f t="shared" si="1"/>
        <v>703</v>
      </c>
    </row>
    <row r="78" spans="1:11" x14ac:dyDescent="0.25">
      <c r="A78" s="7">
        <v>2022</v>
      </c>
      <c r="B78" s="33" t="s">
        <v>308</v>
      </c>
      <c r="C78" s="33" t="s">
        <v>304</v>
      </c>
      <c r="D78" s="33" t="s">
        <v>305</v>
      </c>
      <c r="E78" s="34" t="s">
        <v>309</v>
      </c>
      <c r="F78" s="36"/>
      <c r="G78" s="36">
        <v>0</v>
      </c>
      <c r="H78" s="36">
        <v>551</v>
      </c>
      <c r="I78" s="36">
        <v>32</v>
      </c>
      <c r="J78" s="36">
        <v>120</v>
      </c>
      <c r="K78" s="6">
        <f t="shared" si="1"/>
        <v>703</v>
      </c>
    </row>
    <row r="79" spans="1:11" x14ac:dyDescent="0.25">
      <c r="A79" s="7">
        <v>2022</v>
      </c>
      <c r="B79" s="33" t="s">
        <v>303</v>
      </c>
      <c r="C79" s="33" t="s">
        <v>304</v>
      </c>
      <c r="D79" s="33" t="s">
        <v>305</v>
      </c>
      <c r="E79" s="34" t="s">
        <v>306</v>
      </c>
      <c r="F79" s="36"/>
      <c r="G79" s="36">
        <v>0</v>
      </c>
      <c r="H79" s="36">
        <v>551</v>
      </c>
      <c r="I79" s="36">
        <v>32</v>
      </c>
      <c r="J79" s="36">
        <v>120</v>
      </c>
      <c r="K79" s="6">
        <f t="shared" si="1"/>
        <v>703</v>
      </c>
    </row>
    <row r="80" spans="1:11" x14ac:dyDescent="0.25">
      <c r="A80" s="7">
        <v>2022</v>
      </c>
      <c r="B80" s="33" t="s">
        <v>293</v>
      </c>
      <c r="C80" s="33" t="s">
        <v>289</v>
      </c>
      <c r="D80" s="33" t="s">
        <v>290</v>
      </c>
      <c r="E80" s="34" t="s">
        <v>294</v>
      </c>
      <c r="F80" s="36"/>
      <c r="G80" s="36">
        <v>0</v>
      </c>
      <c r="H80" s="36">
        <v>551</v>
      </c>
      <c r="I80" s="36">
        <v>32</v>
      </c>
      <c r="J80" s="36">
        <v>120</v>
      </c>
      <c r="K80" s="6">
        <f t="shared" si="1"/>
        <v>703</v>
      </c>
    </row>
    <row r="81" spans="1:11" x14ac:dyDescent="0.25">
      <c r="A81" s="7">
        <v>2022</v>
      </c>
      <c r="B81" s="33" t="s">
        <v>378</v>
      </c>
      <c r="C81" s="33" t="s">
        <v>350</v>
      </c>
      <c r="D81" s="33" t="s">
        <v>351</v>
      </c>
      <c r="E81" s="34" t="s">
        <v>379</v>
      </c>
      <c r="F81" s="36"/>
      <c r="G81" s="36">
        <v>0</v>
      </c>
      <c r="H81" s="36">
        <v>551</v>
      </c>
      <c r="I81" s="36">
        <v>32</v>
      </c>
      <c r="J81" s="36">
        <v>120</v>
      </c>
      <c r="K81" s="6">
        <f t="shared" si="1"/>
        <v>703</v>
      </c>
    </row>
    <row r="82" spans="1:11" x14ac:dyDescent="0.25">
      <c r="A82" s="7">
        <v>2022</v>
      </c>
      <c r="B82" s="33" t="s">
        <v>376</v>
      </c>
      <c r="C82" s="33" t="s">
        <v>350</v>
      </c>
      <c r="D82" s="33" t="s">
        <v>351</v>
      </c>
      <c r="E82" s="34" t="s">
        <v>377</v>
      </c>
      <c r="F82" s="36"/>
      <c r="G82" s="36">
        <v>0</v>
      </c>
      <c r="H82" s="36">
        <v>551</v>
      </c>
      <c r="I82" s="36">
        <v>32</v>
      </c>
      <c r="J82" s="36">
        <v>120</v>
      </c>
      <c r="K82" s="6">
        <f t="shared" si="1"/>
        <v>703</v>
      </c>
    </row>
    <row r="83" spans="1:11" x14ac:dyDescent="0.25">
      <c r="A83" s="7">
        <v>2022</v>
      </c>
      <c r="B83" s="33" t="s">
        <v>380</v>
      </c>
      <c r="C83" s="33" t="s">
        <v>350</v>
      </c>
      <c r="D83" s="33" t="s">
        <v>351</v>
      </c>
      <c r="E83" s="34" t="s">
        <v>381</v>
      </c>
      <c r="F83" s="36"/>
      <c r="G83" s="36">
        <v>0</v>
      </c>
      <c r="H83" s="36">
        <v>551</v>
      </c>
      <c r="I83" s="36">
        <v>32</v>
      </c>
      <c r="J83" s="36">
        <v>120</v>
      </c>
      <c r="K83" s="6">
        <f t="shared" si="1"/>
        <v>703</v>
      </c>
    </row>
    <row r="84" spans="1:11" x14ac:dyDescent="0.25">
      <c r="A84" s="7">
        <v>2022</v>
      </c>
      <c r="B84" s="33" t="s">
        <v>360</v>
      </c>
      <c r="C84" s="33" t="s">
        <v>350</v>
      </c>
      <c r="D84" s="33" t="s">
        <v>351</v>
      </c>
      <c r="E84" s="34" t="s">
        <v>361</v>
      </c>
      <c r="F84" s="36"/>
      <c r="G84" s="36">
        <v>0</v>
      </c>
      <c r="H84" s="36">
        <v>551</v>
      </c>
      <c r="I84" s="36">
        <v>32</v>
      </c>
      <c r="J84" s="36">
        <v>120</v>
      </c>
      <c r="K84" s="6">
        <f t="shared" si="1"/>
        <v>703</v>
      </c>
    </row>
    <row r="85" spans="1:11" x14ac:dyDescent="0.25">
      <c r="A85" s="7">
        <v>2022</v>
      </c>
      <c r="B85" s="33" t="s">
        <v>368</v>
      </c>
      <c r="C85" s="33" t="s">
        <v>350</v>
      </c>
      <c r="D85" s="33" t="s">
        <v>351</v>
      </c>
      <c r="E85" s="34" t="s">
        <v>369</v>
      </c>
      <c r="F85" s="36"/>
      <c r="G85" s="36">
        <v>0</v>
      </c>
      <c r="H85" s="36">
        <v>551</v>
      </c>
      <c r="I85" s="36">
        <v>32</v>
      </c>
      <c r="J85" s="36">
        <v>120</v>
      </c>
      <c r="K85" s="6">
        <f t="shared" si="1"/>
        <v>703</v>
      </c>
    </row>
    <row r="86" spans="1:11" x14ac:dyDescent="0.25">
      <c r="A86" s="7">
        <v>2022</v>
      </c>
      <c r="B86" s="33" t="s">
        <v>358</v>
      </c>
      <c r="C86" s="33" t="s">
        <v>350</v>
      </c>
      <c r="D86" s="33" t="s">
        <v>351</v>
      </c>
      <c r="E86" s="34" t="s">
        <v>359</v>
      </c>
      <c r="F86" s="36"/>
      <c r="G86" s="36">
        <v>0</v>
      </c>
      <c r="H86" s="36">
        <v>551</v>
      </c>
      <c r="I86" s="36">
        <v>32</v>
      </c>
      <c r="J86" s="36">
        <v>120</v>
      </c>
      <c r="K86" s="6">
        <f t="shared" si="1"/>
        <v>703</v>
      </c>
    </row>
    <row r="87" spans="1:11" x14ac:dyDescent="0.25">
      <c r="A87" s="7">
        <v>2022</v>
      </c>
      <c r="B87" s="33" t="s">
        <v>362</v>
      </c>
      <c r="C87" s="33" t="s">
        <v>350</v>
      </c>
      <c r="D87" s="33" t="s">
        <v>351</v>
      </c>
      <c r="E87" s="34" t="s">
        <v>363</v>
      </c>
      <c r="F87" s="36"/>
      <c r="G87" s="36">
        <v>0</v>
      </c>
      <c r="H87" s="36">
        <v>551</v>
      </c>
      <c r="I87" s="36">
        <v>32</v>
      </c>
      <c r="J87" s="36">
        <v>120</v>
      </c>
      <c r="K87" s="6">
        <f t="shared" si="1"/>
        <v>703</v>
      </c>
    </row>
    <row r="88" spans="1:11" x14ac:dyDescent="0.25">
      <c r="A88" s="7">
        <v>2022</v>
      </c>
      <c r="B88" s="33" t="s">
        <v>374</v>
      </c>
      <c r="C88" s="33" t="s">
        <v>350</v>
      </c>
      <c r="D88" s="33" t="s">
        <v>351</v>
      </c>
      <c r="E88" s="34" t="s">
        <v>375</v>
      </c>
      <c r="F88" s="36"/>
      <c r="G88" s="36">
        <v>0</v>
      </c>
      <c r="H88" s="36">
        <v>551</v>
      </c>
      <c r="I88" s="36">
        <v>32</v>
      </c>
      <c r="J88" s="36">
        <v>120</v>
      </c>
      <c r="K88" s="6">
        <f t="shared" si="1"/>
        <v>703</v>
      </c>
    </row>
    <row r="89" spans="1:11" x14ac:dyDescent="0.25">
      <c r="A89" s="7">
        <v>2022</v>
      </c>
      <c r="B89" s="33" t="s">
        <v>364</v>
      </c>
      <c r="C89" s="33" t="s">
        <v>350</v>
      </c>
      <c r="D89" s="33" t="s">
        <v>351</v>
      </c>
      <c r="E89" s="34" t="s">
        <v>365</v>
      </c>
      <c r="F89" s="36"/>
      <c r="G89" s="36">
        <v>0</v>
      </c>
      <c r="H89" s="36">
        <v>551</v>
      </c>
      <c r="I89" s="36">
        <v>32</v>
      </c>
      <c r="J89" s="36">
        <v>120</v>
      </c>
      <c r="K89" s="6">
        <f t="shared" si="1"/>
        <v>703</v>
      </c>
    </row>
    <row r="90" spans="1:11" x14ac:dyDescent="0.25">
      <c r="A90" s="7">
        <v>2022</v>
      </c>
      <c r="B90" s="33" t="s">
        <v>366</v>
      </c>
      <c r="C90" s="33" t="s">
        <v>350</v>
      </c>
      <c r="D90" s="33" t="s">
        <v>351</v>
      </c>
      <c r="E90" s="34" t="s">
        <v>367</v>
      </c>
      <c r="F90" s="36"/>
      <c r="G90" s="36">
        <v>0</v>
      </c>
      <c r="H90" s="36">
        <v>551</v>
      </c>
      <c r="I90" s="36">
        <v>32</v>
      </c>
      <c r="J90" s="36">
        <v>120</v>
      </c>
      <c r="K90" s="6">
        <f t="shared" si="1"/>
        <v>703</v>
      </c>
    </row>
    <row r="91" spans="1:11" x14ac:dyDescent="0.25">
      <c r="A91" s="7">
        <v>2022</v>
      </c>
      <c r="B91" s="33" t="s">
        <v>372</v>
      </c>
      <c r="C91" s="33" t="s">
        <v>350</v>
      </c>
      <c r="D91" s="33" t="s">
        <v>351</v>
      </c>
      <c r="E91" s="34" t="s">
        <v>373</v>
      </c>
      <c r="F91" s="36"/>
      <c r="G91" s="36">
        <v>0</v>
      </c>
      <c r="H91" s="36">
        <v>551</v>
      </c>
      <c r="I91" s="36">
        <v>32</v>
      </c>
      <c r="J91" s="36">
        <v>120</v>
      </c>
      <c r="K91" s="6">
        <f t="shared" si="1"/>
        <v>703</v>
      </c>
    </row>
    <row r="92" spans="1:11" x14ac:dyDescent="0.25">
      <c r="A92" s="7">
        <v>2022</v>
      </c>
      <c r="B92" s="33" t="s">
        <v>370</v>
      </c>
      <c r="C92" s="33" t="s">
        <v>350</v>
      </c>
      <c r="D92" s="33" t="s">
        <v>351</v>
      </c>
      <c r="E92" s="34" t="s">
        <v>371</v>
      </c>
      <c r="F92" s="36"/>
      <c r="G92" s="36">
        <v>0</v>
      </c>
      <c r="H92" s="36">
        <v>551</v>
      </c>
      <c r="I92" s="36">
        <v>32</v>
      </c>
      <c r="J92" s="36">
        <v>120</v>
      </c>
      <c r="K92" s="6">
        <f t="shared" si="1"/>
        <v>703</v>
      </c>
    </row>
    <row r="93" spans="1:11" x14ac:dyDescent="0.25">
      <c r="A93" s="7">
        <v>2022</v>
      </c>
      <c r="B93" s="33" t="s">
        <v>356</v>
      </c>
      <c r="C93" s="33" t="s">
        <v>350</v>
      </c>
      <c r="D93" s="33" t="s">
        <v>351</v>
      </c>
      <c r="E93" s="34" t="s">
        <v>357</v>
      </c>
      <c r="F93" s="36"/>
      <c r="G93" s="36">
        <v>0</v>
      </c>
      <c r="H93" s="36">
        <v>551</v>
      </c>
      <c r="I93" s="36">
        <v>32</v>
      </c>
      <c r="J93" s="36">
        <v>120</v>
      </c>
      <c r="K93" s="6">
        <f t="shared" si="1"/>
        <v>703</v>
      </c>
    </row>
    <row r="94" spans="1:11" x14ac:dyDescent="0.25">
      <c r="A94" s="7">
        <v>2022</v>
      </c>
      <c r="B94" s="33" t="s">
        <v>354</v>
      </c>
      <c r="C94" s="33" t="s">
        <v>350</v>
      </c>
      <c r="D94" s="33" t="s">
        <v>351</v>
      </c>
      <c r="E94" s="34" t="s">
        <v>355</v>
      </c>
      <c r="F94" s="36"/>
      <c r="G94" s="36">
        <v>0</v>
      </c>
      <c r="H94" s="36">
        <v>551</v>
      </c>
      <c r="I94" s="36">
        <v>32</v>
      </c>
      <c r="J94" s="36">
        <v>120</v>
      </c>
      <c r="K94" s="6">
        <f t="shared" si="1"/>
        <v>703</v>
      </c>
    </row>
    <row r="95" spans="1:11" x14ac:dyDescent="0.25">
      <c r="A95" s="7">
        <v>2022</v>
      </c>
      <c r="B95" s="33" t="s">
        <v>349</v>
      </c>
      <c r="C95" s="33" t="s">
        <v>350</v>
      </c>
      <c r="D95" s="33" t="s">
        <v>351</v>
      </c>
      <c r="E95" s="34" t="s">
        <v>352</v>
      </c>
      <c r="F95" s="36"/>
      <c r="G95" s="36">
        <v>0</v>
      </c>
      <c r="H95" s="36">
        <v>551</v>
      </c>
      <c r="I95" s="36">
        <v>32</v>
      </c>
      <c r="J95" s="36">
        <v>120</v>
      </c>
      <c r="K95" s="6">
        <f t="shared" si="1"/>
        <v>703</v>
      </c>
    </row>
    <row r="96" spans="1:11" x14ac:dyDescent="0.25">
      <c r="A96" s="7">
        <v>2022</v>
      </c>
      <c r="B96" s="33" t="s">
        <v>399</v>
      </c>
      <c r="C96" s="33" t="s">
        <v>400</v>
      </c>
      <c r="D96" s="33" t="s">
        <v>401</v>
      </c>
      <c r="E96" s="34" t="s">
        <v>402</v>
      </c>
      <c r="F96" s="36"/>
      <c r="G96" s="36">
        <v>0</v>
      </c>
      <c r="H96" s="36">
        <v>551</v>
      </c>
      <c r="I96" s="36">
        <v>32</v>
      </c>
      <c r="J96" s="36">
        <v>120</v>
      </c>
      <c r="K96" s="6">
        <f t="shared" si="1"/>
        <v>703</v>
      </c>
    </row>
    <row r="97" spans="1:11" x14ac:dyDescent="0.25">
      <c r="A97" s="7">
        <v>2022</v>
      </c>
      <c r="B97" s="33" t="s">
        <v>395</v>
      </c>
      <c r="C97" s="33" t="s">
        <v>396</v>
      </c>
      <c r="D97" s="33" t="s">
        <v>397</v>
      </c>
      <c r="E97" s="34" t="s">
        <v>398</v>
      </c>
      <c r="F97" s="36"/>
      <c r="G97" s="36">
        <v>0</v>
      </c>
      <c r="H97" s="36">
        <v>551</v>
      </c>
      <c r="I97" s="36">
        <v>32</v>
      </c>
      <c r="J97" s="36">
        <v>120</v>
      </c>
      <c r="K97" s="6">
        <f t="shared" si="1"/>
        <v>703</v>
      </c>
    </row>
    <row r="98" spans="1:11" x14ac:dyDescent="0.25">
      <c r="A98" s="4">
        <v>2021</v>
      </c>
      <c r="B98" s="11" t="s">
        <v>288</v>
      </c>
      <c r="C98" s="11" t="s">
        <v>289</v>
      </c>
      <c r="D98" s="11" t="s">
        <v>290</v>
      </c>
      <c r="E98" s="12" t="s">
        <v>291</v>
      </c>
      <c r="F98" s="5"/>
      <c r="G98" s="5">
        <v>0</v>
      </c>
      <c r="H98" s="5">
        <v>551</v>
      </c>
      <c r="I98" s="5">
        <v>32</v>
      </c>
      <c r="J98" s="5">
        <v>120</v>
      </c>
      <c r="K98" s="6">
        <f>SUM(F98:J98)</f>
        <v>703</v>
      </c>
    </row>
    <row r="99" spans="1:11" x14ac:dyDescent="0.25">
      <c r="A99" s="4">
        <v>2021</v>
      </c>
      <c r="B99" s="11" t="s">
        <v>295</v>
      </c>
      <c r="C99" s="11" t="s">
        <v>289</v>
      </c>
      <c r="D99" s="11" t="s">
        <v>290</v>
      </c>
      <c r="E99" s="12" t="s">
        <v>296</v>
      </c>
      <c r="F99" s="5"/>
      <c r="G99" s="5">
        <v>0</v>
      </c>
      <c r="H99" s="5">
        <v>551</v>
      </c>
      <c r="I99" s="5">
        <v>32</v>
      </c>
      <c r="J99" s="5">
        <v>120</v>
      </c>
      <c r="K99" s="6">
        <f t="shared" ref="K99:K161" si="2">SUM(F99:J99)</f>
        <v>703</v>
      </c>
    </row>
    <row r="100" spans="1:11" x14ac:dyDescent="0.25">
      <c r="A100" s="4">
        <v>2021</v>
      </c>
      <c r="B100" s="11" t="s">
        <v>301</v>
      </c>
      <c r="C100" s="11" t="s">
        <v>289</v>
      </c>
      <c r="D100" s="11" t="s">
        <v>290</v>
      </c>
      <c r="E100" s="12" t="s">
        <v>302</v>
      </c>
      <c r="F100" s="5"/>
      <c r="G100" s="5">
        <v>0</v>
      </c>
      <c r="H100" s="5">
        <v>551</v>
      </c>
      <c r="I100" s="5">
        <v>32</v>
      </c>
      <c r="J100" s="5">
        <v>120</v>
      </c>
      <c r="K100" s="6">
        <f t="shared" si="2"/>
        <v>703</v>
      </c>
    </row>
    <row r="101" spans="1:11" x14ac:dyDescent="0.25">
      <c r="A101" s="4">
        <v>2021</v>
      </c>
      <c r="B101" s="11" t="s">
        <v>299</v>
      </c>
      <c r="C101" s="11" t="s">
        <v>289</v>
      </c>
      <c r="D101" s="11" t="s">
        <v>290</v>
      </c>
      <c r="E101" s="12" t="s">
        <v>300</v>
      </c>
      <c r="F101" s="5"/>
      <c r="G101" s="5">
        <v>0</v>
      </c>
      <c r="H101" s="5">
        <v>551</v>
      </c>
      <c r="I101" s="5">
        <v>32</v>
      </c>
      <c r="J101" s="5">
        <v>120</v>
      </c>
      <c r="K101" s="6">
        <f t="shared" si="2"/>
        <v>703</v>
      </c>
    </row>
    <row r="102" spans="1:11" x14ac:dyDescent="0.25">
      <c r="A102" s="4">
        <v>2021</v>
      </c>
      <c r="B102" s="11" t="s">
        <v>297</v>
      </c>
      <c r="C102" s="11" t="s">
        <v>289</v>
      </c>
      <c r="D102" s="11" t="s">
        <v>290</v>
      </c>
      <c r="E102" s="12" t="s">
        <v>298</v>
      </c>
      <c r="F102" s="5"/>
      <c r="G102" s="5">
        <v>0</v>
      </c>
      <c r="H102" s="5">
        <v>551</v>
      </c>
      <c r="I102" s="5">
        <v>32</v>
      </c>
      <c r="J102" s="5">
        <v>120</v>
      </c>
      <c r="K102" s="6">
        <f t="shared" si="2"/>
        <v>703</v>
      </c>
    </row>
    <row r="103" spans="1:11" x14ac:dyDescent="0.25">
      <c r="A103" s="4">
        <v>2021</v>
      </c>
      <c r="B103" s="11" t="s">
        <v>391</v>
      </c>
      <c r="C103" s="11" t="s">
        <v>383</v>
      </c>
      <c r="D103" s="11" t="s">
        <v>384</v>
      </c>
      <c r="E103" s="12" t="s">
        <v>392</v>
      </c>
      <c r="F103" s="5"/>
      <c r="G103" s="5">
        <v>0</v>
      </c>
      <c r="H103" s="5">
        <v>551</v>
      </c>
      <c r="I103" s="5">
        <v>32</v>
      </c>
      <c r="J103" s="5">
        <v>120</v>
      </c>
      <c r="K103" s="6">
        <f t="shared" si="2"/>
        <v>703</v>
      </c>
    </row>
    <row r="104" spans="1:11" x14ac:dyDescent="0.25">
      <c r="A104" s="4">
        <v>2021</v>
      </c>
      <c r="B104" s="11" t="s">
        <v>393</v>
      </c>
      <c r="C104" s="11" t="s">
        <v>383</v>
      </c>
      <c r="D104" s="11" t="s">
        <v>384</v>
      </c>
      <c r="E104" s="12" t="s">
        <v>394</v>
      </c>
      <c r="F104" s="5"/>
      <c r="G104" s="5">
        <v>0</v>
      </c>
      <c r="H104" s="5">
        <v>551</v>
      </c>
      <c r="I104" s="5">
        <v>32</v>
      </c>
      <c r="J104" s="5">
        <v>120</v>
      </c>
      <c r="K104" s="6">
        <f t="shared" si="2"/>
        <v>703</v>
      </c>
    </row>
    <row r="105" spans="1:11" x14ac:dyDescent="0.25">
      <c r="A105" s="4">
        <v>2021</v>
      </c>
      <c r="B105" s="11" t="s">
        <v>387</v>
      </c>
      <c r="C105" s="11" t="s">
        <v>383</v>
      </c>
      <c r="D105" s="11" t="s">
        <v>384</v>
      </c>
      <c r="E105" s="12" t="s">
        <v>388</v>
      </c>
      <c r="F105" s="5"/>
      <c r="G105" s="5">
        <v>0</v>
      </c>
      <c r="H105" s="5">
        <v>551</v>
      </c>
      <c r="I105" s="5">
        <v>32</v>
      </c>
      <c r="J105" s="5">
        <v>120</v>
      </c>
      <c r="K105" s="6">
        <f t="shared" si="2"/>
        <v>703</v>
      </c>
    </row>
    <row r="106" spans="1:11" x14ac:dyDescent="0.25">
      <c r="A106" s="4">
        <v>2021</v>
      </c>
      <c r="B106" s="11" t="s">
        <v>382</v>
      </c>
      <c r="C106" s="11" t="s">
        <v>383</v>
      </c>
      <c r="D106" s="11" t="s">
        <v>384</v>
      </c>
      <c r="E106" s="12" t="s">
        <v>385</v>
      </c>
      <c r="F106" s="5"/>
      <c r="G106" s="5">
        <v>0</v>
      </c>
      <c r="H106" s="5">
        <v>551</v>
      </c>
      <c r="I106" s="5">
        <v>32</v>
      </c>
      <c r="J106" s="5">
        <v>120</v>
      </c>
      <c r="K106" s="6">
        <f t="shared" si="2"/>
        <v>703</v>
      </c>
    </row>
    <row r="107" spans="1:11" x14ac:dyDescent="0.25">
      <c r="A107" s="4">
        <v>2021</v>
      </c>
      <c r="B107" s="11" t="s">
        <v>389</v>
      </c>
      <c r="C107" s="11" t="s">
        <v>383</v>
      </c>
      <c r="D107" s="11" t="s">
        <v>384</v>
      </c>
      <c r="E107" s="12" t="s">
        <v>390</v>
      </c>
      <c r="F107" s="5"/>
      <c r="G107" s="5">
        <v>0</v>
      </c>
      <c r="H107" s="5">
        <v>551</v>
      </c>
      <c r="I107" s="5">
        <v>32</v>
      </c>
      <c r="J107" s="5">
        <v>120</v>
      </c>
      <c r="K107" s="6">
        <f t="shared" si="2"/>
        <v>703</v>
      </c>
    </row>
    <row r="108" spans="1:11" x14ac:dyDescent="0.25">
      <c r="A108" s="4">
        <v>2021</v>
      </c>
      <c r="B108" s="11" t="s">
        <v>337</v>
      </c>
      <c r="C108" s="11" t="s">
        <v>331</v>
      </c>
      <c r="D108" s="11" t="s">
        <v>332</v>
      </c>
      <c r="E108" s="12" t="s">
        <v>338</v>
      </c>
      <c r="F108" s="5"/>
      <c r="G108" s="5">
        <v>0</v>
      </c>
      <c r="H108" s="5">
        <v>551</v>
      </c>
      <c r="I108" s="5">
        <v>32</v>
      </c>
      <c r="J108" s="5">
        <v>120</v>
      </c>
      <c r="K108" s="6">
        <f t="shared" si="2"/>
        <v>703</v>
      </c>
    </row>
    <row r="109" spans="1:11" x14ac:dyDescent="0.25">
      <c r="A109" s="4">
        <v>2021</v>
      </c>
      <c r="B109" s="11" t="s">
        <v>345</v>
      </c>
      <c r="C109" s="11" t="s">
        <v>331</v>
      </c>
      <c r="D109" s="11" t="s">
        <v>332</v>
      </c>
      <c r="E109" s="12" t="s">
        <v>346</v>
      </c>
      <c r="F109" s="5"/>
      <c r="G109" s="5">
        <v>0</v>
      </c>
      <c r="H109" s="5">
        <v>551</v>
      </c>
      <c r="I109" s="5">
        <v>32</v>
      </c>
      <c r="J109" s="5">
        <v>120</v>
      </c>
      <c r="K109" s="6">
        <f t="shared" si="2"/>
        <v>703</v>
      </c>
    </row>
    <row r="110" spans="1:11" x14ac:dyDescent="0.25">
      <c r="A110" s="4">
        <v>2021</v>
      </c>
      <c r="B110" s="11" t="s">
        <v>341</v>
      </c>
      <c r="C110" s="11" t="s">
        <v>331</v>
      </c>
      <c r="D110" s="11" t="s">
        <v>332</v>
      </c>
      <c r="E110" s="12" t="s">
        <v>342</v>
      </c>
      <c r="F110" s="5"/>
      <c r="G110" s="5">
        <v>0</v>
      </c>
      <c r="H110" s="5">
        <v>551</v>
      </c>
      <c r="I110" s="5">
        <v>32</v>
      </c>
      <c r="J110" s="5">
        <v>120</v>
      </c>
      <c r="K110" s="6">
        <f t="shared" si="2"/>
        <v>703</v>
      </c>
    </row>
    <row r="111" spans="1:11" x14ac:dyDescent="0.25">
      <c r="A111" s="4">
        <v>2021</v>
      </c>
      <c r="B111" s="11" t="s">
        <v>343</v>
      </c>
      <c r="C111" s="11" t="s">
        <v>331</v>
      </c>
      <c r="D111" s="11" t="s">
        <v>332</v>
      </c>
      <c r="E111" s="12" t="s">
        <v>344</v>
      </c>
      <c r="F111" s="5"/>
      <c r="G111" s="5">
        <v>0</v>
      </c>
      <c r="H111" s="5">
        <v>551</v>
      </c>
      <c r="I111" s="5">
        <v>32</v>
      </c>
      <c r="J111" s="5">
        <v>120</v>
      </c>
      <c r="K111" s="6">
        <f t="shared" si="2"/>
        <v>703</v>
      </c>
    </row>
    <row r="112" spans="1:11" x14ac:dyDescent="0.25">
      <c r="A112" s="4">
        <v>2021</v>
      </c>
      <c r="B112" s="11" t="s">
        <v>347</v>
      </c>
      <c r="C112" s="11" t="s">
        <v>331</v>
      </c>
      <c r="D112" s="11" t="s">
        <v>332</v>
      </c>
      <c r="E112" s="12" t="s">
        <v>348</v>
      </c>
      <c r="F112" s="5"/>
      <c r="G112" s="5">
        <v>0</v>
      </c>
      <c r="H112" s="5">
        <v>551</v>
      </c>
      <c r="I112" s="5">
        <v>32</v>
      </c>
      <c r="J112" s="5">
        <v>120</v>
      </c>
      <c r="K112" s="6">
        <f t="shared" si="2"/>
        <v>703</v>
      </c>
    </row>
    <row r="113" spans="1:11" x14ac:dyDescent="0.25">
      <c r="A113" s="4">
        <v>2021</v>
      </c>
      <c r="B113" s="11" t="s">
        <v>330</v>
      </c>
      <c r="C113" s="11" t="s">
        <v>331</v>
      </c>
      <c r="D113" s="11" t="s">
        <v>332</v>
      </c>
      <c r="E113" s="12" t="s">
        <v>333</v>
      </c>
      <c r="F113" s="5"/>
      <c r="G113" s="5">
        <v>0</v>
      </c>
      <c r="H113" s="5">
        <v>551</v>
      </c>
      <c r="I113" s="5">
        <v>32</v>
      </c>
      <c r="J113" s="5">
        <v>120</v>
      </c>
      <c r="K113" s="6">
        <f t="shared" si="2"/>
        <v>703</v>
      </c>
    </row>
    <row r="114" spans="1:11" x14ac:dyDescent="0.25">
      <c r="A114" s="4">
        <v>2021</v>
      </c>
      <c r="B114" s="11" t="s">
        <v>335</v>
      </c>
      <c r="C114" s="11" t="s">
        <v>331</v>
      </c>
      <c r="D114" s="11" t="s">
        <v>332</v>
      </c>
      <c r="E114" s="12" t="s">
        <v>336</v>
      </c>
      <c r="F114" s="5"/>
      <c r="G114" s="5">
        <v>0</v>
      </c>
      <c r="H114" s="5">
        <v>551</v>
      </c>
      <c r="I114" s="5">
        <v>32</v>
      </c>
      <c r="J114" s="5">
        <v>120</v>
      </c>
      <c r="K114" s="6">
        <f t="shared" si="2"/>
        <v>703</v>
      </c>
    </row>
    <row r="115" spans="1:11" x14ac:dyDescent="0.25">
      <c r="A115" s="4">
        <v>2021</v>
      </c>
      <c r="B115" s="11" t="s">
        <v>339</v>
      </c>
      <c r="C115" s="11" t="s">
        <v>331</v>
      </c>
      <c r="D115" s="11" t="s">
        <v>332</v>
      </c>
      <c r="E115" s="12" t="s">
        <v>340</v>
      </c>
      <c r="F115" s="5"/>
      <c r="G115" s="5">
        <v>0</v>
      </c>
      <c r="H115" s="5">
        <v>551</v>
      </c>
      <c r="I115" s="5">
        <v>32</v>
      </c>
      <c r="J115" s="5">
        <v>120</v>
      </c>
      <c r="K115" s="6">
        <f t="shared" si="2"/>
        <v>703</v>
      </c>
    </row>
    <row r="116" spans="1:11" x14ac:dyDescent="0.25">
      <c r="A116" s="4">
        <v>2021</v>
      </c>
      <c r="B116" s="11" t="s">
        <v>318</v>
      </c>
      <c r="C116" s="11" t="s">
        <v>304</v>
      </c>
      <c r="D116" s="11" t="s">
        <v>305</v>
      </c>
      <c r="E116" s="12" t="s">
        <v>319</v>
      </c>
      <c r="F116" s="5"/>
      <c r="G116" s="5">
        <v>0</v>
      </c>
      <c r="H116" s="5">
        <v>551</v>
      </c>
      <c r="I116" s="5">
        <v>32</v>
      </c>
      <c r="J116" s="5">
        <v>120</v>
      </c>
      <c r="K116" s="6">
        <f t="shared" si="2"/>
        <v>703</v>
      </c>
    </row>
    <row r="117" spans="1:11" x14ac:dyDescent="0.25">
      <c r="A117" s="4">
        <v>2021</v>
      </c>
      <c r="B117" s="11" t="s">
        <v>312</v>
      </c>
      <c r="C117" s="11" t="s">
        <v>304</v>
      </c>
      <c r="D117" s="11" t="s">
        <v>305</v>
      </c>
      <c r="E117" s="12" t="s">
        <v>313</v>
      </c>
      <c r="F117" s="5"/>
      <c r="G117" s="5">
        <v>0</v>
      </c>
      <c r="H117" s="5">
        <v>551</v>
      </c>
      <c r="I117" s="5">
        <v>32</v>
      </c>
      <c r="J117" s="5">
        <v>120</v>
      </c>
      <c r="K117" s="6">
        <f t="shared" si="2"/>
        <v>703</v>
      </c>
    </row>
    <row r="118" spans="1:11" x14ac:dyDescent="0.25">
      <c r="A118" s="4">
        <v>2021</v>
      </c>
      <c r="B118" s="11" t="s">
        <v>326</v>
      </c>
      <c r="C118" s="11" t="s">
        <v>304</v>
      </c>
      <c r="D118" s="11" t="s">
        <v>305</v>
      </c>
      <c r="E118" s="12" t="s">
        <v>327</v>
      </c>
      <c r="F118" s="5"/>
      <c r="G118" s="5">
        <v>0</v>
      </c>
      <c r="H118" s="5">
        <v>551</v>
      </c>
      <c r="I118" s="5">
        <v>32</v>
      </c>
      <c r="J118" s="5">
        <v>120</v>
      </c>
      <c r="K118" s="6">
        <f t="shared" si="2"/>
        <v>703</v>
      </c>
    </row>
    <row r="119" spans="1:11" x14ac:dyDescent="0.25">
      <c r="A119" s="4">
        <v>2021</v>
      </c>
      <c r="B119" s="11" t="s">
        <v>322</v>
      </c>
      <c r="C119" s="11" t="s">
        <v>304</v>
      </c>
      <c r="D119" s="11" t="s">
        <v>305</v>
      </c>
      <c r="E119" s="12" t="s">
        <v>323</v>
      </c>
      <c r="F119" s="5"/>
      <c r="G119" s="5">
        <v>0</v>
      </c>
      <c r="H119" s="5">
        <v>551</v>
      </c>
      <c r="I119" s="5">
        <v>32</v>
      </c>
      <c r="J119" s="5">
        <v>120</v>
      </c>
      <c r="K119" s="6">
        <f t="shared" si="2"/>
        <v>703</v>
      </c>
    </row>
    <row r="120" spans="1:11" x14ac:dyDescent="0.25">
      <c r="A120" s="4">
        <v>2021</v>
      </c>
      <c r="B120" s="11" t="s">
        <v>324</v>
      </c>
      <c r="C120" s="11" t="s">
        <v>304</v>
      </c>
      <c r="D120" s="11" t="s">
        <v>305</v>
      </c>
      <c r="E120" s="12" t="s">
        <v>325</v>
      </c>
      <c r="F120" s="5"/>
      <c r="G120" s="5">
        <v>0</v>
      </c>
      <c r="H120" s="5">
        <v>551</v>
      </c>
      <c r="I120" s="5">
        <v>32</v>
      </c>
      <c r="J120" s="5">
        <v>120</v>
      </c>
      <c r="K120" s="6">
        <f t="shared" si="2"/>
        <v>703</v>
      </c>
    </row>
    <row r="121" spans="1:11" x14ac:dyDescent="0.25">
      <c r="A121" s="4">
        <v>2021</v>
      </c>
      <c r="B121" s="11" t="s">
        <v>328</v>
      </c>
      <c r="C121" s="11" t="s">
        <v>304</v>
      </c>
      <c r="D121" s="11" t="s">
        <v>305</v>
      </c>
      <c r="E121" s="12" t="s">
        <v>329</v>
      </c>
      <c r="F121" s="5"/>
      <c r="G121" s="5">
        <v>0</v>
      </c>
      <c r="H121" s="5">
        <v>551</v>
      </c>
      <c r="I121" s="5">
        <v>32</v>
      </c>
      <c r="J121" s="5">
        <v>120</v>
      </c>
      <c r="K121" s="6">
        <f t="shared" si="2"/>
        <v>703</v>
      </c>
    </row>
    <row r="122" spans="1:11" x14ac:dyDescent="0.25">
      <c r="A122" s="4">
        <v>2021</v>
      </c>
      <c r="B122" s="11" t="s">
        <v>314</v>
      </c>
      <c r="C122" s="11" t="s">
        <v>304</v>
      </c>
      <c r="D122" s="11" t="s">
        <v>305</v>
      </c>
      <c r="E122" s="12" t="s">
        <v>315</v>
      </c>
      <c r="F122" s="5"/>
      <c r="G122" s="5">
        <v>0</v>
      </c>
      <c r="H122" s="5">
        <v>551</v>
      </c>
      <c r="I122" s="5">
        <v>32</v>
      </c>
      <c r="J122" s="5">
        <v>120</v>
      </c>
      <c r="K122" s="6">
        <f t="shared" si="2"/>
        <v>703</v>
      </c>
    </row>
    <row r="123" spans="1:11" x14ac:dyDescent="0.25">
      <c r="A123" s="4">
        <v>2021</v>
      </c>
      <c r="B123" s="11" t="s">
        <v>316</v>
      </c>
      <c r="C123" s="11" t="s">
        <v>304</v>
      </c>
      <c r="D123" s="11" t="s">
        <v>305</v>
      </c>
      <c r="E123" s="12" t="s">
        <v>317</v>
      </c>
      <c r="F123" s="5"/>
      <c r="G123" s="5">
        <v>0</v>
      </c>
      <c r="H123" s="5">
        <v>551</v>
      </c>
      <c r="I123" s="5">
        <v>32</v>
      </c>
      <c r="J123" s="5">
        <v>120</v>
      </c>
      <c r="K123" s="6">
        <f t="shared" si="2"/>
        <v>703</v>
      </c>
    </row>
    <row r="124" spans="1:11" x14ac:dyDescent="0.25">
      <c r="A124" s="4">
        <v>2021</v>
      </c>
      <c r="B124" s="11" t="s">
        <v>320</v>
      </c>
      <c r="C124" s="11" t="s">
        <v>304</v>
      </c>
      <c r="D124" s="11" t="s">
        <v>305</v>
      </c>
      <c r="E124" s="12" t="s">
        <v>321</v>
      </c>
      <c r="F124" s="5"/>
      <c r="G124" s="5">
        <v>0</v>
      </c>
      <c r="H124" s="5">
        <v>551</v>
      </c>
      <c r="I124" s="5">
        <v>32</v>
      </c>
      <c r="J124" s="5">
        <v>120</v>
      </c>
      <c r="K124" s="6">
        <f t="shared" si="2"/>
        <v>703</v>
      </c>
    </row>
    <row r="125" spans="1:11" x14ac:dyDescent="0.25">
      <c r="A125" s="4">
        <v>2021</v>
      </c>
      <c r="B125" s="11" t="s">
        <v>310</v>
      </c>
      <c r="C125" s="11" t="s">
        <v>304</v>
      </c>
      <c r="D125" s="11" t="s">
        <v>305</v>
      </c>
      <c r="E125" s="12" t="s">
        <v>311</v>
      </c>
      <c r="F125" s="5"/>
      <c r="G125" s="5">
        <v>0</v>
      </c>
      <c r="H125" s="5">
        <v>551</v>
      </c>
      <c r="I125" s="5">
        <v>32</v>
      </c>
      <c r="J125" s="5">
        <v>120</v>
      </c>
      <c r="K125" s="6">
        <f t="shared" si="2"/>
        <v>703</v>
      </c>
    </row>
    <row r="126" spans="1:11" x14ac:dyDescent="0.25">
      <c r="A126" s="4">
        <v>2021</v>
      </c>
      <c r="B126" s="11" t="s">
        <v>308</v>
      </c>
      <c r="C126" s="11" t="s">
        <v>304</v>
      </c>
      <c r="D126" s="11" t="s">
        <v>305</v>
      </c>
      <c r="E126" s="12" t="s">
        <v>309</v>
      </c>
      <c r="F126" s="5"/>
      <c r="G126" s="5">
        <v>0</v>
      </c>
      <c r="H126" s="5">
        <v>551</v>
      </c>
      <c r="I126" s="5">
        <v>32</v>
      </c>
      <c r="J126" s="5">
        <v>120</v>
      </c>
      <c r="K126" s="6">
        <f t="shared" si="2"/>
        <v>703</v>
      </c>
    </row>
    <row r="127" spans="1:11" x14ac:dyDescent="0.25">
      <c r="A127" s="4">
        <v>2021</v>
      </c>
      <c r="B127" s="11" t="s">
        <v>303</v>
      </c>
      <c r="C127" s="11" t="s">
        <v>304</v>
      </c>
      <c r="D127" s="11" t="s">
        <v>305</v>
      </c>
      <c r="E127" s="12" t="s">
        <v>306</v>
      </c>
      <c r="F127" s="5"/>
      <c r="G127" s="5">
        <v>0</v>
      </c>
      <c r="H127" s="5">
        <v>551</v>
      </c>
      <c r="I127" s="5">
        <v>32</v>
      </c>
      <c r="J127" s="5">
        <v>120</v>
      </c>
      <c r="K127" s="6">
        <f t="shared" si="2"/>
        <v>703</v>
      </c>
    </row>
    <row r="128" spans="1:11" x14ac:dyDescent="0.25">
      <c r="A128" s="4">
        <v>2021</v>
      </c>
      <c r="B128" s="11" t="s">
        <v>293</v>
      </c>
      <c r="C128" s="11" t="s">
        <v>289</v>
      </c>
      <c r="D128" s="11" t="s">
        <v>290</v>
      </c>
      <c r="E128" s="12" t="s">
        <v>294</v>
      </c>
      <c r="F128" s="5"/>
      <c r="G128" s="5">
        <v>0</v>
      </c>
      <c r="H128" s="5">
        <v>551</v>
      </c>
      <c r="I128" s="5">
        <v>32</v>
      </c>
      <c r="J128" s="5">
        <v>120</v>
      </c>
      <c r="K128" s="6">
        <f t="shared" si="2"/>
        <v>703</v>
      </c>
    </row>
    <row r="129" spans="1:11" x14ac:dyDescent="0.25">
      <c r="A129" s="4">
        <v>2021</v>
      </c>
      <c r="B129" s="11" t="s">
        <v>378</v>
      </c>
      <c r="C129" s="11" t="s">
        <v>350</v>
      </c>
      <c r="D129" s="11" t="s">
        <v>351</v>
      </c>
      <c r="E129" s="12" t="s">
        <v>379</v>
      </c>
      <c r="F129" s="5"/>
      <c r="G129" s="5">
        <v>0</v>
      </c>
      <c r="H129" s="5">
        <v>551</v>
      </c>
      <c r="I129" s="5">
        <v>32</v>
      </c>
      <c r="J129" s="5">
        <v>120</v>
      </c>
      <c r="K129" s="6">
        <f t="shared" si="2"/>
        <v>703</v>
      </c>
    </row>
    <row r="130" spans="1:11" x14ac:dyDescent="0.25">
      <c r="A130" s="4">
        <v>2021</v>
      </c>
      <c r="B130" s="11" t="s">
        <v>376</v>
      </c>
      <c r="C130" s="11" t="s">
        <v>350</v>
      </c>
      <c r="D130" s="11" t="s">
        <v>351</v>
      </c>
      <c r="E130" s="12" t="s">
        <v>377</v>
      </c>
      <c r="F130" s="5"/>
      <c r="G130" s="5">
        <v>0</v>
      </c>
      <c r="H130" s="5">
        <v>551</v>
      </c>
      <c r="I130" s="5">
        <v>32</v>
      </c>
      <c r="J130" s="5">
        <v>120</v>
      </c>
      <c r="K130" s="6">
        <f t="shared" si="2"/>
        <v>703</v>
      </c>
    </row>
    <row r="131" spans="1:11" x14ac:dyDescent="0.25">
      <c r="A131" s="4">
        <v>2021</v>
      </c>
      <c r="B131" s="11" t="s">
        <v>380</v>
      </c>
      <c r="C131" s="11" t="s">
        <v>350</v>
      </c>
      <c r="D131" s="11" t="s">
        <v>351</v>
      </c>
      <c r="E131" s="12" t="s">
        <v>381</v>
      </c>
      <c r="F131" s="5"/>
      <c r="G131" s="5">
        <v>0</v>
      </c>
      <c r="H131" s="5">
        <v>551</v>
      </c>
      <c r="I131" s="5">
        <v>32</v>
      </c>
      <c r="J131" s="5">
        <v>120</v>
      </c>
      <c r="K131" s="6">
        <f t="shared" si="2"/>
        <v>703</v>
      </c>
    </row>
    <row r="132" spans="1:11" x14ac:dyDescent="0.25">
      <c r="A132" s="4">
        <v>2021</v>
      </c>
      <c r="B132" s="11" t="s">
        <v>360</v>
      </c>
      <c r="C132" s="11" t="s">
        <v>350</v>
      </c>
      <c r="D132" s="11" t="s">
        <v>351</v>
      </c>
      <c r="E132" s="12" t="s">
        <v>361</v>
      </c>
      <c r="F132" s="5"/>
      <c r="G132" s="5">
        <v>0</v>
      </c>
      <c r="H132" s="5">
        <v>551</v>
      </c>
      <c r="I132" s="5">
        <v>32</v>
      </c>
      <c r="J132" s="5">
        <v>120</v>
      </c>
      <c r="K132" s="6">
        <f t="shared" si="2"/>
        <v>703</v>
      </c>
    </row>
    <row r="133" spans="1:11" x14ac:dyDescent="0.25">
      <c r="A133" s="4">
        <v>2021</v>
      </c>
      <c r="B133" s="11" t="s">
        <v>368</v>
      </c>
      <c r="C133" s="11" t="s">
        <v>350</v>
      </c>
      <c r="D133" s="11" t="s">
        <v>351</v>
      </c>
      <c r="E133" s="12" t="s">
        <v>369</v>
      </c>
      <c r="F133" s="5"/>
      <c r="G133" s="5">
        <v>0</v>
      </c>
      <c r="H133" s="5">
        <v>551</v>
      </c>
      <c r="I133" s="5">
        <v>32</v>
      </c>
      <c r="J133" s="5">
        <v>120</v>
      </c>
      <c r="K133" s="6">
        <f t="shared" si="2"/>
        <v>703</v>
      </c>
    </row>
    <row r="134" spans="1:11" x14ac:dyDescent="0.25">
      <c r="A134" s="4">
        <v>2021</v>
      </c>
      <c r="B134" s="11" t="s">
        <v>358</v>
      </c>
      <c r="C134" s="11" t="s">
        <v>350</v>
      </c>
      <c r="D134" s="11" t="s">
        <v>351</v>
      </c>
      <c r="E134" s="12" t="s">
        <v>359</v>
      </c>
      <c r="F134" s="5"/>
      <c r="G134" s="5">
        <v>0</v>
      </c>
      <c r="H134" s="5">
        <v>551</v>
      </c>
      <c r="I134" s="5">
        <v>32</v>
      </c>
      <c r="J134" s="5">
        <v>120</v>
      </c>
      <c r="K134" s="6">
        <f t="shared" si="2"/>
        <v>703</v>
      </c>
    </row>
    <row r="135" spans="1:11" x14ac:dyDescent="0.25">
      <c r="A135" s="4">
        <v>2021</v>
      </c>
      <c r="B135" s="11" t="s">
        <v>362</v>
      </c>
      <c r="C135" s="11" t="s">
        <v>350</v>
      </c>
      <c r="D135" s="11" t="s">
        <v>351</v>
      </c>
      <c r="E135" s="12" t="s">
        <v>363</v>
      </c>
      <c r="F135" s="5"/>
      <c r="G135" s="5">
        <v>0</v>
      </c>
      <c r="H135" s="5">
        <v>551</v>
      </c>
      <c r="I135" s="5">
        <v>32</v>
      </c>
      <c r="J135" s="5">
        <v>120</v>
      </c>
      <c r="K135" s="6">
        <f t="shared" si="2"/>
        <v>703</v>
      </c>
    </row>
    <row r="136" spans="1:11" x14ac:dyDescent="0.25">
      <c r="A136" s="4">
        <v>2021</v>
      </c>
      <c r="B136" s="11" t="s">
        <v>374</v>
      </c>
      <c r="C136" s="11" t="s">
        <v>350</v>
      </c>
      <c r="D136" s="11" t="s">
        <v>351</v>
      </c>
      <c r="E136" s="12" t="s">
        <v>375</v>
      </c>
      <c r="F136" s="5"/>
      <c r="G136" s="5">
        <v>0</v>
      </c>
      <c r="H136" s="5">
        <v>551</v>
      </c>
      <c r="I136" s="5">
        <v>32</v>
      </c>
      <c r="J136" s="5">
        <v>120</v>
      </c>
      <c r="K136" s="6">
        <f t="shared" si="2"/>
        <v>703</v>
      </c>
    </row>
    <row r="137" spans="1:11" x14ac:dyDescent="0.25">
      <c r="A137" s="4">
        <v>2021</v>
      </c>
      <c r="B137" s="11" t="s">
        <v>364</v>
      </c>
      <c r="C137" s="11" t="s">
        <v>350</v>
      </c>
      <c r="D137" s="11" t="s">
        <v>351</v>
      </c>
      <c r="E137" s="12" t="s">
        <v>365</v>
      </c>
      <c r="F137" s="5"/>
      <c r="G137" s="5">
        <v>0</v>
      </c>
      <c r="H137" s="5">
        <v>551</v>
      </c>
      <c r="I137" s="5">
        <v>32</v>
      </c>
      <c r="J137" s="5">
        <v>120</v>
      </c>
      <c r="K137" s="6">
        <f t="shared" si="2"/>
        <v>703</v>
      </c>
    </row>
    <row r="138" spans="1:11" x14ac:dyDescent="0.25">
      <c r="A138" s="4">
        <v>2021</v>
      </c>
      <c r="B138" s="11" t="s">
        <v>366</v>
      </c>
      <c r="C138" s="11" t="s">
        <v>350</v>
      </c>
      <c r="D138" s="11" t="s">
        <v>351</v>
      </c>
      <c r="E138" s="12" t="s">
        <v>367</v>
      </c>
      <c r="F138" s="5"/>
      <c r="G138" s="5">
        <v>0</v>
      </c>
      <c r="H138" s="5">
        <v>551</v>
      </c>
      <c r="I138" s="5">
        <v>32</v>
      </c>
      <c r="J138" s="5">
        <v>120</v>
      </c>
      <c r="K138" s="6">
        <f t="shared" si="2"/>
        <v>703</v>
      </c>
    </row>
    <row r="139" spans="1:11" x14ac:dyDescent="0.25">
      <c r="A139" s="4">
        <v>2021</v>
      </c>
      <c r="B139" s="11" t="s">
        <v>372</v>
      </c>
      <c r="C139" s="11" t="s">
        <v>350</v>
      </c>
      <c r="D139" s="11" t="s">
        <v>351</v>
      </c>
      <c r="E139" s="12" t="s">
        <v>373</v>
      </c>
      <c r="F139" s="5"/>
      <c r="G139" s="5">
        <v>0</v>
      </c>
      <c r="H139" s="5">
        <v>551</v>
      </c>
      <c r="I139" s="5">
        <v>32</v>
      </c>
      <c r="J139" s="5">
        <v>120</v>
      </c>
      <c r="K139" s="6">
        <f t="shared" si="2"/>
        <v>703</v>
      </c>
    </row>
    <row r="140" spans="1:11" x14ac:dyDescent="0.25">
      <c r="A140" s="4">
        <v>2021</v>
      </c>
      <c r="B140" s="11" t="s">
        <v>370</v>
      </c>
      <c r="C140" s="11" t="s">
        <v>350</v>
      </c>
      <c r="D140" s="11" t="s">
        <v>351</v>
      </c>
      <c r="E140" s="12" t="s">
        <v>371</v>
      </c>
      <c r="F140" s="5"/>
      <c r="G140" s="5">
        <v>0</v>
      </c>
      <c r="H140" s="5">
        <v>551</v>
      </c>
      <c r="I140" s="5">
        <v>32</v>
      </c>
      <c r="J140" s="5">
        <v>120</v>
      </c>
      <c r="K140" s="6">
        <f t="shared" si="2"/>
        <v>703</v>
      </c>
    </row>
    <row r="141" spans="1:11" x14ac:dyDescent="0.25">
      <c r="A141" s="4">
        <v>2021</v>
      </c>
      <c r="B141" s="11" t="s">
        <v>356</v>
      </c>
      <c r="C141" s="11" t="s">
        <v>350</v>
      </c>
      <c r="D141" s="11" t="s">
        <v>351</v>
      </c>
      <c r="E141" s="12" t="s">
        <v>357</v>
      </c>
      <c r="F141" s="5"/>
      <c r="G141" s="5">
        <v>0</v>
      </c>
      <c r="H141" s="5">
        <v>551</v>
      </c>
      <c r="I141" s="5">
        <v>32</v>
      </c>
      <c r="J141" s="5">
        <v>120</v>
      </c>
      <c r="K141" s="6">
        <f t="shared" si="2"/>
        <v>703</v>
      </c>
    </row>
    <row r="142" spans="1:11" x14ac:dyDescent="0.25">
      <c r="A142" s="4">
        <v>2021</v>
      </c>
      <c r="B142" s="11" t="s">
        <v>354</v>
      </c>
      <c r="C142" s="11" t="s">
        <v>350</v>
      </c>
      <c r="D142" s="11" t="s">
        <v>351</v>
      </c>
      <c r="E142" s="12" t="s">
        <v>355</v>
      </c>
      <c r="F142" s="5"/>
      <c r="G142" s="5">
        <v>0</v>
      </c>
      <c r="H142" s="5">
        <v>551</v>
      </c>
      <c r="I142" s="5">
        <v>32</v>
      </c>
      <c r="J142" s="5">
        <v>120</v>
      </c>
      <c r="K142" s="6">
        <f t="shared" si="2"/>
        <v>703</v>
      </c>
    </row>
    <row r="143" spans="1:11" x14ac:dyDescent="0.25">
      <c r="A143" s="4">
        <v>2021</v>
      </c>
      <c r="B143" s="11" t="s">
        <v>349</v>
      </c>
      <c r="C143" s="11" t="s">
        <v>350</v>
      </c>
      <c r="D143" s="11" t="s">
        <v>351</v>
      </c>
      <c r="E143" s="12" t="s">
        <v>352</v>
      </c>
      <c r="F143" s="5"/>
      <c r="G143" s="5">
        <v>0</v>
      </c>
      <c r="H143" s="5">
        <v>551</v>
      </c>
      <c r="I143" s="5">
        <v>32</v>
      </c>
      <c r="J143" s="5">
        <v>120</v>
      </c>
      <c r="K143" s="6">
        <f t="shared" si="2"/>
        <v>703</v>
      </c>
    </row>
    <row r="144" spans="1:11" x14ac:dyDescent="0.25">
      <c r="A144" s="4">
        <v>2021</v>
      </c>
      <c r="B144" s="11" t="s">
        <v>399</v>
      </c>
      <c r="C144" s="11" t="s">
        <v>400</v>
      </c>
      <c r="D144" s="11" t="s">
        <v>401</v>
      </c>
      <c r="E144" s="12" t="s">
        <v>402</v>
      </c>
      <c r="F144" s="5"/>
      <c r="G144" s="5">
        <v>0</v>
      </c>
      <c r="H144" s="5">
        <v>551</v>
      </c>
      <c r="I144" s="5">
        <v>32</v>
      </c>
      <c r="J144" s="5">
        <v>120</v>
      </c>
      <c r="K144" s="6">
        <f t="shared" si="2"/>
        <v>703</v>
      </c>
    </row>
    <row r="145" spans="1:11" x14ac:dyDescent="0.25">
      <c r="A145" s="4">
        <v>2021</v>
      </c>
      <c r="B145" s="11" t="s">
        <v>395</v>
      </c>
      <c r="C145" s="11" t="s">
        <v>396</v>
      </c>
      <c r="D145" s="11" t="s">
        <v>397</v>
      </c>
      <c r="E145" s="12" t="s">
        <v>398</v>
      </c>
      <c r="F145" s="5"/>
      <c r="G145" s="5">
        <v>0</v>
      </c>
      <c r="H145" s="5">
        <v>551</v>
      </c>
      <c r="I145" s="5">
        <v>32</v>
      </c>
      <c r="J145" s="5">
        <v>120</v>
      </c>
      <c r="K145" s="6">
        <f t="shared" si="2"/>
        <v>703</v>
      </c>
    </row>
    <row r="146" spans="1:11" x14ac:dyDescent="0.25">
      <c r="A146" s="35">
        <v>2020</v>
      </c>
      <c r="B146" s="33" t="s">
        <v>288</v>
      </c>
      <c r="C146" s="33" t="s">
        <v>289</v>
      </c>
      <c r="D146" s="33" t="s">
        <v>290</v>
      </c>
      <c r="E146" s="34" t="s">
        <v>291</v>
      </c>
      <c r="F146" s="36"/>
      <c r="G146" s="36">
        <v>0</v>
      </c>
      <c r="H146" s="36">
        <v>551</v>
      </c>
      <c r="I146" s="36">
        <v>32</v>
      </c>
      <c r="J146" s="36">
        <v>120</v>
      </c>
      <c r="K146" s="6">
        <f t="shared" si="2"/>
        <v>703</v>
      </c>
    </row>
    <row r="147" spans="1:11" x14ac:dyDescent="0.25">
      <c r="A147" s="35">
        <v>2020</v>
      </c>
      <c r="B147" s="33" t="s">
        <v>295</v>
      </c>
      <c r="C147" s="33" t="s">
        <v>289</v>
      </c>
      <c r="D147" s="33" t="s">
        <v>290</v>
      </c>
      <c r="E147" s="34" t="s">
        <v>296</v>
      </c>
      <c r="F147" s="36"/>
      <c r="G147" s="36">
        <v>0</v>
      </c>
      <c r="H147" s="36">
        <v>551</v>
      </c>
      <c r="I147" s="36">
        <v>32</v>
      </c>
      <c r="J147" s="36">
        <v>120</v>
      </c>
      <c r="K147" s="6">
        <f t="shared" si="2"/>
        <v>703</v>
      </c>
    </row>
    <row r="148" spans="1:11" x14ac:dyDescent="0.25">
      <c r="A148" s="35">
        <v>2020</v>
      </c>
      <c r="B148" s="33" t="s">
        <v>301</v>
      </c>
      <c r="C148" s="33" t="s">
        <v>289</v>
      </c>
      <c r="D148" s="33" t="s">
        <v>290</v>
      </c>
      <c r="E148" s="34" t="s">
        <v>302</v>
      </c>
      <c r="F148" s="36"/>
      <c r="G148" s="36">
        <v>0</v>
      </c>
      <c r="H148" s="36">
        <v>551</v>
      </c>
      <c r="I148" s="36">
        <v>32</v>
      </c>
      <c r="J148" s="36">
        <v>120</v>
      </c>
      <c r="K148" s="6">
        <f t="shared" si="2"/>
        <v>703</v>
      </c>
    </row>
    <row r="149" spans="1:11" x14ac:dyDescent="0.25">
      <c r="A149" s="35">
        <v>2020</v>
      </c>
      <c r="B149" s="33" t="s">
        <v>299</v>
      </c>
      <c r="C149" s="33" t="s">
        <v>289</v>
      </c>
      <c r="D149" s="33" t="s">
        <v>290</v>
      </c>
      <c r="E149" s="34" t="s">
        <v>300</v>
      </c>
      <c r="F149" s="36"/>
      <c r="G149" s="36">
        <v>0</v>
      </c>
      <c r="H149" s="36">
        <v>551</v>
      </c>
      <c r="I149" s="36">
        <v>32</v>
      </c>
      <c r="J149" s="36">
        <v>120</v>
      </c>
      <c r="K149" s="6">
        <f t="shared" si="2"/>
        <v>703</v>
      </c>
    </row>
    <row r="150" spans="1:11" x14ac:dyDescent="0.25">
      <c r="A150" s="35">
        <v>2020</v>
      </c>
      <c r="B150" s="33" t="s">
        <v>297</v>
      </c>
      <c r="C150" s="33" t="s">
        <v>289</v>
      </c>
      <c r="D150" s="33" t="s">
        <v>290</v>
      </c>
      <c r="E150" s="34" t="s">
        <v>298</v>
      </c>
      <c r="F150" s="36"/>
      <c r="G150" s="36">
        <v>0</v>
      </c>
      <c r="H150" s="36">
        <v>551</v>
      </c>
      <c r="I150" s="36">
        <v>32</v>
      </c>
      <c r="J150" s="36">
        <v>120</v>
      </c>
      <c r="K150" s="6">
        <f t="shared" si="2"/>
        <v>703</v>
      </c>
    </row>
    <row r="151" spans="1:11" x14ac:dyDescent="0.25">
      <c r="A151" s="35">
        <v>2020</v>
      </c>
      <c r="B151" s="33" t="s">
        <v>391</v>
      </c>
      <c r="C151" s="33" t="s">
        <v>383</v>
      </c>
      <c r="D151" s="33" t="s">
        <v>384</v>
      </c>
      <c r="E151" s="34" t="s">
        <v>392</v>
      </c>
      <c r="F151" s="36"/>
      <c r="G151" s="36">
        <v>0</v>
      </c>
      <c r="H151" s="36">
        <v>551</v>
      </c>
      <c r="I151" s="36">
        <v>32</v>
      </c>
      <c r="J151" s="36">
        <v>120</v>
      </c>
      <c r="K151" s="6">
        <f t="shared" si="2"/>
        <v>703</v>
      </c>
    </row>
    <row r="152" spans="1:11" x14ac:dyDescent="0.25">
      <c r="A152" s="35">
        <v>2020</v>
      </c>
      <c r="B152" s="33" t="s">
        <v>393</v>
      </c>
      <c r="C152" s="33" t="s">
        <v>383</v>
      </c>
      <c r="D152" s="33" t="s">
        <v>384</v>
      </c>
      <c r="E152" s="34" t="s">
        <v>394</v>
      </c>
      <c r="F152" s="36"/>
      <c r="G152" s="36">
        <v>0</v>
      </c>
      <c r="H152" s="36">
        <v>551</v>
      </c>
      <c r="I152" s="36">
        <v>32</v>
      </c>
      <c r="J152" s="36">
        <v>120</v>
      </c>
      <c r="K152" s="6">
        <f t="shared" si="2"/>
        <v>703</v>
      </c>
    </row>
    <row r="153" spans="1:11" x14ac:dyDescent="0.25">
      <c r="A153" s="35">
        <v>2020</v>
      </c>
      <c r="B153" s="33" t="s">
        <v>387</v>
      </c>
      <c r="C153" s="33" t="s">
        <v>383</v>
      </c>
      <c r="D153" s="33" t="s">
        <v>384</v>
      </c>
      <c r="E153" s="34" t="s">
        <v>388</v>
      </c>
      <c r="F153" s="36"/>
      <c r="G153" s="36">
        <v>0</v>
      </c>
      <c r="H153" s="36">
        <v>551</v>
      </c>
      <c r="I153" s="36">
        <v>32</v>
      </c>
      <c r="J153" s="36">
        <v>120</v>
      </c>
      <c r="K153" s="6">
        <f t="shared" si="2"/>
        <v>703</v>
      </c>
    </row>
    <row r="154" spans="1:11" x14ac:dyDescent="0.25">
      <c r="A154" s="35">
        <v>2020</v>
      </c>
      <c r="B154" s="33" t="s">
        <v>382</v>
      </c>
      <c r="C154" s="33" t="s">
        <v>383</v>
      </c>
      <c r="D154" s="33" t="s">
        <v>384</v>
      </c>
      <c r="E154" s="34" t="s">
        <v>385</v>
      </c>
      <c r="F154" s="36"/>
      <c r="G154" s="36">
        <v>0</v>
      </c>
      <c r="H154" s="36">
        <v>551</v>
      </c>
      <c r="I154" s="36">
        <v>32</v>
      </c>
      <c r="J154" s="36">
        <v>120</v>
      </c>
      <c r="K154" s="6">
        <f t="shared" si="2"/>
        <v>703</v>
      </c>
    </row>
    <row r="155" spans="1:11" x14ac:dyDescent="0.25">
      <c r="A155" s="35">
        <v>2020</v>
      </c>
      <c r="B155" s="33" t="s">
        <v>389</v>
      </c>
      <c r="C155" s="33" t="s">
        <v>383</v>
      </c>
      <c r="D155" s="33" t="s">
        <v>384</v>
      </c>
      <c r="E155" s="34" t="s">
        <v>390</v>
      </c>
      <c r="F155" s="36"/>
      <c r="G155" s="36">
        <v>0</v>
      </c>
      <c r="H155" s="36">
        <v>551</v>
      </c>
      <c r="I155" s="36">
        <v>32</v>
      </c>
      <c r="J155" s="36">
        <v>120</v>
      </c>
      <c r="K155" s="6">
        <f t="shared" si="2"/>
        <v>703</v>
      </c>
    </row>
    <row r="156" spans="1:11" x14ac:dyDescent="0.25">
      <c r="A156" s="35">
        <v>2020</v>
      </c>
      <c r="B156" s="33" t="s">
        <v>337</v>
      </c>
      <c r="C156" s="33" t="s">
        <v>331</v>
      </c>
      <c r="D156" s="33" t="s">
        <v>332</v>
      </c>
      <c r="E156" s="34" t="s">
        <v>338</v>
      </c>
      <c r="F156" s="36"/>
      <c r="G156" s="36">
        <v>0</v>
      </c>
      <c r="H156" s="36">
        <v>551</v>
      </c>
      <c r="I156" s="36">
        <v>32</v>
      </c>
      <c r="J156" s="36">
        <v>120</v>
      </c>
      <c r="K156" s="6">
        <f t="shared" si="2"/>
        <v>703</v>
      </c>
    </row>
    <row r="157" spans="1:11" x14ac:dyDescent="0.25">
      <c r="A157" s="35">
        <v>2020</v>
      </c>
      <c r="B157" s="33" t="s">
        <v>345</v>
      </c>
      <c r="C157" s="33" t="s">
        <v>331</v>
      </c>
      <c r="D157" s="33" t="s">
        <v>332</v>
      </c>
      <c r="E157" s="34" t="s">
        <v>346</v>
      </c>
      <c r="F157" s="36"/>
      <c r="G157" s="36">
        <v>0</v>
      </c>
      <c r="H157" s="36">
        <v>551</v>
      </c>
      <c r="I157" s="36">
        <v>32</v>
      </c>
      <c r="J157" s="36">
        <v>120</v>
      </c>
      <c r="K157" s="6">
        <f t="shared" si="2"/>
        <v>703</v>
      </c>
    </row>
    <row r="158" spans="1:11" x14ac:dyDescent="0.25">
      <c r="A158" s="35">
        <v>2020</v>
      </c>
      <c r="B158" s="33" t="s">
        <v>341</v>
      </c>
      <c r="C158" s="33" t="s">
        <v>331</v>
      </c>
      <c r="D158" s="33" t="s">
        <v>332</v>
      </c>
      <c r="E158" s="34" t="s">
        <v>342</v>
      </c>
      <c r="F158" s="36"/>
      <c r="G158" s="36">
        <v>0</v>
      </c>
      <c r="H158" s="36">
        <v>551</v>
      </c>
      <c r="I158" s="36">
        <v>32</v>
      </c>
      <c r="J158" s="36">
        <v>120</v>
      </c>
      <c r="K158" s="6">
        <f t="shared" si="2"/>
        <v>703</v>
      </c>
    </row>
    <row r="159" spans="1:11" x14ac:dyDescent="0.25">
      <c r="A159" s="35">
        <v>2020</v>
      </c>
      <c r="B159" s="33" t="s">
        <v>343</v>
      </c>
      <c r="C159" s="33" t="s">
        <v>331</v>
      </c>
      <c r="D159" s="33" t="s">
        <v>332</v>
      </c>
      <c r="E159" s="34" t="s">
        <v>344</v>
      </c>
      <c r="F159" s="36"/>
      <c r="G159" s="36">
        <v>0</v>
      </c>
      <c r="H159" s="36">
        <v>551</v>
      </c>
      <c r="I159" s="36">
        <v>32</v>
      </c>
      <c r="J159" s="36">
        <v>120</v>
      </c>
      <c r="K159" s="6">
        <f t="shared" si="2"/>
        <v>703</v>
      </c>
    </row>
    <row r="160" spans="1:11" x14ac:dyDescent="0.25">
      <c r="A160" s="35">
        <v>2020</v>
      </c>
      <c r="B160" s="33" t="s">
        <v>347</v>
      </c>
      <c r="C160" s="33" t="s">
        <v>331</v>
      </c>
      <c r="D160" s="33" t="s">
        <v>332</v>
      </c>
      <c r="E160" s="34" t="s">
        <v>348</v>
      </c>
      <c r="F160" s="36"/>
      <c r="G160" s="36">
        <v>0</v>
      </c>
      <c r="H160" s="36">
        <v>551</v>
      </c>
      <c r="I160" s="36">
        <v>32</v>
      </c>
      <c r="J160" s="36">
        <v>120</v>
      </c>
      <c r="K160" s="6">
        <f t="shared" si="2"/>
        <v>703</v>
      </c>
    </row>
    <row r="161" spans="1:11" x14ac:dyDescent="0.25">
      <c r="A161" s="35">
        <v>2020</v>
      </c>
      <c r="B161" s="33" t="s">
        <v>330</v>
      </c>
      <c r="C161" s="33" t="s">
        <v>331</v>
      </c>
      <c r="D161" s="33" t="s">
        <v>332</v>
      </c>
      <c r="E161" s="34" t="s">
        <v>333</v>
      </c>
      <c r="F161" s="36"/>
      <c r="G161" s="36">
        <v>0</v>
      </c>
      <c r="H161" s="36">
        <v>551</v>
      </c>
      <c r="I161" s="36">
        <v>32</v>
      </c>
      <c r="J161" s="36">
        <v>120</v>
      </c>
      <c r="K161" s="6">
        <f t="shared" si="2"/>
        <v>703</v>
      </c>
    </row>
    <row r="162" spans="1:11" x14ac:dyDescent="0.25">
      <c r="A162" s="35">
        <v>2020</v>
      </c>
      <c r="B162" s="33" t="s">
        <v>335</v>
      </c>
      <c r="C162" s="33" t="s">
        <v>331</v>
      </c>
      <c r="D162" s="33" t="s">
        <v>332</v>
      </c>
      <c r="E162" s="34" t="s">
        <v>336</v>
      </c>
      <c r="F162" s="36"/>
      <c r="G162" s="36">
        <v>0</v>
      </c>
      <c r="H162" s="36">
        <v>551</v>
      </c>
      <c r="I162" s="36">
        <v>32</v>
      </c>
      <c r="J162" s="36">
        <v>120</v>
      </c>
      <c r="K162" s="6">
        <f>SUM(F162:J162)</f>
        <v>703</v>
      </c>
    </row>
    <row r="163" spans="1:11" x14ac:dyDescent="0.25">
      <c r="A163" s="35">
        <v>2020</v>
      </c>
      <c r="B163" s="33" t="s">
        <v>339</v>
      </c>
      <c r="C163" s="33" t="s">
        <v>331</v>
      </c>
      <c r="D163" s="33" t="s">
        <v>332</v>
      </c>
      <c r="E163" s="34" t="s">
        <v>340</v>
      </c>
      <c r="F163" s="36"/>
      <c r="G163" s="36">
        <v>0</v>
      </c>
      <c r="H163" s="36">
        <v>551</v>
      </c>
      <c r="I163" s="36">
        <v>32</v>
      </c>
      <c r="J163" s="36">
        <v>120</v>
      </c>
      <c r="K163" s="6">
        <f t="shared" ref="K163:K225" si="3">SUM(F163:J163)</f>
        <v>703</v>
      </c>
    </row>
    <row r="164" spans="1:11" x14ac:dyDescent="0.25">
      <c r="A164" s="35">
        <v>2020</v>
      </c>
      <c r="B164" s="33" t="s">
        <v>318</v>
      </c>
      <c r="C164" s="33" t="s">
        <v>304</v>
      </c>
      <c r="D164" s="33" t="s">
        <v>305</v>
      </c>
      <c r="E164" s="34" t="s">
        <v>319</v>
      </c>
      <c r="F164" s="36"/>
      <c r="G164" s="36">
        <v>0</v>
      </c>
      <c r="H164" s="36">
        <v>551</v>
      </c>
      <c r="I164" s="36">
        <v>32</v>
      </c>
      <c r="J164" s="36">
        <v>120</v>
      </c>
      <c r="K164" s="6">
        <f t="shared" si="3"/>
        <v>703</v>
      </c>
    </row>
    <row r="165" spans="1:11" x14ac:dyDescent="0.25">
      <c r="A165" s="35">
        <v>2020</v>
      </c>
      <c r="B165" s="33" t="s">
        <v>312</v>
      </c>
      <c r="C165" s="33" t="s">
        <v>304</v>
      </c>
      <c r="D165" s="33" t="s">
        <v>305</v>
      </c>
      <c r="E165" s="34" t="s">
        <v>313</v>
      </c>
      <c r="F165" s="36"/>
      <c r="G165" s="36">
        <v>0</v>
      </c>
      <c r="H165" s="36">
        <v>551</v>
      </c>
      <c r="I165" s="36">
        <v>32</v>
      </c>
      <c r="J165" s="36">
        <v>120</v>
      </c>
      <c r="K165" s="6">
        <f t="shared" si="3"/>
        <v>703</v>
      </c>
    </row>
    <row r="166" spans="1:11" x14ac:dyDescent="0.25">
      <c r="A166" s="35">
        <v>2020</v>
      </c>
      <c r="B166" s="33" t="s">
        <v>326</v>
      </c>
      <c r="C166" s="33" t="s">
        <v>304</v>
      </c>
      <c r="D166" s="33" t="s">
        <v>305</v>
      </c>
      <c r="E166" s="34" t="s">
        <v>327</v>
      </c>
      <c r="F166" s="36"/>
      <c r="G166" s="36">
        <v>0</v>
      </c>
      <c r="H166" s="36">
        <v>551</v>
      </c>
      <c r="I166" s="36">
        <v>32</v>
      </c>
      <c r="J166" s="36">
        <v>120</v>
      </c>
      <c r="K166" s="6">
        <f t="shared" si="3"/>
        <v>703</v>
      </c>
    </row>
    <row r="167" spans="1:11" x14ac:dyDescent="0.25">
      <c r="A167" s="35">
        <v>2020</v>
      </c>
      <c r="B167" s="33" t="s">
        <v>322</v>
      </c>
      <c r="C167" s="33" t="s">
        <v>304</v>
      </c>
      <c r="D167" s="33" t="s">
        <v>305</v>
      </c>
      <c r="E167" s="34" t="s">
        <v>323</v>
      </c>
      <c r="F167" s="36"/>
      <c r="G167" s="36">
        <v>0</v>
      </c>
      <c r="H167" s="36">
        <v>551</v>
      </c>
      <c r="I167" s="36">
        <v>32</v>
      </c>
      <c r="J167" s="36">
        <v>120</v>
      </c>
      <c r="K167" s="6">
        <f t="shared" si="3"/>
        <v>703</v>
      </c>
    </row>
    <row r="168" spans="1:11" x14ac:dyDescent="0.25">
      <c r="A168" s="35">
        <v>2020</v>
      </c>
      <c r="B168" s="33" t="s">
        <v>324</v>
      </c>
      <c r="C168" s="33" t="s">
        <v>304</v>
      </c>
      <c r="D168" s="33" t="s">
        <v>305</v>
      </c>
      <c r="E168" s="34" t="s">
        <v>325</v>
      </c>
      <c r="F168" s="36"/>
      <c r="G168" s="36">
        <v>0</v>
      </c>
      <c r="H168" s="36">
        <v>551</v>
      </c>
      <c r="I168" s="36">
        <v>32</v>
      </c>
      <c r="J168" s="36">
        <v>120</v>
      </c>
      <c r="K168" s="6">
        <f t="shared" si="3"/>
        <v>703</v>
      </c>
    </row>
    <row r="169" spans="1:11" x14ac:dyDescent="0.25">
      <c r="A169" s="35">
        <v>2020</v>
      </c>
      <c r="B169" s="33" t="s">
        <v>328</v>
      </c>
      <c r="C169" s="33" t="s">
        <v>304</v>
      </c>
      <c r="D169" s="33" t="s">
        <v>305</v>
      </c>
      <c r="E169" s="34" t="s">
        <v>329</v>
      </c>
      <c r="F169" s="36"/>
      <c r="G169" s="36">
        <v>0</v>
      </c>
      <c r="H169" s="36">
        <v>551</v>
      </c>
      <c r="I169" s="36">
        <v>32</v>
      </c>
      <c r="J169" s="36">
        <v>120</v>
      </c>
      <c r="K169" s="6">
        <f t="shared" si="3"/>
        <v>703</v>
      </c>
    </row>
    <row r="170" spans="1:11" x14ac:dyDescent="0.25">
      <c r="A170" s="35">
        <v>2020</v>
      </c>
      <c r="B170" s="33" t="s">
        <v>314</v>
      </c>
      <c r="C170" s="33" t="s">
        <v>304</v>
      </c>
      <c r="D170" s="33" t="s">
        <v>305</v>
      </c>
      <c r="E170" s="34" t="s">
        <v>315</v>
      </c>
      <c r="F170" s="36"/>
      <c r="G170" s="36">
        <v>0</v>
      </c>
      <c r="H170" s="36">
        <v>551</v>
      </c>
      <c r="I170" s="36">
        <v>32</v>
      </c>
      <c r="J170" s="36">
        <v>120</v>
      </c>
      <c r="K170" s="6">
        <f t="shared" si="3"/>
        <v>703</v>
      </c>
    </row>
    <row r="171" spans="1:11" x14ac:dyDescent="0.25">
      <c r="A171" s="35">
        <v>2020</v>
      </c>
      <c r="B171" s="33" t="s">
        <v>316</v>
      </c>
      <c r="C171" s="33" t="s">
        <v>304</v>
      </c>
      <c r="D171" s="33" t="s">
        <v>305</v>
      </c>
      <c r="E171" s="34" t="s">
        <v>317</v>
      </c>
      <c r="F171" s="36"/>
      <c r="G171" s="36">
        <v>0</v>
      </c>
      <c r="H171" s="36">
        <v>551</v>
      </c>
      <c r="I171" s="36">
        <v>32</v>
      </c>
      <c r="J171" s="36">
        <v>120</v>
      </c>
      <c r="K171" s="6">
        <f t="shared" si="3"/>
        <v>703</v>
      </c>
    </row>
    <row r="172" spans="1:11" x14ac:dyDescent="0.25">
      <c r="A172" s="35">
        <v>2020</v>
      </c>
      <c r="B172" s="33" t="s">
        <v>320</v>
      </c>
      <c r="C172" s="33" t="s">
        <v>304</v>
      </c>
      <c r="D172" s="33" t="s">
        <v>305</v>
      </c>
      <c r="E172" s="34" t="s">
        <v>321</v>
      </c>
      <c r="F172" s="36"/>
      <c r="G172" s="36">
        <v>0</v>
      </c>
      <c r="H172" s="36">
        <v>551</v>
      </c>
      <c r="I172" s="36">
        <v>32</v>
      </c>
      <c r="J172" s="36">
        <v>120</v>
      </c>
      <c r="K172" s="6">
        <f t="shared" si="3"/>
        <v>703</v>
      </c>
    </row>
    <row r="173" spans="1:11" x14ac:dyDescent="0.25">
      <c r="A173" s="35">
        <v>2020</v>
      </c>
      <c r="B173" s="33" t="s">
        <v>310</v>
      </c>
      <c r="C173" s="33" t="s">
        <v>304</v>
      </c>
      <c r="D173" s="33" t="s">
        <v>305</v>
      </c>
      <c r="E173" s="34" t="s">
        <v>311</v>
      </c>
      <c r="F173" s="36"/>
      <c r="G173" s="36">
        <v>0</v>
      </c>
      <c r="H173" s="36">
        <v>551</v>
      </c>
      <c r="I173" s="36">
        <v>32</v>
      </c>
      <c r="J173" s="36">
        <v>120</v>
      </c>
      <c r="K173" s="6">
        <f t="shared" si="3"/>
        <v>703</v>
      </c>
    </row>
    <row r="174" spans="1:11" x14ac:dyDescent="0.25">
      <c r="A174" s="35">
        <v>2020</v>
      </c>
      <c r="B174" s="33" t="s">
        <v>308</v>
      </c>
      <c r="C174" s="33" t="s">
        <v>304</v>
      </c>
      <c r="D174" s="33" t="s">
        <v>305</v>
      </c>
      <c r="E174" s="34" t="s">
        <v>309</v>
      </c>
      <c r="F174" s="36"/>
      <c r="G174" s="36">
        <v>0</v>
      </c>
      <c r="H174" s="36">
        <v>551</v>
      </c>
      <c r="I174" s="36">
        <v>32</v>
      </c>
      <c r="J174" s="36">
        <v>120</v>
      </c>
      <c r="K174" s="6">
        <f t="shared" si="3"/>
        <v>703</v>
      </c>
    </row>
    <row r="175" spans="1:11" x14ac:dyDescent="0.25">
      <c r="A175" s="35">
        <v>2020</v>
      </c>
      <c r="B175" s="33" t="s">
        <v>303</v>
      </c>
      <c r="C175" s="33" t="s">
        <v>304</v>
      </c>
      <c r="D175" s="33" t="s">
        <v>305</v>
      </c>
      <c r="E175" s="34" t="s">
        <v>306</v>
      </c>
      <c r="F175" s="36"/>
      <c r="G175" s="36">
        <v>0</v>
      </c>
      <c r="H175" s="36">
        <v>551</v>
      </c>
      <c r="I175" s="36">
        <v>32</v>
      </c>
      <c r="J175" s="36">
        <v>120</v>
      </c>
      <c r="K175" s="6">
        <f t="shared" si="3"/>
        <v>703</v>
      </c>
    </row>
    <row r="176" spans="1:11" x14ac:dyDescent="0.25">
      <c r="A176" s="35">
        <v>2020</v>
      </c>
      <c r="B176" s="33" t="s">
        <v>293</v>
      </c>
      <c r="C176" s="33" t="s">
        <v>289</v>
      </c>
      <c r="D176" s="33" t="s">
        <v>290</v>
      </c>
      <c r="E176" s="34" t="s">
        <v>294</v>
      </c>
      <c r="F176" s="36"/>
      <c r="G176" s="36">
        <v>0</v>
      </c>
      <c r="H176" s="36">
        <v>551</v>
      </c>
      <c r="I176" s="36">
        <v>32</v>
      </c>
      <c r="J176" s="36">
        <v>120</v>
      </c>
      <c r="K176" s="6">
        <f t="shared" si="3"/>
        <v>703</v>
      </c>
    </row>
    <row r="177" spans="1:11" x14ac:dyDescent="0.25">
      <c r="A177" s="35">
        <v>2020</v>
      </c>
      <c r="B177" s="33" t="s">
        <v>378</v>
      </c>
      <c r="C177" s="33" t="s">
        <v>350</v>
      </c>
      <c r="D177" s="33" t="s">
        <v>351</v>
      </c>
      <c r="E177" s="34" t="s">
        <v>379</v>
      </c>
      <c r="F177" s="36"/>
      <c r="G177" s="36">
        <v>0</v>
      </c>
      <c r="H177" s="36">
        <v>551</v>
      </c>
      <c r="I177" s="36">
        <v>32</v>
      </c>
      <c r="J177" s="36">
        <v>120</v>
      </c>
      <c r="K177" s="6">
        <f t="shared" si="3"/>
        <v>703</v>
      </c>
    </row>
    <row r="178" spans="1:11" x14ac:dyDescent="0.25">
      <c r="A178" s="35">
        <v>2020</v>
      </c>
      <c r="B178" s="33" t="s">
        <v>376</v>
      </c>
      <c r="C178" s="33" t="s">
        <v>350</v>
      </c>
      <c r="D178" s="33" t="s">
        <v>351</v>
      </c>
      <c r="E178" s="34" t="s">
        <v>377</v>
      </c>
      <c r="F178" s="36"/>
      <c r="G178" s="36">
        <v>0</v>
      </c>
      <c r="H178" s="36">
        <v>551</v>
      </c>
      <c r="I178" s="36">
        <v>32</v>
      </c>
      <c r="J178" s="36">
        <v>120</v>
      </c>
      <c r="K178" s="6">
        <f t="shared" si="3"/>
        <v>703</v>
      </c>
    </row>
    <row r="179" spans="1:11" x14ac:dyDescent="0.25">
      <c r="A179" s="35">
        <v>2020</v>
      </c>
      <c r="B179" s="33" t="s">
        <v>380</v>
      </c>
      <c r="C179" s="33" t="s">
        <v>350</v>
      </c>
      <c r="D179" s="33" t="s">
        <v>351</v>
      </c>
      <c r="E179" s="34" t="s">
        <v>381</v>
      </c>
      <c r="F179" s="36"/>
      <c r="G179" s="36">
        <v>0</v>
      </c>
      <c r="H179" s="36">
        <v>551</v>
      </c>
      <c r="I179" s="36">
        <v>32</v>
      </c>
      <c r="J179" s="36">
        <v>120</v>
      </c>
      <c r="K179" s="6">
        <f t="shared" si="3"/>
        <v>703</v>
      </c>
    </row>
    <row r="180" spans="1:11" x14ac:dyDescent="0.25">
      <c r="A180" s="35">
        <v>2020</v>
      </c>
      <c r="B180" s="33" t="s">
        <v>360</v>
      </c>
      <c r="C180" s="33" t="s">
        <v>350</v>
      </c>
      <c r="D180" s="33" t="s">
        <v>351</v>
      </c>
      <c r="E180" s="34" t="s">
        <v>361</v>
      </c>
      <c r="F180" s="36"/>
      <c r="G180" s="36">
        <v>0</v>
      </c>
      <c r="H180" s="36">
        <v>551</v>
      </c>
      <c r="I180" s="36">
        <v>32</v>
      </c>
      <c r="J180" s="36">
        <v>120</v>
      </c>
      <c r="K180" s="6">
        <f t="shared" si="3"/>
        <v>703</v>
      </c>
    </row>
    <row r="181" spans="1:11" x14ac:dyDescent="0.25">
      <c r="A181" s="35">
        <v>2020</v>
      </c>
      <c r="B181" s="33" t="s">
        <v>368</v>
      </c>
      <c r="C181" s="33" t="s">
        <v>350</v>
      </c>
      <c r="D181" s="33" t="s">
        <v>351</v>
      </c>
      <c r="E181" s="34" t="s">
        <v>369</v>
      </c>
      <c r="F181" s="36"/>
      <c r="G181" s="36">
        <v>0</v>
      </c>
      <c r="H181" s="36">
        <v>551</v>
      </c>
      <c r="I181" s="36">
        <v>32</v>
      </c>
      <c r="J181" s="36">
        <v>120</v>
      </c>
      <c r="K181" s="6">
        <f t="shared" si="3"/>
        <v>703</v>
      </c>
    </row>
    <row r="182" spans="1:11" x14ac:dyDescent="0.25">
      <c r="A182" s="35">
        <v>2020</v>
      </c>
      <c r="B182" s="33" t="s">
        <v>358</v>
      </c>
      <c r="C182" s="33" t="s">
        <v>350</v>
      </c>
      <c r="D182" s="33" t="s">
        <v>351</v>
      </c>
      <c r="E182" s="34" t="s">
        <v>359</v>
      </c>
      <c r="F182" s="36"/>
      <c r="G182" s="36">
        <v>0</v>
      </c>
      <c r="H182" s="36">
        <v>551</v>
      </c>
      <c r="I182" s="36">
        <v>32</v>
      </c>
      <c r="J182" s="36">
        <v>120</v>
      </c>
      <c r="K182" s="6">
        <f t="shared" si="3"/>
        <v>703</v>
      </c>
    </row>
    <row r="183" spans="1:11" x14ac:dyDescent="0.25">
      <c r="A183" s="35">
        <v>2020</v>
      </c>
      <c r="B183" s="33" t="s">
        <v>362</v>
      </c>
      <c r="C183" s="33" t="s">
        <v>350</v>
      </c>
      <c r="D183" s="33" t="s">
        <v>351</v>
      </c>
      <c r="E183" s="34" t="s">
        <v>363</v>
      </c>
      <c r="F183" s="36"/>
      <c r="G183" s="36">
        <v>0</v>
      </c>
      <c r="H183" s="36">
        <v>551</v>
      </c>
      <c r="I183" s="36">
        <v>32</v>
      </c>
      <c r="J183" s="36">
        <v>120</v>
      </c>
      <c r="K183" s="6">
        <f t="shared" si="3"/>
        <v>703</v>
      </c>
    </row>
    <row r="184" spans="1:11" x14ac:dyDescent="0.25">
      <c r="A184" s="35">
        <v>2020</v>
      </c>
      <c r="B184" s="33" t="s">
        <v>374</v>
      </c>
      <c r="C184" s="33" t="s">
        <v>350</v>
      </c>
      <c r="D184" s="33" t="s">
        <v>351</v>
      </c>
      <c r="E184" s="34" t="s">
        <v>375</v>
      </c>
      <c r="F184" s="36"/>
      <c r="G184" s="36">
        <v>0</v>
      </c>
      <c r="H184" s="36">
        <v>551</v>
      </c>
      <c r="I184" s="36">
        <v>32</v>
      </c>
      <c r="J184" s="36">
        <v>120</v>
      </c>
      <c r="K184" s="6">
        <f t="shared" si="3"/>
        <v>703</v>
      </c>
    </row>
    <row r="185" spans="1:11" x14ac:dyDescent="0.25">
      <c r="A185" s="35">
        <v>2020</v>
      </c>
      <c r="B185" s="33" t="s">
        <v>364</v>
      </c>
      <c r="C185" s="33" t="s">
        <v>350</v>
      </c>
      <c r="D185" s="33" t="s">
        <v>351</v>
      </c>
      <c r="E185" s="34" t="s">
        <v>365</v>
      </c>
      <c r="F185" s="36"/>
      <c r="G185" s="36">
        <v>0</v>
      </c>
      <c r="H185" s="36">
        <v>551</v>
      </c>
      <c r="I185" s="36">
        <v>32</v>
      </c>
      <c r="J185" s="36">
        <v>120</v>
      </c>
      <c r="K185" s="6">
        <f t="shared" si="3"/>
        <v>703</v>
      </c>
    </row>
    <row r="186" spans="1:11" x14ac:dyDescent="0.25">
      <c r="A186" s="35">
        <v>2020</v>
      </c>
      <c r="B186" s="33" t="s">
        <v>366</v>
      </c>
      <c r="C186" s="33" t="s">
        <v>350</v>
      </c>
      <c r="D186" s="33" t="s">
        <v>351</v>
      </c>
      <c r="E186" s="34" t="s">
        <v>367</v>
      </c>
      <c r="F186" s="36"/>
      <c r="G186" s="36">
        <v>0</v>
      </c>
      <c r="H186" s="36">
        <v>551</v>
      </c>
      <c r="I186" s="36">
        <v>32</v>
      </c>
      <c r="J186" s="36">
        <v>120</v>
      </c>
      <c r="K186" s="6">
        <f t="shared" si="3"/>
        <v>703</v>
      </c>
    </row>
    <row r="187" spans="1:11" x14ac:dyDescent="0.25">
      <c r="A187" s="35">
        <v>2020</v>
      </c>
      <c r="B187" s="33" t="s">
        <v>372</v>
      </c>
      <c r="C187" s="33" t="s">
        <v>350</v>
      </c>
      <c r="D187" s="33" t="s">
        <v>351</v>
      </c>
      <c r="E187" s="34" t="s">
        <v>373</v>
      </c>
      <c r="F187" s="36"/>
      <c r="G187" s="36">
        <v>0</v>
      </c>
      <c r="H187" s="36">
        <v>551</v>
      </c>
      <c r="I187" s="36">
        <v>32</v>
      </c>
      <c r="J187" s="36">
        <v>120</v>
      </c>
      <c r="K187" s="6">
        <f t="shared" si="3"/>
        <v>703</v>
      </c>
    </row>
    <row r="188" spans="1:11" x14ac:dyDescent="0.25">
      <c r="A188" s="35">
        <v>2020</v>
      </c>
      <c r="B188" s="33" t="s">
        <v>370</v>
      </c>
      <c r="C188" s="33" t="s">
        <v>350</v>
      </c>
      <c r="D188" s="33" t="s">
        <v>351</v>
      </c>
      <c r="E188" s="34" t="s">
        <v>371</v>
      </c>
      <c r="F188" s="36"/>
      <c r="G188" s="36">
        <v>0</v>
      </c>
      <c r="H188" s="36">
        <v>551</v>
      </c>
      <c r="I188" s="36">
        <v>32</v>
      </c>
      <c r="J188" s="36">
        <v>120</v>
      </c>
      <c r="K188" s="6">
        <f t="shared" si="3"/>
        <v>703</v>
      </c>
    </row>
    <row r="189" spans="1:11" x14ac:dyDescent="0.25">
      <c r="A189" s="35">
        <v>2020</v>
      </c>
      <c r="B189" s="33" t="s">
        <v>356</v>
      </c>
      <c r="C189" s="33" t="s">
        <v>350</v>
      </c>
      <c r="D189" s="33" t="s">
        <v>351</v>
      </c>
      <c r="E189" s="34" t="s">
        <v>357</v>
      </c>
      <c r="F189" s="36"/>
      <c r="G189" s="36">
        <v>0</v>
      </c>
      <c r="H189" s="36">
        <v>551</v>
      </c>
      <c r="I189" s="36">
        <v>32</v>
      </c>
      <c r="J189" s="36">
        <v>120</v>
      </c>
      <c r="K189" s="6">
        <f t="shared" si="3"/>
        <v>703</v>
      </c>
    </row>
    <row r="190" spans="1:11" x14ac:dyDescent="0.25">
      <c r="A190" s="35">
        <v>2020</v>
      </c>
      <c r="B190" s="33" t="s">
        <v>354</v>
      </c>
      <c r="C190" s="33" t="s">
        <v>350</v>
      </c>
      <c r="D190" s="33" t="s">
        <v>351</v>
      </c>
      <c r="E190" s="34" t="s">
        <v>355</v>
      </c>
      <c r="F190" s="36"/>
      <c r="G190" s="36">
        <v>0</v>
      </c>
      <c r="H190" s="36">
        <v>551</v>
      </c>
      <c r="I190" s="36">
        <v>32</v>
      </c>
      <c r="J190" s="36">
        <v>120</v>
      </c>
      <c r="K190" s="6">
        <f t="shared" si="3"/>
        <v>703</v>
      </c>
    </row>
    <row r="191" spans="1:11" x14ac:dyDescent="0.25">
      <c r="A191" s="35">
        <v>2020</v>
      </c>
      <c r="B191" s="33" t="s">
        <v>349</v>
      </c>
      <c r="C191" s="33" t="s">
        <v>350</v>
      </c>
      <c r="D191" s="33" t="s">
        <v>351</v>
      </c>
      <c r="E191" s="34" t="s">
        <v>352</v>
      </c>
      <c r="F191" s="36"/>
      <c r="G191" s="36">
        <v>0</v>
      </c>
      <c r="H191" s="36">
        <v>551</v>
      </c>
      <c r="I191" s="36">
        <v>32</v>
      </c>
      <c r="J191" s="36">
        <v>120</v>
      </c>
      <c r="K191" s="6">
        <f t="shared" si="3"/>
        <v>703</v>
      </c>
    </row>
    <row r="192" spans="1:11" x14ac:dyDescent="0.25">
      <c r="A192" s="35">
        <v>2020</v>
      </c>
      <c r="B192" s="33" t="s">
        <v>399</v>
      </c>
      <c r="C192" s="33" t="s">
        <v>400</v>
      </c>
      <c r="D192" s="33" t="s">
        <v>401</v>
      </c>
      <c r="E192" s="34" t="s">
        <v>402</v>
      </c>
      <c r="F192" s="36"/>
      <c r="G192" s="36">
        <v>0</v>
      </c>
      <c r="H192" s="36">
        <v>551</v>
      </c>
      <c r="I192" s="36">
        <v>32</v>
      </c>
      <c r="J192" s="36">
        <v>120</v>
      </c>
      <c r="K192" s="6">
        <f t="shared" si="3"/>
        <v>703</v>
      </c>
    </row>
    <row r="193" spans="1:11" x14ac:dyDescent="0.25">
      <c r="A193" s="35">
        <v>2020</v>
      </c>
      <c r="B193" s="33" t="s">
        <v>395</v>
      </c>
      <c r="C193" s="33" t="s">
        <v>396</v>
      </c>
      <c r="D193" s="33" t="s">
        <v>397</v>
      </c>
      <c r="E193" s="34" t="s">
        <v>398</v>
      </c>
      <c r="F193" s="36"/>
      <c r="G193" s="36">
        <v>0</v>
      </c>
      <c r="H193" s="36">
        <v>551</v>
      </c>
      <c r="I193" s="36">
        <v>32</v>
      </c>
      <c r="J193" s="36">
        <v>120</v>
      </c>
      <c r="K193" s="6">
        <f t="shared" si="3"/>
        <v>703</v>
      </c>
    </row>
    <row r="194" spans="1:11" x14ac:dyDescent="0.25">
      <c r="A194" s="4">
        <v>2019</v>
      </c>
      <c r="B194" s="11" t="s">
        <v>288</v>
      </c>
      <c r="C194" s="11" t="s">
        <v>289</v>
      </c>
      <c r="D194" s="11" t="s">
        <v>290</v>
      </c>
      <c r="E194" s="12" t="s">
        <v>291</v>
      </c>
      <c r="F194" s="5"/>
      <c r="G194" s="5">
        <v>0</v>
      </c>
      <c r="H194" s="5">
        <v>551</v>
      </c>
      <c r="I194" s="5">
        <v>32</v>
      </c>
      <c r="J194" s="5">
        <v>120</v>
      </c>
      <c r="K194" s="6">
        <f t="shared" si="3"/>
        <v>703</v>
      </c>
    </row>
    <row r="195" spans="1:11" x14ac:dyDescent="0.25">
      <c r="A195" s="4">
        <v>2019</v>
      </c>
      <c r="B195" s="11" t="s">
        <v>295</v>
      </c>
      <c r="C195" s="11" t="s">
        <v>289</v>
      </c>
      <c r="D195" s="11" t="s">
        <v>290</v>
      </c>
      <c r="E195" s="12" t="s">
        <v>296</v>
      </c>
      <c r="F195" s="5"/>
      <c r="G195" s="5">
        <v>0</v>
      </c>
      <c r="H195" s="5">
        <v>551</v>
      </c>
      <c r="I195" s="5">
        <v>32</v>
      </c>
      <c r="J195" s="5">
        <v>120</v>
      </c>
      <c r="K195" s="6">
        <f t="shared" si="3"/>
        <v>703</v>
      </c>
    </row>
    <row r="196" spans="1:11" x14ac:dyDescent="0.25">
      <c r="A196" s="4">
        <v>2019</v>
      </c>
      <c r="B196" s="11" t="s">
        <v>301</v>
      </c>
      <c r="C196" s="11" t="s">
        <v>289</v>
      </c>
      <c r="D196" s="11" t="s">
        <v>290</v>
      </c>
      <c r="E196" s="12" t="s">
        <v>302</v>
      </c>
      <c r="F196" s="5"/>
      <c r="G196" s="5">
        <v>0</v>
      </c>
      <c r="H196" s="5">
        <v>551</v>
      </c>
      <c r="I196" s="5">
        <v>32</v>
      </c>
      <c r="J196" s="5">
        <v>120</v>
      </c>
      <c r="K196" s="6">
        <f t="shared" si="3"/>
        <v>703</v>
      </c>
    </row>
    <row r="197" spans="1:11" x14ac:dyDescent="0.25">
      <c r="A197" s="4">
        <v>2019</v>
      </c>
      <c r="B197" s="11" t="s">
        <v>299</v>
      </c>
      <c r="C197" s="11" t="s">
        <v>289</v>
      </c>
      <c r="D197" s="11" t="s">
        <v>290</v>
      </c>
      <c r="E197" s="12" t="s">
        <v>300</v>
      </c>
      <c r="F197" s="5"/>
      <c r="G197" s="5">
        <v>0</v>
      </c>
      <c r="H197" s="5">
        <v>551</v>
      </c>
      <c r="I197" s="5">
        <v>32</v>
      </c>
      <c r="J197" s="5">
        <v>120</v>
      </c>
      <c r="K197" s="6">
        <f t="shared" si="3"/>
        <v>703</v>
      </c>
    </row>
    <row r="198" spans="1:11" x14ac:dyDescent="0.25">
      <c r="A198" s="4">
        <v>2019</v>
      </c>
      <c r="B198" s="11" t="s">
        <v>297</v>
      </c>
      <c r="C198" s="11" t="s">
        <v>289</v>
      </c>
      <c r="D198" s="11" t="s">
        <v>290</v>
      </c>
      <c r="E198" s="12" t="s">
        <v>298</v>
      </c>
      <c r="F198" s="5"/>
      <c r="G198" s="5">
        <v>0</v>
      </c>
      <c r="H198" s="5">
        <v>551</v>
      </c>
      <c r="I198" s="5">
        <v>32</v>
      </c>
      <c r="J198" s="5">
        <v>120</v>
      </c>
      <c r="K198" s="6">
        <f t="shared" si="3"/>
        <v>703</v>
      </c>
    </row>
    <row r="199" spans="1:11" x14ac:dyDescent="0.25">
      <c r="A199" s="4">
        <v>2019</v>
      </c>
      <c r="B199" s="11" t="s">
        <v>391</v>
      </c>
      <c r="C199" s="11" t="s">
        <v>383</v>
      </c>
      <c r="D199" s="11" t="s">
        <v>384</v>
      </c>
      <c r="E199" s="12" t="s">
        <v>392</v>
      </c>
      <c r="F199" s="5"/>
      <c r="G199" s="5">
        <v>0</v>
      </c>
      <c r="H199" s="5">
        <v>551</v>
      </c>
      <c r="I199" s="5">
        <v>32</v>
      </c>
      <c r="J199" s="5">
        <v>120</v>
      </c>
      <c r="K199" s="6">
        <f t="shared" si="3"/>
        <v>703</v>
      </c>
    </row>
    <row r="200" spans="1:11" x14ac:dyDescent="0.25">
      <c r="A200" s="4">
        <v>2019</v>
      </c>
      <c r="B200" s="11" t="s">
        <v>393</v>
      </c>
      <c r="C200" s="11" t="s">
        <v>383</v>
      </c>
      <c r="D200" s="11" t="s">
        <v>384</v>
      </c>
      <c r="E200" s="12" t="s">
        <v>394</v>
      </c>
      <c r="F200" s="5"/>
      <c r="G200" s="5">
        <v>0</v>
      </c>
      <c r="H200" s="5">
        <v>551</v>
      </c>
      <c r="I200" s="5">
        <v>32</v>
      </c>
      <c r="J200" s="5">
        <v>120</v>
      </c>
      <c r="K200" s="6">
        <f t="shared" si="3"/>
        <v>703</v>
      </c>
    </row>
    <row r="201" spans="1:11" x14ac:dyDescent="0.25">
      <c r="A201" s="4">
        <v>2019</v>
      </c>
      <c r="B201" s="11" t="s">
        <v>387</v>
      </c>
      <c r="C201" s="11" t="s">
        <v>383</v>
      </c>
      <c r="D201" s="11" t="s">
        <v>384</v>
      </c>
      <c r="E201" s="12" t="s">
        <v>388</v>
      </c>
      <c r="F201" s="5"/>
      <c r="G201" s="5">
        <v>0</v>
      </c>
      <c r="H201" s="5">
        <v>551</v>
      </c>
      <c r="I201" s="5">
        <v>32</v>
      </c>
      <c r="J201" s="5">
        <v>120</v>
      </c>
      <c r="K201" s="6">
        <f t="shared" si="3"/>
        <v>703</v>
      </c>
    </row>
    <row r="202" spans="1:11" x14ac:dyDescent="0.25">
      <c r="A202" s="4">
        <v>2019</v>
      </c>
      <c r="B202" s="11" t="s">
        <v>382</v>
      </c>
      <c r="C202" s="11" t="s">
        <v>383</v>
      </c>
      <c r="D202" s="11" t="s">
        <v>384</v>
      </c>
      <c r="E202" s="12" t="s">
        <v>385</v>
      </c>
      <c r="F202" s="5"/>
      <c r="G202" s="5">
        <v>0</v>
      </c>
      <c r="H202" s="5">
        <v>551</v>
      </c>
      <c r="I202" s="5">
        <v>32</v>
      </c>
      <c r="J202" s="5">
        <v>120</v>
      </c>
      <c r="K202" s="6">
        <f t="shared" si="3"/>
        <v>703</v>
      </c>
    </row>
    <row r="203" spans="1:11" x14ac:dyDescent="0.25">
      <c r="A203" s="4">
        <v>2019</v>
      </c>
      <c r="B203" s="11" t="s">
        <v>389</v>
      </c>
      <c r="C203" s="11" t="s">
        <v>383</v>
      </c>
      <c r="D203" s="11" t="s">
        <v>384</v>
      </c>
      <c r="E203" s="12" t="s">
        <v>390</v>
      </c>
      <c r="F203" s="5"/>
      <c r="G203" s="5">
        <v>0</v>
      </c>
      <c r="H203" s="5">
        <v>551</v>
      </c>
      <c r="I203" s="5">
        <v>32</v>
      </c>
      <c r="J203" s="5">
        <v>120</v>
      </c>
      <c r="K203" s="6">
        <f t="shared" si="3"/>
        <v>703</v>
      </c>
    </row>
    <row r="204" spans="1:11" x14ac:dyDescent="0.25">
      <c r="A204" s="4">
        <v>2019</v>
      </c>
      <c r="B204" s="11" t="s">
        <v>337</v>
      </c>
      <c r="C204" s="11" t="s">
        <v>331</v>
      </c>
      <c r="D204" s="11" t="s">
        <v>332</v>
      </c>
      <c r="E204" s="12" t="s">
        <v>338</v>
      </c>
      <c r="F204" s="5"/>
      <c r="G204" s="5">
        <v>0</v>
      </c>
      <c r="H204" s="5">
        <v>551</v>
      </c>
      <c r="I204" s="5">
        <v>32</v>
      </c>
      <c r="J204" s="5">
        <v>120</v>
      </c>
      <c r="K204" s="6">
        <f t="shared" si="3"/>
        <v>703</v>
      </c>
    </row>
    <row r="205" spans="1:11" x14ac:dyDescent="0.25">
      <c r="A205" s="4">
        <v>2019</v>
      </c>
      <c r="B205" s="11" t="s">
        <v>345</v>
      </c>
      <c r="C205" s="11" t="s">
        <v>331</v>
      </c>
      <c r="D205" s="11" t="s">
        <v>332</v>
      </c>
      <c r="E205" s="12" t="s">
        <v>346</v>
      </c>
      <c r="F205" s="5"/>
      <c r="G205" s="5">
        <v>0</v>
      </c>
      <c r="H205" s="5">
        <v>551</v>
      </c>
      <c r="I205" s="5">
        <v>32</v>
      </c>
      <c r="J205" s="5">
        <v>120</v>
      </c>
      <c r="K205" s="6">
        <f t="shared" si="3"/>
        <v>703</v>
      </c>
    </row>
    <row r="206" spans="1:11" x14ac:dyDescent="0.25">
      <c r="A206" s="4">
        <v>2019</v>
      </c>
      <c r="B206" s="11" t="s">
        <v>341</v>
      </c>
      <c r="C206" s="11" t="s">
        <v>331</v>
      </c>
      <c r="D206" s="11" t="s">
        <v>332</v>
      </c>
      <c r="E206" s="12" t="s">
        <v>342</v>
      </c>
      <c r="F206" s="5"/>
      <c r="G206" s="5">
        <v>0</v>
      </c>
      <c r="H206" s="5">
        <v>551</v>
      </c>
      <c r="I206" s="5">
        <v>32</v>
      </c>
      <c r="J206" s="5">
        <v>120</v>
      </c>
      <c r="K206" s="6">
        <f t="shared" si="3"/>
        <v>703</v>
      </c>
    </row>
    <row r="207" spans="1:11" x14ac:dyDescent="0.25">
      <c r="A207" s="4">
        <v>2019</v>
      </c>
      <c r="B207" s="11" t="s">
        <v>343</v>
      </c>
      <c r="C207" s="11" t="s">
        <v>331</v>
      </c>
      <c r="D207" s="11" t="s">
        <v>332</v>
      </c>
      <c r="E207" s="12" t="s">
        <v>344</v>
      </c>
      <c r="F207" s="5"/>
      <c r="G207" s="5">
        <v>0</v>
      </c>
      <c r="H207" s="5">
        <v>551</v>
      </c>
      <c r="I207" s="5">
        <v>32</v>
      </c>
      <c r="J207" s="5">
        <v>120</v>
      </c>
      <c r="K207" s="6">
        <f t="shared" si="3"/>
        <v>703</v>
      </c>
    </row>
    <row r="208" spans="1:11" x14ac:dyDescent="0.25">
      <c r="A208" s="4">
        <v>2019</v>
      </c>
      <c r="B208" s="11" t="s">
        <v>347</v>
      </c>
      <c r="C208" s="11" t="s">
        <v>331</v>
      </c>
      <c r="D208" s="11" t="s">
        <v>332</v>
      </c>
      <c r="E208" s="12" t="s">
        <v>348</v>
      </c>
      <c r="F208" s="5"/>
      <c r="G208" s="5">
        <v>0</v>
      </c>
      <c r="H208" s="5">
        <v>551</v>
      </c>
      <c r="I208" s="5">
        <v>32</v>
      </c>
      <c r="J208" s="5">
        <v>120</v>
      </c>
      <c r="K208" s="6">
        <f t="shared" si="3"/>
        <v>703</v>
      </c>
    </row>
    <row r="209" spans="1:11" x14ac:dyDescent="0.25">
      <c r="A209" s="4">
        <v>2019</v>
      </c>
      <c r="B209" s="11" t="s">
        <v>330</v>
      </c>
      <c r="C209" s="11" t="s">
        <v>331</v>
      </c>
      <c r="D209" s="11" t="s">
        <v>332</v>
      </c>
      <c r="E209" s="12" t="s">
        <v>333</v>
      </c>
      <c r="F209" s="5"/>
      <c r="G209" s="5">
        <v>0</v>
      </c>
      <c r="H209" s="5">
        <v>551</v>
      </c>
      <c r="I209" s="5">
        <v>32</v>
      </c>
      <c r="J209" s="5">
        <v>120</v>
      </c>
      <c r="K209" s="6">
        <f t="shared" si="3"/>
        <v>703</v>
      </c>
    </row>
    <row r="210" spans="1:11" x14ac:dyDescent="0.25">
      <c r="A210" s="4">
        <v>2019</v>
      </c>
      <c r="B210" s="11" t="s">
        <v>335</v>
      </c>
      <c r="C210" s="11" t="s">
        <v>331</v>
      </c>
      <c r="D210" s="11" t="s">
        <v>332</v>
      </c>
      <c r="E210" s="12" t="s">
        <v>336</v>
      </c>
      <c r="F210" s="5"/>
      <c r="G210" s="5">
        <v>0</v>
      </c>
      <c r="H210" s="5">
        <v>551</v>
      </c>
      <c r="I210" s="5">
        <v>32</v>
      </c>
      <c r="J210" s="5">
        <v>120</v>
      </c>
      <c r="K210" s="6">
        <f t="shared" si="3"/>
        <v>703</v>
      </c>
    </row>
    <row r="211" spans="1:11" x14ac:dyDescent="0.25">
      <c r="A211" s="4">
        <v>2019</v>
      </c>
      <c r="B211" s="11" t="s">
        <v>339</v>
      </c>
      <c r="C211" s="11" t="s">
        <v>331</v>
      </c>
      <c r="D211" s="11" t="s">
        <v>332</v>
      </c>
      <c r="E211" s="12" t="s">
        <v>340</v>
      </c>
      <c r="F211" s="5"/>
      <c r="G211" s="5">
        <v>0</v>
      </c>
      <c r="H211" s="5">
        <v>551</v>
      </c>
      <c r="I211" s="5">
        <v>32</v>
      </c>
      <c r="J211" s="5">
        <v>120</v>
      </c>
      <c r="K211" s="6">
        <f t="shared" si="3"/>
        <v>703</v>
      </c>
    </row>
    <row r="212" spans="1:11" x14ac:dyDescent="0.25">
      <c r="A212" s="4">
        <v>2019</v>
      </c>
      <c r="B212" s="11" t="s">
        <v>318</v>
      </c>
      <c r="C212" s="11" t="s">
        <v>304</v>
      </c>
      <c r="D212" s="11" t="s">
        <v>305</v>
      </c>
      <c r="E212" s="12" t="s">
        <v>319</v>
      </c>
      <c r="F212" s="5"/>
      <c r="G212" s="5">
        <v>0</v>
      </c>
      <c r="H212" s="5">
        <v>551</v>
      </c>
      <c r="I212" s="5">
        <v>32</v>
      </c>
      <c r="J212" s="5">
        <v>120</v>
      </c>
      <c r="K212" s="6">
        <f t="shared" si="3"/>
        <v>703</v>
      </c>
    </row>
    <row r="213" spans="1:11" x14ac:dyDescent="0.25">
      <c r="A213" s="4">
        <v>2019</v>
      </c>
      <c r="B213" s="11" t="s">
        <v>312</v>
      </c>
      <c r="C213" s="11" t="s">
        <v>304</v>
      </c>
      <c r="D213" s="11" t="s">
        <v>305</v>
      </c>
      <c r="E213" s="12" t="s">
        <v>313</v>
      </c>
      <c r="F213" s="5"/>
      <c r="G213" s="5">
        <v>0</v>
      </c>
      <c r="H213" s="5">
        <v>551</v>
      </c>
      <c r="I213" s="5">
        <v>32</v>
      </c>
      <c r="J213" s="5">
        <v>120</v>
      </c>
      <c r="K213" s="6">
        <f t="shared" si="3"/>
        <v>703</v>
      </c>
    </row>
    <row r="214" spans="1:11" x14ac:dyDescent="0.25">
      <c r="A214" s="4">
        <v>2019</v>
      </c>
      <c r="B214" s="11" t="s">
        <v>326</v>
      </c>
      <c r="C214" s="11" t="s">
        <v>304</v>
      </c>
      <c r="D214" s="11" t="s">
        <v>305</v>
      </c>
      <c r="E214" s="12" t="s">
        <v>327</v>
      </c>
      <c r="F214" s="5"/>
      <c r="G214" s="5">
        <v>0</v>
      </c>
      <c r="H214" s="5">
        <v>551</v>
      </c>
      <c r="I214" s="5">
        <v>32</v>
      </c>
      <c r="J214" s="5">
        <v>120</v>
      </c>
      <c r="K214" s="6">
        <f t="shared" si="3"/>
        <v>703</v>
      </c>
    </row>
    <row r="215" spans="1:11" x14ac:dyDescent="0.25">
      <c r="A215" s="4">
        <v>2019</v>
      </c>
      <c r="B215" s="11" t="s">
        <v>322</v>
      </c>
      <c r="C215" s="11" t="s">
        <v>304</v>
      </c>
      <c r="D215" s="11" t="s">
        <v>305</v>
      </c>
      <c r="E215" s="12" t="s">
        <v>323</v>
      </c>
      <c r="F215" s="5"/>
      <c r="G215" s="5">
        <v>0</v>
      </c>
      <c r="H215" s="5">
        <v>551</v>
      </c>
      <c r="I215" s="5">
        <v>32</v>
      </c>
      <c r="J215" s="5">
        <v>120</v>
      </c>
      <c r="K215" s="6">
        <f t="shared" si="3"/>
        <v>703</v>
      </c>
    </row>
    <row r="216" spans="1:11" x14ac:dyDescent="0.25">
      <c r="A216" s="4">
        <v>2019</v>
      </c>
      <c r="B216" s="11" t="s">
        <v>324</v>
      </c>
      <c r="C216" s="11" t="s">
        <v>304</v>
      </c>
      <c r="D216" s="11" t="s">
        <v>305</v>
      </c>
      <c r="E216" s="12" t="s">
        <v>325</v>
      </c>
      <c r="F216" s="5"/>
      <c r="G216" s="5">
        <v>0</v>
      </c>
      <c r="H216" s="5">
        <v>551</v>
      </c>
      <c r="I216" s="5">
        <v>32</v>
      </c>
      <c r="J216" s="5">
        <v>120</v>
      </c>
      <c r="K216" s="6">
        <f t="shared" si="3"/>
        <v>703</v>
      </c>
    </row>
    <row r="217" spans="1:11" x14ac:dyDescent="0.25">
      <c r="A217" s="4">
        <v>2019</v>
      </c>
      <c r="B217" s="11" t="s">
        <v>328</v>
      </c>
      <c r="C217" s="11" t="s">
        <v>304</v>
      </c>
      <c r="D217" s="11" t="s">
        <v>305</v>
      </c>
      <c r="E217" s="12" t="s">
        <v>329</v>
      </c>
      <c r="F217" s="5"/>
      <c r="G217" s="5">
        <v>0</v>
      </c>
      <c r="H217" s="5">
        <v>551</v>
      </c>
      <c r="I217" s="5">
        <v>32</v>
      </c>
      <c r="J217" s="5">
        <v>120</v>
      </c>
      <c r="K217" s="6">
        <f t="shared" si="3"/>
        <v>703</v>
      </c>
    </row>
    <row r="218" spans="1:11" x14ac:dyDescent="0.25">
      <c r="A218" s="4">
        <v>2019</v>
      </c>
      <c r="B218" s="11" t="s">
        <v>314</v>
      </c>
      <c r="C218" s="11" t="s">
        <v>304</v>
      </c>
      <c r="D218" s="11" t="s">
        <v>305</v>
      </c>
      <c r="E218" s="12" t="s">
        <v>315</v>
      </c>
      <c r="F218" s="5"/>
      <c r="G218" s="5">
        <v>0</v>
      </c>
      <c r="H218" s="5">
        <v>551</v>
      </c>
      <c r="I218" s="5">
        <v>32</v>
      </c>
      <c r="J218" s="5">
        <v>120</v>
      </c>
      <c r="K218" s="6">
        <f t="shared" si="3"/>
        <v>703</v>
      </c>
    </row>
    <row r="219" spans="1:11" x14ac:dyDescent="0.25">
      <c r="A219" s="4">
        <v>2019</v>
      </c>
      <c r="B219" s="11" t="s">
        <v>316</v>
      </c>
      <c r="C219" s="11" t="s">
        <v>304</v>
      </c>
      <c r="D219" s="11" t="s">
        <v>305</v>
      </c>
      <c r="E219" s="12" t="s">
        <v>317</v>
      </c>
      <c r="F219" s="5"/>
      <c r="G219" s="5">
        <v>0</v>
      </c>
      <c r="H219" s="5">
        <v>551</v>
      </c>
      <c r="I219" s="5">
        <v>32</v>
      </c>
      <c r="J219" s="5">
        <v>120</v>
      </c>
      <c r="K219" s="6">
        <f t="shared" si="3"/>
        <v>703</v>
      </c>
    </row>
    <row r="220" spans="1:11" x14ac:dyDescent="0.25">
      <c r="A220" s="4">
        <v>2019</v>
      </c>
      <c r="B220" s="11" t="s">
        <v>320</v>
      </c>
      <c r="C220" s="11" t="s">
        <v>304</v>
      </c>
      <c r="D220" s="11" t="s">
        <v>305</v>
      </c>
      <c r="E220" s="12" t="s">
        <v>321</v>
      </c>
      <c r="F220" s="5"/>
      <c r="G220" s="5">
        <v>0</v>
      </c>
      <c r="H220" s="5">
        <v>551</v>
      </c>
      <c r="I220" s="5">
        <v>32</v>
      </c>
      <c r="J220" s="5">
        <v>120</v>
      </c>
      <c r="K220" s="6">
        <f t="shared" si="3"/>
        <v>703</v>
      </c>
    </row>
    <row r="221" spans="1:11" x14ac:dyDescent="0.25">
      <c r="A221" s="4">
        <v>2019</v>
      </c>
      <c r="B221" s="11" t="s">
        <v>310</v>
      </c>
      <c r="C221" s="11" t="s">
        <v>304</v>
      </c>
      <c r="D221" s="11" t="s">
        <v>305</v>
      </c>
      <c r="E221" s="12" t="s">
        <v>311</v>
      </c>
      <c r="F221" s="5"/>
      <c r="G221" s="5">
        <v>0</v>
      </c>
      <c r="H221" s="5">
        <v>551</v>
      </c>
      <c r="I221" s="5">
        <v>32</v>
      </c>
      <c r="J221" s="5">
        <v>120</v>
      </c>
      <c r="K221" s="6">
        <f t="shared" si="3"/>
        <v>703</v>
      </c>
    </row>
    <row r="222" spans="1:11" x14ac:dyDescent="0.25">
      <c r="A222" s="4">
        <v>2019</v>
      </c>
      <c r="B222" s="11" t="s">
        <v>308</v>
      </c>
      <c r="C222" s="11" t="s">
        <v>304</v>
      </c>
      <c r="D222" s="11" t="s">
        <v>305</v>
      </c>
      <c r="E222" s="12" t="s">
        <v>309</v>
      </c>
      <c r="F222" s="5"/>
      <c r="G222" s="5">
        <v>0</v>
      </c>
      <c r="H222" s="5">
        <v>551</v>
      </c>
      <c r="I222" s="5">
        <v>32</v>
      </c>
      <c r="J222" s="5">
        <v>120</v>
      </c>
      <c r="K222" s="6">
        <f t="shared" si="3"/>
        <v>703</v>
      </c>
    </row>
    <row r="223" spans="1:11" x14ac:dyDescent="0.25">
      <c r="A223" s="4">
        <v>2019</v>
      </c>
      <c r="B223" s="11" t="s">
        <v>303</v>
      </c>
      <c r="C223" s="11" t="s">
        <v>304</v>
      </c>
      <c r="D223" s="11" t="s">
        <v>305</v>
      </c>
      <c r="E223" s="12" t="s">
        <v>306</v>
      </c>
      <c r="F223" s="5"/>
      <c r="G223" s="5">
        <v>0</v>
      </c>
      <c r="H223" s="5">
        <v>551</v>
      </c>
      <c r="I223" s="5">
        <v>32</v>
      </c>
      <c r="J223" s="5">
        <v>120</v>
      </c>
      <c r="K223" s="6">
        <f t="shared" si="3"/>
        <v>703</v>
      </c>
    </row>
    <row r="224" spans="1:11" x14ac:dyDescent="0.25">
      <c r="A224" s="4">
        <v>2019</v>
      </c>
      <c r="B224" s="11" t="s">
        <v>293</v>
      </c>
      <c r="C224" s="11" t="s">
        <v>289</v>
      </c>
      <c r="D224" s="11" t="s">
        <v>290</v>
      </c>
      <c r="E224" s="12" t="s">
        <v>294</v>
      </c>
      <c r="F224" s="5"/>
      <c r="G224" s="5">
        <v>0</v>
      </c>
      <c r="H224" s="5">
        <v>551</v>
      </c>
      <c r="I224" s="5">
        <v>32</v>
      </c>
      <c r="J224" s="5">
        <v>120</v>
      </c>
      <c r="K224" s="6">
        <f t="shared" si="3"/>
        <v>703</v>
      </c>
    </row>
    <row r="225" spans="1:11" x14ac:dyDescent="0.25">
      <c r="A225" s="4">
        <v>2019</v>
      </c>
      <c r="B225" s="11" t="s">
        <v>378</v>
      </c>
      <c r="C225" s="11" t="s">
        <v>350</v>
      </c>
      <c r="D225" s="11" t="s">
        <v>351</v>
      </c>
      <c r="E225" s="12" t="s">
        <v>379</v>
      </c>
      <c r="F225" s="5"/>
      <c r="G225" s="5">
        <v>0</v>
      </c>
      <c r="H225" s="5">
        <v>551</v>
      </c>
      <c r="I225" s="5">
        <v>32</v>
      </c>
      <c r="J225" s="5">
        <v>120</v>
      </c>
      <c r="K225" s="6">
        <f t="shared" si="3"/>
        <v>703</v>
      </c>
    </row>
    <row r="226" spans="1:11" x14ac:dyDescent="0.25">
      <c r="A226" s="4">
        <v>2019</v>
      </c>
      <c r="B226" s="11" t="s">
        <v>376</v>
      </c>
      <c r="C226" s="11" t="s">
        <v>350</v>
      </c>
      <c r="D226" s="11" t="s">
        <v>351</v>
      </c>
      <c r="E226" s="12" t="s">
        <v>377</v>
      </c>
      <c r="F226" s="5"/>
      <c r="G226" s="5">
        <v>0</v>
      </c>
      <c r="H226" s="5">
        <v>551</v>
      </c>
      <c r="I226" s="5">
        <v>32</v>
      </c>
      <c r="J226" s="5">
        <v>120</v>
      </c>
      <c r="K226" s="6">
        <f>SUM(F226:J226)</f>
        <v>703</v>
      </c>
    </row>
    <row r="227" spans="1:11" x14ac:dyDescent="0.25">
      <c r="A227" s="4">
        <v>2019</v>
      </c>
      <c r="B227" s="11" t="s">
        <v>380</v>
      </c>
      <c r="C227" s="11" t="s">
        <v>350</v>
      </c>
      <c r="D227" s="11" t="s">
        <v>351</v>
      </c>
      <c r="E227" s="12" t="s">
        <v>381</v>
      </c>
      <c r="F227" s="5"/>
      <c r="G227" s="5">
        <v>0</v>
      </c>
      <c r="H227" s="5">
        <v>551</v>
      </c>
      <c r="I227" s="5">
        <v>32</v>
      </c>
      <c r="J227" s="5">
        <v>120</v>
      </c>
      <c r="K227" s="6">
        <f t="shared" ref="K227:K289" si="4">SUM(F227:J227)</f>
        <v>703</v>
      </c>
    </row>
    <row r="228" spans="1:11" x14ac:dyDescent="0.25">
      <c r="A228" s="4">
        <v>2019</v>
      </c>
      <c r="B228" s="11" t="s">
        <v>360</v>
      </c>
      <c r="C228" s="11" t="s">
        <v>350</v>
      </c>
      <c r="D228" s="11" t="s">
        <v>351</v>
      </c>
      <c r="E228" s="12" t="s">
        <v>361</v>
      </c>
      <c r="F228" s="5"/>
      <c r="G228" s="5">
        <v>0</v>
      </c>
      <c r="H228" s="5">
        <v>551</v>
      </c>
      <c r="I228" s="5">
        <v>32</v>
      </c>
      <c r="J228" s="5">
        <v>120</v>
      </c>
      <c r="K228" s="6">
        <f t="shared" si="4"/>
        <v>703</v>
      </c>
    </row>
    <row r="229" spans="1:11" x14ac:dyDescent="0.25">
      <c r="A229" s="4">
        <v>2019</v>
      </c>
      <c r="B229" s="11" t="s">
        <v>368</v>
      </c>
      <c r="C229" s="11" t="s">
        <v>350</v>
      </c>
      <c r="D229" s="11" t="s">
        <v>351</v>
      </c>
      <c r="E229" s="12" t="s">
        <v>369</v>
      </c>
      <c r="F229" s="5"/>
      <c r="G229" s="5">
        <v>0</v>
      </c>
      <c r="H229" s="5">
        <v>551</v>
      </c>
      <c r="I229" s="5">
        <v>32</v>
      </c>
      <c r="J229" s="5">
        <v>120</v>
      </c>
      <c r="K229" s="6">
        <f t="shared" si="4"/>
        <v>703</v>
      </c>
    </row>
    <row r="230" spans="1:11" x14ac:dyDescent="0.25">
      <c r="A230" s="4">
        <v>2019</v>
      </c>
      <c r="B230" s="11" t="s">
        <v>358</v>
      </c>
      <c r="C230" s="11" t="s">
        <v>350</v>
      </c>
      <c r="D230" s="11" t="s">
        <v>351</v>
      </c>
      <c r="E230" s="12" t="s">
        <v>359</v>
      </c>
      <c r="F230" s="5"/>
      <c r="G230" s="5">
        <v>0</v>
      </c>
      <c r="H230" s="5">
        <v>551</v>
      </c>
      <c r="I230" s="5">
        <v>32</v>
      </c>
      <c r="J230" s="5">
        <v>120</v>
      </c>
      <c r="K230" s="6">
        <f t="shared" si="4"/>
        <v>703</v>
      </c>
    </row>
    <row r="231" spans="1:11" x14ac:dyDescent="0.25">
      <c r="A231" s="4">
        <v>2019</v>
      </c>
      <c r="B231" s="11" t="s">
        <v>362</v>
      </c>
      <c r="C231" s="11" t="s">
        <v>350</v>
      </c>
      <c r="D231" s="11" t="s">
        <v>351</v>
      </c>
      <c r="E231" s="12" t="s">
        <v>363</v>
      </c>
      <c r="F231" s="5"/>
      <c r="G231" s="5">
        <v>0</v>
      </c>
      <c r="H231" s="5">
        <v>551</v>
      </c>
      <c r="I231" s="5">
        <v>32</v>
      </c>
      <c r="J231" s="5">
        <v>120</v>
      </c>
      <c r="K231" s="6">
        <f t="shared" si="4"/>
        <v>703</v>
      </c>
    </row>
    <row r="232" spans="1:11" x14ac:dyDescent="0.25">
      <c r="A232" s="4">
        <v>2019</v>
      </c>
      <c r="B232" s="11" t="s">
        <v>374</v>
      </c>
      <c r="C232" s="11" t="s">
        <v>350</v>
      </c>
      <c r="D232" s="11" t="s">
        <v>351</v>
      </c>
      <c r="E232" s="12" t="s">
        <v>375</v>
      </c>
      <c r="F232" s="5"/>
      <c r="G232" s="5">
        <v>0</v>
      </c>
      <c r="H232" s="5">
        <v>551</v>
      </c>
      <c r="I232" s="5">
        <v>32</v>
      </c>
      <c r="J232" s="5">
        <v>120</v>
      </c>
      <c r="K232" s="6">
        <f t="shared" si="4"/>
        <v>703</v>
      </c>
    </row>
    <row r="233" spans="1:11" x14ac:dyDescent="0.25">
      <c r="A233" s="4">
        <v>2019</v>
      </c>
      <c r="B233" s="11" t="s">
        <v>364</v>
      </c>
      <c r="C233" s="11" t="s">
        <v>350</v>
      </c>
      <c r="D233" s="11" t="s">
        <v>351</v>
      </c>
      <c r="E233" s="12" t="s">
        <v>365</v>
      </c>
      <c r="F233" s="5"/>
      <c r="G233" s="5">
        <v>0</v>
      </c>
      <c r="H233" s="5">
        <v>551</v>
      </c>
      <c r="I233" s="5">
        <v>32</v>
      </c>
      <c r="J233" s="5">
        <v>120</v>
      </c>
      <c r="K233" s="6">
        <f t="shared" si="4"/>
        <v>703</v>
      </c>
    </row>
    <row r="234" spans="1:11" x14ac:dyDescent="0.25">
      <c r="A234" s="4">
        <v>2019</v>
      </c>
      <c r="B234" s="11" t="s">
        <v>366</v>
      </c>
      <c r="C234" s="11" t="s">
        <v>350</v>
      </c>
      <c r="D234" s="11" t="s">
        <v>351</v>
      </c>
      <c r="E234" s="12" t="s">
        <v>367</v>
      </c>
      <c r="F234" s="5"/>
      <c r="G234" s="5">
        <v>0</v>
      </c>
      <c r="H234" s="5">
        <v>551</v>
      </c>
      <c r="I234" s="5">
        <v>32</v>
      </c>
      <c r="J234" s="5">
        <v>120</v>
      </c>
      <c r="K234" s="6">
        <f t="shared" si="4"/>
        <v>703</v>
      </c>
    </row>
    <row r="235" spans="1:11" x14ac:dyDescent="0.25">
      <c r="A235" s="4">
        <v>2019</v>
      </c>
      <c r="B235" s="11" t="s">
        <v>372</v>
      </c>
      <c r="C235" s="11" t="s">
        <v>350</v>
      </c>
      <c r="D235" s="11" t="s">
        <v>351</v>
      </c>
      <c r="E235" s="12" t="s">
        <v>373</v>
      </c>
      <c r="F235" s="5"/>
      <c r="G235" s="5">
        <v>0</v>
      </c>
      <c r="H235" s="5">
        <v>551</v>
      </c>
      <c r="I235" s="5">
        <v>32</v>
      </c>
      <c r="J235" s="5">
        <v>120</v>
      </c>
      <c r="K235" s="6">
        <f t="shared" si="4"/>
        <v>703</v>
      </c>
    </row>
    <row r="236" spans="1:11" x14ac:dyDescent="0.25">
      <c r="A236" s="4">
        <v>2019</v>
      </c>
      <c r="B236" s="11" t="s">
        <v>370</v>
      </c>
      <c r="C236" s="11" t="s">
        <v>350</v>
      </c>
      <c r="D236" s="11" t="s">
        <v>351</v>
      </c>
      <c r="E236" s="12" t="s">
        <v>371</v>
      </c>
      <c r="F236" s="5"/>
      <c r="G236" s="5">
        <v>0</v>
      </c>
      <c r="H236" s="5">
        <v>551</v>
      </c>
      <c r="I236" s="5">
        <v>32</v>
      </c>
      <c r="J236" s="5">
        <v>120</v>
      </c>
      <c r="K236" s="6">
        <f t="shared" si="4"/>
        <v>703</v>
      </c>
    </row>
    <row r="237" spans="1:11" x14ac:dyDescent="0.25">
      <c r="A237" s="4">
        <v>2019</v>
      </c>
      <c r="B237" s="11" t="s">
        <v>356</v>
      </c>
      <c r="C237" s="11" t="s">
        <v>350</v>
      </c>
      <c r="D237" s="11" t="s">
        <v>351</v>
      </c>
      <c r="E237" s="12" t="s">
        <v>357</v>
      </c>
      <c r="F237" s="5"/>
      <c r="G237" s="5">
        <v>0</v>
      </c>
      <c r="H237" s="5">
        <v>551</v>
      </c>
      <c r="I237" s="5">
        <v>32</v>
      </c>
      <c r="J237" s="5">
        <v>120</v>
      </c>
      <c r="K237" s="6">
        <f t="shared" si="4"/>
        <v>703</v>
      </c>
    </row>
    <row r="238" spans="1:11" x14ac:dyDescent="0.25">
      <c r="A238" s="4">
        <v>2019</v>
      </c>
      <c r="B238" s="11" t="s">
        <v>354</v>
      </c>
      <c r="C238" s="11" t="s">
        <v>350</v>
      </c>
      <c r="D238" s="11" t="s">
        <v>351</v>
      </c>
      <c r="E238" s="12" t="s">
        <v>355</v>
      </c>
      <c r="F238" s="5"/>
      <c r="G238" s="5">
        <v>0</v>
      </c>
      <c r="H238" s="5">
        <v>551</v>
      </c>
      <c r="I238" s="5">
        <v>32</v>
      </c>
      <c r="J238" s="5">
        <v>120</v>
      </c>
      <c r="K238" s="6">
        <f t="shared" si="4"/>
        <v>703</v>
      </c>
    </row>
    <row r="239" spans="1:11" x14ac:dyDescent="0.25">
      <c r="A239" s="4">
        <v>2019</v>
      </c>
      <c r="B239" s="11" t="s">
        <v>349</v>
      </c>
      <c r="C239" s="11" t="s">
        <v>350</v>
      </c>
      <c r="D239" s="11" t="s">
        <v>351</v>
      </c>
      <c r="E239" s="12" t="s">
        <v>352</v>
      </c>
      <c r="F239" s="5"/>
      <c r="G239" s="5">
        <v>0</v>
      </c>
      <c r="H239" s="5">
        <v>551</v>
      </c>
      <c r="I239" s="5">
        <v>32</v>
      </c>
      <c r="J239" s="5">
        <v>120</v>
      </c>
      <c r="K239" s="6">
        <f t="shared" si="4"/>
        <v>703</v>
      </c>
    </row>
    <row r="240" spans="1:11" x14ac:dyDescent="0.25">
      <c r="A240" s="4">
        <v>2019</v>
      </c>
      <c r="B240" s="11" t="s">
        <v>399</v>
      </c>
      <c r="C240" s="11" t="s">
        <v>400</v>
      </c>
      <c r="D240" s="11" t="s">
        <v>401</v>
      </c>
      <c r="E240" s="12" t="s">
        <v>402</v>
      </c>
      <c r="F240" s="5"/>
      <c r="G240" s="5">
        <v>0</v>
      </c>
      <c r="H240" s="5">
        <v>551</v>
      </c>
      <c r="I240" s="5">
        <v>32</v>
      </c>
      <c r="J240" s="5">
        <v>120</v>
      </c>
      <c r="K240" s="6">
        <f t="shared" si="4"/>
        <v>703</v>
      </c>
    </row>
    <row r="241" spans="1:11" x14ac:dyDescent="0.25">
      <c r="A241" s="4">
        <v>2019</v>
      </c>
      <c r="B241" s="11" t="s">
        <v>395</v>
      </c>
      <c r="C241" s="11" t="s">
        <v>396</v>
      </c>
      <c r="D241" s="11" t="s">
        <v>397</v>
      </c>
      <c r="E241" s="12" t="s">
        <v>398</v>
      </c>
      <c r="F241" s="5"/>
      <c r="G241" s="5">
        <v>0</v>
      </c>
      <c r="H241" s="5">
        <v>551</v>
      </c>
      <c r="I241" s="5">
        <v>32</v>
      </c>
      <c r="J241" s="5">
        <v>120</v>
      </c>
      <c r="K241" s="6">
        <f t="shared" si="4"/>
        <v>703</v>
      </c>
    </row>
    <row r="242" spans="1:11" x14ac:dyDescent="0.25">
      <c r="A242" s="35">
        <v>2018</v>
      </c>
      <c r="B242" s="33" t="s">
        <v>288</v>
      </c>
      <c r="C242" s="33" t="s">
        <v>289</v>
      </c>
      <c r="D242" s="33" t="s">
        <v>290</v>
      </c>
      <c r="E242" s="34" t="s">
        <v>291</v>
      </c>
      <c r="F242" s="36"/>
      <c r="G242" s="36">
        <v>0</v>
      </c>
      <c r="H242" s="36">
        <v>551</v>
      </c>
      <c r="I242" s="36">
        <v>32</v>
      </c>
      <c r="J242" s="36">
        <v>120</v>
      </c>
      <c r="K242" s="6">
        <f t="shared" si="4"/>
        <v>703</v>
      </c>
    </row>
    <row r="243" spans="1:11" x14ac:dyDescent="0.25">
      <c r="A243" s="35">
        <v>2018</v>
      </c>
      <c r="B243" s="33" t="s">
        <v>295</v>
      </c>
      <c r="C243" s="33" t="s">
        <v>289</v>
      </c>
      <c r="D243" s="33" t="s">
        <v>290</v>
      </c>
      <c r="E243" s="34" t="s">
        <v>296</v>
      </c>
      <c r="F243" s="36"/>
      <c r="G243" s="36">
        <v>0</v>
      </c>
      <c r="H243" s="36">
        <v>551</v>
      </c>
      <c r="I243" s="36">
        <v>32</v>
      </c>
      <c r="J243" s="36">
        <v>120</v>
      </c>
      <c r="K243" s="6">
        <f t="shared" si="4"/>
        <v>703</v>
      </c>
    </row>
    <row r="244" spans="1:11" x14ac:dyDescent="0.25">
      <c r="A244" s="35">
        <v>2018</v>
      </c>
      <c r="B244" s="33" t="s">
        <v>301</v>
      </c>
      <c r="C244" s="33" t="s">
        <v>289</v>
      </c>
      <c r="D244" s="33" t="s">
        <v>290</v>
      </c>
      <c r="E244" s="34" t="s">
        <v>302</v>
      </c>
      <c r="F244" s="36"/>
      <c r="G244" s="36">
        <v>0</v>
      </c>
      <c r="H244" s="36">
        <v>551</v>
      </c>
      <c r="I244" s="36">
        <v>32</v>
      </c>
      <c r="J244" s="36">
        <v>120</v>
      </c>
      <c r="K244" s="6">
        <f t="shared" si="4"/>
        <v>703</v>
      </c>
    </row>
    <row r="245" spans="1:11" x14ac:dyDescent="0.25">
      <c r="A245" s="35">
        <v>2018</v>
      </c>
      <c r="B245" s="33" t="s">
        <v>299</v>
      </c>
      <c r="C245" s="33" t="s">
        <v>289</v>
      </c>
      <c r="D245" s="33" t="s">
        <v>290</v>
      </c>
      <c r="E245" s="34" t="s">
        <v>300</v>
      </c>
      <c r="F245" s="36"/>
      <c r="G245" s="36">
        <v>0</v>
      </c>
      <c r="H245" s="36">
        <v>551</v>
      </c>
      <c r="I245" s="36">
        <v>32</v>
      </c>
      <c r="J245" s="36">
        <v>120</v>
      </c>
      <c r="K245" s="6">
        <f t="shared" si="4"/>
        <v>703</v>
      </c>
    </row>
    <row r="246" spans="1:11" x14ac:dyDescent="0.25">
      <c r="A246" s="35">
        <v>2018</v>
      </c>
      <c r="B246" s="33" t="s">
        <v>297</v>
      </c>
      <c r="C246" s="33" t="s">
        <v>289</v>
      </c>
      <c r="D246" s="33" t="s">
        <v>290</v>
      </c>
      <c r="E246" s="34" t="s">
        <v>298</v>
      </c>
      <c r="F246" s="36"/>
      <c r="G246" s="36">
        <v>0</v>
      </c>
      <c r="H246" s="36">
        <v>551</v>
      </c>
      <c r="I246" s="36">
        <v>32</v>
      </c>
      <c r="J246" s="36">
        <v>120</v>
      </c>
      <c r="K246" s="6">
        <f t="shared" si="4"/>
        <v>703</v>
      </c>
    </row>
    <row r="247" spans="1:11" x14ac:dyDescent="0.25">
      <c r="A247" s="35">
        <v>2018</v>
      </c>
      <c r="B247" s="33" t="s">
        <v>391</v>
      </c>
      <c r="C247" s="33" t="s">
        <v>383</v>
      </c>
      <c r="D247" s="33" t="s">
        <v>384</v>
      </c>
      <c r="E247" s="34" t="s">
        <v>392</v>
      </c>
      <c r="F247" s="36"/>
      <c r="G247" s="36">
        <v>0</v>
      </c>
      <c r="H247" s="36">
        <v>551</v>
      </c>
      <c r="I247" s="36">
        <v>32</v>
      </c>
      <c r="J247" s="36">
        <v>120</v>
      </c>
      <c r="K247" s="6">
        <f t="shared" si="4"/>
        <v>703</v>
      </c>
    </row>
    <row r="248" spans="1:11" x14ac:dyDescent="0.25">
      <c r="A248" s="35">
        <v>2018</v>
      </c>
      <c r="B248" s="33" t="s">
        <v>393</v>
      </c>
      <c r="C248" s="33" t="s">
        <v>383</v>
      </c>
      <c r="D248" s="33" t="s">
        <v>384</v>
      </c>
      <c r="E248" s="34" t="s">
        <v>394</v>
      </c>
      <c r="F248" s="36"/>
      <c r="G248" s="36">
        <v>0</v>
      </c>
      <c r="H248" s="36">
        <v>551</v>
      </c>
      <c r="I248" s="36">
        <v>32</v>
      </c>
      <c r="J248" s="36">
        <v>120</v>
      </c>
      <c r="K248" s="6">
        <f t="shared" si="4"/>
        <v>703</v>
      </c>
    </row>
    <row r="249" spans="1:11" x14ac:dyDescent="0.25">
      <c r="A249" s="35">
        <v>2018</v>
      </c>
      <c r="B249" s="33" t="s">
        <v>387</v>
      </c>
      <c r="C249" s="33" t="s">
        <v>383</v>
      </c>
      <c r="D249" s="33" t="s">
        <v>384</v>
      </c>
      <c r="E249" s="34" t="s">
        <v>388</v>
      </c>
      <c r="F249" s="36"/>
      <c r="G249" s="36">
        <v>0</v>
      </c>
      <c r="H249" s="36">
        <v>551</v>
      </c>
      <c r="I249" s="36">
        <v>32</v>
      </c>
      <c r="J249" s="36">
        <v>120</v>
      </c>
      <c r="K249" s="6">
        <f t="shared" si="4"/>
        <v>703</v>
      </c>
    </row>
    <row r="250" spans="1:11" x14ac:dyDescent="0.25">
      <c r="A250" s="35">
        <v>2018</v>
      </c>
      <c r="B250" s="33" t="s">
        <v>382</v>
      </c>
      <c r="C250" s="33" t="s">
        <v>383</v>
      </c>
      <c r="D250" s="33" t="s">
        <v>384</v>
      </c>
      <c r="E250" s="34" t="s">
        <v>385</v>
      </c>
      <c r="F250" s="36"/>
      <c r="G250" s="36">
        <v>0</v>
      </c>
      <c r="H250" s="36">
        <v>551</v>
      </c>
      <c r="I250" s="36">
        <v>32</v>
      </c>
      <c r="J250" s="36">
        <v>120</v>
      </c>
      <c r="K250" s="6">
        <f t="shared" si="4"/>
        <v>703</v>
      </c>
    </row>
    <row r="251" spans="1:11" x14ac:dyDescent="0.25">
      <c r="A251" s="35">
        <v>2018</v>
      </c>
      <c r="B251" s="33" t="s">
        <v>389</v>
      </c>
      <c r="C251" s="33" t="s">
        <v>383</v>
      </c>
      <c r="D251" s="33" t="s">
        <v>384</v>
      </c>
      <c r="E251" s="34" t="s">
        <v>390</v>
      </c>
      <c r="F251" s="36"/>
      <c r="G251" s="36">
        <v>0</v>
      </c>
      <c r="H251" s="36">
        <v>551</v>
      </c>
      <c r="I251" s="36">
        <v>32</v>
      </c>
      <c r="J251" s="36">
        <v>120</v>
      </c>
      <c r="K251" s="6">
        <f t="shared" si="4"/>
        <v>703</v>
      </c>
    </row>
    <row r="252" spans="1:11" x14ac:dyDescent="0.25">
      <c r="A252" s="35">
        <v>2018</v>
      </c>
      <c r="B252" s="33" t="s">
        <v>337</v>
      </c>
      <c r="C252" s="33" t="s">
        <v>331</v>
      </c>
      <c r="D252" s="33" t="s">
        <v>332</v>
      </c>
      <c r="E252" s="34" t="s">
        <v>338</v>
      </c>
      <c r="F252" s="36"/>
      <c r="G252" s="36">
        <v>0</v>
      </c>
      <c r="H252" s="36">
        <v>551</v>
      </c>
      <c r="I252" s="36">
        <v>32</v>
      </c>
      <c r="J252" s="36">
        <v>120</v>
      </c>
      <c r="K252" s="6">
        <f t="shared" si="4"/>
        <v>703</v>
      </c>
    </row>
    <row r="253" spans="1:11" x14ac:dyDescent="0.25">
      <c r="A253" s="35">
        <v>2018</v>
      </c>
      <c r="B253" s="33" t="s">
        <v>345</v>
      </c>
      <c r="C253" s="33" t="s">
        <v>331</v>
      </c>
      <c r="D253" s="33" t="s">
        <v>332</v>
      </c>
      <c r="E253" s="34" t="s">
        <v>346</v>
      </c>
      <c r="F253" s="36"/>
      <c r="G253" s="36">
        <v>0</v>
      </c>
      <c r="H253" s="36">
        <v>551</v>
      </c>
      <c r="I253" s="36">
        <v>32</v>
      </c>
      <c r="J253" s="36">
        <v>120</v>
      </c>
      <c r="K253" s="6">
        <f t="shared" si="4"/>
        <v>703</v>
      </c>
    </row>
    <row r="254" spans="1:11" x14ac:dyDescent="0.25">
      <c r="A254" s="35">
        <v>2018</v>
      </c>
      <c r="B254" s="33" t="s">
        <v>341</v>
      </c>
      <c r="C254" s="33" t="s">
        <v>331</v>
      </c>
      <c r="D254" s="33" t="s">
        <v>332</v>
      </c>
      <c r="E254" s="34" t="s">
        <v>342</v>
      </c>
      <c r="F254" s="36"/>
      <c r="G254" s="36">
        <v>0</v>
      </c>
      <c r="H254" s="36">
        <v>551</v>
      </c>
      <c r="I254" s="36">
        <v>32</v>
      </c>
      <c r="J254" s="36">
        <v>120</v>
      </c>
      <c r="K254" s="6">
        <f t="shared" si="4"/>
        <v>703</v>
      </c>
    </row>
    <row r="255" spans="1:11" x14ac:dyDescent="0.25">
      <c r="A255" s="35">
        <v>2018</v>
      </c>
      <c r="B255" s="33" t="s">
        <v>343</v>
      </c>
      <c r="C255" s="33" t="s">
        <v>331</v>
      </c>
      <c r="D255" s="33" t="s">
        <v>332</v>
      </c>
      <c r="E255" s="34" t="s">
        <v>344</v>
      </c>
      <c r="F255" s="36"/>
      <c r="G255" s="36">
        <v>0</v>
      </c>
      <c r="H255" s="36">
        <v>551</v>
      </c>
      <c r="I255" s="36">
        <v>32</v>
      </c>
      <c r="J255" s="36">
        <v>120</v>
      </c>
      <c r="K255" s="6">
        <f t="shared" si="4"/>
        <v>703</v>
      </c>
    </row>
    <row r="256" spans="1:11" x14ac:dyDescent="0.25">
      <c r="A256" s="35">
        <v>2018</v>
      </c>
      <c r="B256" s="33" t="s">
        <v>347</v>
      </c>
      <c r="C256" s="33" t="s">
        <v>331</v>
      </c>
      <c r="D256" s="33" t="s">
        <v>332</v>
      </c>
      <c r="E256" s="34" t="s">
        <v>348</v>
      </c>
      <c r="F256" s="36"/>
      <c r="G256" s="36">
        <v>0</v>
      </c>
      <c r="H256" s="36">
        <v>551</v>
      </c>
      <c r="I256" s="36">
        <v>32</v>
      </c>
      <c r="J256" s="36">
        <v>120</v>
      </c>
      <c r="K256" s="6">
        <f t="shared" si="4"/>
        <v>703</v>
      </c>
    </row>
    <row r="257" spans="1:11" x14ac:dyDescent="0.25">
      <c r="A257" s="35">
        <v>2018</v>
      </c>
      <c r="B257" s="33" t="s">
        <v>330</v>
      </c>
      <c r="C257" s="33" t="s">
        <v>331</v>
      </c>
      <c r="D257" s="33" t="s">
        <v>332</v>
      </c>
      <c r="E257" s="34" t="s">
        <v>333</v>
      </c>
      <c r="F257" s="36"/>
      <c r="G257" s="36">
        <v>0</v>
      </c>
      <c r="H257" s="36">
        <v>551</v>
      </c>
      <c r="I257" s="36">
        <v>32</v>
      </c>
      <c r="J257" s="36">
        <v>120</v>
      </c>
      <c r="K257" s="6">
        <f t="shared" si="4"/>
        <v>703</v>
      </c>
    </row>
    <row r="258" spans="1:11" x14ac:dyDescent="0.25">
      <c r="A258" s="35">
        <v>2018</v>
      </c>
      <c r="B258" s="33" t="s">
        <v>335</v>
      </c>
      <c r="C258" s="33" t="s">
        <v>331</v>
      </c>
      <c r="D258" s="33" t="s">
        <v>332</v>
      </c>
      <c r="E258" s="34" t="s">
        <v>336</v>
      </c>
      <c r="F258" s="36"/>
      <c r="G258" s="36">
        <v>0</v>
      </c>
      <c r="H258" s="36">
        <v>551</v>
      </c>
      <c r="I258" s="36">
        <v>32</v>
      </c>
      <c r="J258" s="36">
        <v>120</v>
      </c>
      <c r="K258" s="6">
        <f t="shared" si="4"/>
        <v>703</v>
      </c>
    </row>
    <row r="259" spans="1:11" x14ac:dyDescent="0.25">
      <c r="A259" s="35">
        <v>2018</v>
      </c>
      <c r="B259" s="33" t="s">
        <v>339</v>
      </c>
      <c r="C259" s="33" t="s">
        <v>331</v>
      </c>
      <c r="D259" s="33" t="s">
        <v>332</v>
      </c>
      <c r="E259" s="34" t="s">
        <v>340</v>
      </c>
      <c r="F259" s="36"/>
      <c r="G259" s="36">
        <v>0</v>
      </c>
      <c r="H259" s="36">
        <v>551</v>
      </c>
      <c r="I259" s="36">
        <v>32</v>
      </c>
      <c r="J259" s="36">
        <v>120</v>
      </c>
      <c r="K259" s="6">
        <f t="shared" si="4"/>
        <v>703</v>
      </c>
    </row>
    <row r="260" spans="1:11" x14ac:dyDescent="0.25">
      <c r="A260" s="35">
        <v>2018</v>
      </c>
      <c r="B260" s="33" t="s">
        <v>318</v>
      </c>
      <c r="C260" s="33" t="s">
        <v>304</v>
      </c>
      <c r="D260" s="33" t="s">
        <v>305</v>
      </c>
      <c r="E260" s="34" t="s">
        <v>319</v>
      </c>
      <c r="F260" s="36"/>
      <c r="G260" s="36">
        <v>0</v>
      </c>
      <c r="H260" s="36">
        <v>551</v>
      </c>
      <c r="I260" s="36">
        <v>32</v>
      </c>
      <c r="J260" s="36">
        <v>120</v>
      </c>
      <c r="K260" s="6">
        <f t="shared" si="4"/>
        <v>703</v>
      </c>
    </row>
    <row r="261" spans="1:11" x14ac:dyDescent="0.25">
      <c r="A261" s="35">
        <v>2018</v>
      </c>
      <c r="B261" s="33" t="s">
        <v>312</v>
      </c>
      <c r="C261" s="33" t="s">
        <v>304</v>
      </c>
      <c r="D261" s="33" t="s">
        <v>305</v>
      </c>
      <c r="E261" s="34" t="s">
        <v>313</v>
      </c>
      <c r="F261" s="36"/>
      <c r="G261" s="36">
        <v>0</v>
      </c>
      <c r="H261" s="36">
        <v>551</v>
      </c>
      <c r="I261" s="36">
        <v>32</v>
      </c>
      <c r="J261" s="36">
        <v>120</v>
      </c>
      <c r="K261" s="6">
        <f t="shared" si="4"/>
        <v>703</v>
      </c>
    </row>
    <row r="262" spans="1:11" x14ac:dyDescent="0.25">
      <c r="A262" s="35">
        <v>2018</v>
      </c>
      <c r="B262" s="33" t="s">
        <v>326</v>
      </c>
      <c r="C262" s="33" t="s">
        <v>304</v>
      </c>
      <c r="D262" s="33" t="s">
        <v>305</v>
      </c>
      <c r="E262" s="34" t="s">
        <v>327</v>
      </c>
      <c r="F262" s="36"/>
      <c r="G262" s="36">
        <v>0</v>
      </c>
      <c r="H262" s="36">
        <v>551</v>
      </c>
      <c r="I262" s="36">
        <v>32</v>
      </c>
      <c r="J262" s="36">
        <v>120</v>
      </c>
      <c r="K262" s="6">
        <f t="shared" si="4"/>
        <v>703</v>
      </c>
    </row>
    <row r="263" spans="1:11" x14ac:dyDescent="0.25">
      <c r="A263" s="35">
        <v>2018</v>
      </c>
      <c r="B263" s="33" t="s">
        <v>322</v>
      </c>
      <c r="C263" s="33" t="s">
        <v>304</v>
      </c>
      <c r="D263" s="33" t="s">
        <v>305</v>
      </c>
      <c r="E263" s="34" t="s">
        <v>323</v>
      </c>
      <c r="F263" s="36"/>
      <c r="G263" s="36">
        <v>0</v>
      </c>
      <c r="H263" s="36">
        <v>551</v>
      </c>
      <c r="I263" s="36">
        <v>32</v>
      </c>
      <c r="J263" s="36">
        <v>120</v>
      </c>
      <c r="K263" s="6">
        <f t="shared" si="4"/>
        <v>703</v>
      </c>
    </row>
    <row r="264" spans="1:11" x14ac:dyDescent="0.25">
      <c r="A264" s="35">
        <v>2018</v>
      </c>
      <c r="B264" s="33" t="s">
        <v>324</v>
      </c>
      <c r="C264" s="33" t="s">
        <v>304</v>
      </c>
      <c r="D264" s="33" t="s">
        <v>305</v>
      </c>
      <c r="E264" s="34" t="s">
        <v>325</v>
      </c>
      <c r="F264" s="36"/>
      <c r="G264" s="36">
        <v>0</v>
      </c>
      <c r="H264" s="36">
        <v>551</v>
      </c>
      <c r="I264" s="36">
        <v>32</v>
      </c>
      <c r="J264" s="36">
        <v>120</v>
      </c>
      <c r="K264" s="6">
        <f t="shared" si="4"/>
        <v>703</v>
      </c>
    </row>
    <row r="265" spans="1:11" x14ac:dyDescent="0.25">
      <c r="A265" s="35">
        <v>2018</v>
      </c>
      <c r="B265" s="33" t="s">
        <v>328</v>
      </c>
      <c r="C265" s="33" t="s">
        <v>304</v>
      </c>
      <c r="D265" s="33" t="s">
        <v>305</v>
      </c>
      <c r="E265" s="34" t="s">
        <v>329</v>
      </c>
      <c r="F265" s="36"/>
      <c r="G265" s="36">
        <v>0</v>
      </c>
      <c r="H265" s="36">
        <v>551</v>
      </c>
      <c r="I265" s="36">
        <v>32</v>
      </c>
      <c r="J265" s="36">
        <v>120</v>
      </c>
      <c r="K265" s="6">
        <f t="shared" si="4"/>
        <v>703</v>
      </c>
    </row>
    <row r="266" spans="1:11" x14ac:dyDescent="0.25">
      <c r="A266" s="35">
        <v>2018</v>
      </c>
      <c r="B266" s="33" t="s">
        <v>314</v>
      </c>
      <c r="C266" s="33" t="s">
        <v>304</v>
      </c>
      <c r="D266" s="33" t="s">
        <v>305</v>
      </c>
      <c r="E266" s="34" t="s">
        <v>315</v>
      </c>
      <c r="F266" s="36"/>
      <c r="G266" s="36">
        <v>0</v>
      </c>
      <c r="H266" s="36">
        <v>551</v>
      </c>
      <c r="I266" s="36">
        <v>32</v>
      </c>
      <c r="J266" s="36">
        <v>120</v>
      </c>
      <c r="K266" s="6">
        <f t="shared" si="4"/>
        <v>703</v>
      </c>
    </row>
    <row r="267" spans="1:11" x14ac:dyDescent="0.25">
      <c r="A267" s="35">
        <v>2018</v>
      </c>
      <c r="B267" s="33" t="s">
        <v>316</v>
      </c>
      <c r="C267" s="33" t="s">
        <v>304</v>
      </c>
      <c r="D267" s="33" t="s">
        <v>305</v>
      </c>
      <c r="E267" s="34" t="s">
        <v>317</v>
      </c>
      <c r="F267" s="36"/>
      <c r="G267" s="36">
        <v>0</v>
      </c>
      <c r="H267" s="36">
        <v>551</v>
      </c>
      <c r="I267" s="36">
        <v>32</v>
      </c>
      <c r="J267" s="36">
        <v>120</v>
      </c>
      <c r="K267" s="6">
        <f t="shared" si="4"/>
        <v>703</v>
      </c>
    </row>
    <row r="268" spans="1:11" x14ac:dyDescent="0.25">
      <c r="A268" s="35">
        <v>2018</v>
      </c>
      <c r="B268" s="33" t="s">
        <v>320</v>
      </c>
      <c r="C268" s="33" t="s">
        <v>304</v>
      </c>
      <c r="D268" s="33" t="s">
        <v>305</v>
      </c>
      <c r="E268" s="34" t="s">
        <v>321</v>
      </c>
      <c r="F268" s="36"/>
      <c r="G268" s="36">
        <v>0</v>
      </c>
      <c r="H268" s="36">
        <v>551</v>
      </c>
      <c r="I268" s="36">
        <v>32</v>
      </c>
      <c r="J268" s="36">
        <v>120</v>
      </c>
      <c r="K268" s="6">
        <f t="shared" si="4"/>
        <v>703</v>
      </c>
    </row>
    <row r="269" spans="1:11" x14ac:dyDescent="0.25">
      <c r="A269" s="35">
        <v>2018</v>
      </c>
      <c r="B269" s="33" t="s">
        <v>310</v>
      </c>
      <c r="C269" s="33" t="s">
        <v>304</v>
      </c>
      <c r="D269" s="33" t="s">
        <v>305</v>
      </c>
      <c r="E269" s="34" t="s">
        <v>311</v>
      </c>
      <c r="F269" s="36"/>
      <c r="G269" s="36">
        <v>0</v>
      </c>
      <c r="H269" s="36">
        <v>551</v>
      </c>
      <c r="I269" s="36">
        <v>32</v>
      </c>
      <c r="J269" s="36">
        <v>120</v>
      </c>
      <c r="K269" s="6">
        <f t="shared" si="4"/>
        <v>703</v>
      </c>
    </row>
    <row r="270" spans="1:11" x14ac:dyDescent="0.25">
      <c r="A270" s="35">
        <v>2018</v>
      </c>
      <c r="B270" s="33" t="s">
        <v>308</v>
      </c>
      <c r="C270" s="33" t="s">
        <v>304</v>
      </c>
      <c r="D270" s="33" t="s">
        <v>305</v>
      </c>
      <c r="E270" s="34" t="s">
        <v>309</v>
      </c>
      <c r="F270" s="36"/>
      <c r="G270" s="36">
        <v>0</v>
      </c>
      <c r="H270" s="36">
        <v>551</v>
      </c>
      <c r="I270" s="36">
        <v>32</v>
      </c>
      <c r="J270" s="36">
        <v>120</v>
      </c>
      <c r="K270" s="6">
        <f t="shared" si="4"/>
        <v>703</v>
      </c>
    </row>
    <row r="271" spans="1:11" x14ac:dyDescent="0.25">
      <c r="A271" s="35">
        <v>2018</v>
      </c>
      <c r="B271" s="33" t="s">
        <v>303</v>
      </c>
      <c r="C271" s="33" t="s">
        <v>304</v>
      </c>
      <c r="D271" s="33" t="s">
        <v>305</v>
      </c>
      <c r="E271" s="34" t="s">
        <v>306</v>
      </c>
      <c r="F271" s="36"/>
      <c r="G271" s="36">
        <v>0</v>
      </c>
      <c r="H271" s="36">
        <v>551</v>
      </c>
      <c r="I271" s="36">
        <v>32</v>
      </c>
      <c r="J271" s="36">
        <v>120</v>
      </c>
      <c r="K271" s="6">
        <f t="shared" si="4"/>
        <v>703</v>
      </c>
    </row>
    <row r="272" spans="1:11" x14ac:dyDescent="0.25">
      <c r="A272" s="35">
        <v>2018</v>
      </c>
      <c r="B272" s="33" t="s">
        <v>293</v>
      </c>
      <c r="C272" s="33" t="s">
        <v>289</v>
      </c>
      <c r="D272" s="33" t="s">
        <v>290</v>
      </c>
      <c r="E272" s="34" t="s">
        <v>294</v>
      </c>
      <c r="F272" s="36"/>
      <c r="G272" s="36">
        <v>0</v>
      </c>
      <c r="H272" s="36">
        <v>551</v>
      </c>
      <c r="I272" s="36">
        <v>32</v>
      </c>
      <c r="J272" s="36">
        <v>120</v>
      </c>
      <c r="K272" s="6">
        <f t="shared" si="4"/>
        <v>703</v>
      </c>
    </row>
    <row r="273" spans="1:11" x14ac:dyDescent="0.25">
      <c r="A273" s="35">
        <v>2018</v>
      </c>
      <c r="B273" s="33" t="s">
        <v>378</v>
      </c>
      <c r="C273" s="33" t="s">
        <v>350</v>
      </c>
      <c r="D273" s="33" t="s">
        <v>351</v>
      </c>
      <c r="E273" s="34" t="s">
        <v>379</v>
      </c>
      <c r="F273" s="36"/>
      <c r="G273" s="36">
        <v>0</v>
      </c>
      <c r="H273" s="36">
        <v>551</v>
      </c>
      <c r="I273" s="36">
        <v>32</v>
      </c>
      <c r="J273" s="36">
        <v>120</v>
      </c>
      <c r="K273" s="6">
        <f t="shared" si="4"/>
        <v>703</v>
      </c>
    </row>
    <row r="274" spans="1:11" x14ac:dyDescent="0.25">
      <c r="A274" s="35">
        <v>2018</v>
      </c>
      <c r="B274" s="33" t="s">
        <v>376</v>
      </c>
      <c r="C274" s="33" t="s">
        <v>350</v>
      </c>
      <c r="D274" s="33" t="s">
        <v>351</v>
      </c>
      <c r="E274" s="34" t="s">
        <v>377</v>
      </c>
      <c r="F274" s="36"/>
      <c r="G274" s="36">
        <v>0</v>
      </c>
      <c r="H274" s="36">
        <v>551</v>
      </c>
      <c r="I274" s="36">
        <v>32</v>
      </c>
      <c r="J274" s="36">
        <v>120</v>
      </c>
      <c r="K274" s="6">
        <f t="shared" si="4"/>
        <v>703</v>
      </c>
    </row>
    <row r="275" spans="1:11" x14ac:dyDescent="0.25">
      <c r="A275" s="35">
        <v>2018</v>
      </c>
      <c r="B275" s="33" t="s">
        <v>380</v>
      </c>
      <c r="C275" s="33" t="s">
        <v>350</v>
      </c>
      <c r="D275" s="33" t="s">
        <v>351</v>
      </c>
      <c r="E275" s="34" t="s">
        <v>381</v>
      </c>
      <c r="F275" s="36"/>
      <c r="G275" s="36">
        <v>0</v>
      </c>
      <c r="H275" s="36">
        <v>551</v>
      </c>
      <c r="I275" s="36">
        <v>32</v>
      </c>
      <c r="J275" s="36">
        <v>120</v>
      </c>
      <c r="K275" s="6">
        <f t="shared" si="4"/>
        <v>703</v>
      </c>
    </row>
    <row r="276" spans="1:11" x14ac:dyDescent="0.25">
      <c r="A276" s="35">
        <v>2018</v>
      </c>
      <c r="B276" s="33" t="s">
        <v>360</v>
      </c>
      <c r="C276" s="33" t="s">
        <v>350</v>
      </c>
      <c r="D276" s="33" t="s">
        <v>351</v>
      </c>
      <c r="E276" s="34" t="s">
        <v>361</v>
      </c>
      <c r="F276" s="36"/>
      <c r="G276" s="36">
        <v>0</v>
      </c>
      <c r="H276" s="36">
        <v>551</v>
      </c>
      <c r="I276" s="36">
        <v>32</v>
      </c>
      <c r="J276" s="36">
        <v>120</v>
      </c>
      <c r="K276" s="6">
        <f t="shared" si="4"/>
        <v>703</v>
      </c>
    </row>
    <row r="277" spans="1:11" x14ac:dyDescent="0.25">
      <c r="A277" s="35">
        <v>2018</v>
      </c>
      <c r="B277" s="33" t="s">
        <v>368</v>
      </c>
      <c r="C277" s="33" t="s">
        <v>350</v>
      </c>
      <c r="D277" s="33" t="s">
        <v>351</v>
      </c>
      <c r="E277" s="34" t="s">
        <v>369</v>
      </c>
      <c r="F277" s="36"/>
      <c r="G277" s="36">
        <v>0</v>
      </c>
      <c r="H277" s="36">
        <v>551</v>
      </c>
      <c r="I277" s="36">
        <v>32</v>
      </c>
      <c r="J277" s="36">
        <v>120</v>
      </c>
      <c r="K277" s="6">
        <f t="shared" si="4"/>
        <v>703</v>
      </c>
    </row>
    <row r="278" spans="1:11" x14ac:dyDescent="0.25">
      <c r="A278" s="35">
        <v>2018</v>
      </c>
      <c r="B278" s="33" t="s">
        <v>358</v>
      </c>
      <c r="C278" s="33" t="s">
        <v>350</v>
      </c>
      <c r="D278" s="33" t="s">
        <v>351</v>
      </c>
      <c r="E278" s="34" t="s">
        <v>359</v>
      </c>
      <c r="F278" s="36"/>
      <c r="G278" s="36">
        <v>0</v>
      </c>
      <c r="H278" s="36">
        <v>551</v>
      </c>
      <c r="I278" s="36">
        <v>32</v>
      </c>
      <c r="J278" s="36">
        <v>120</v>
      </c>
      <c r="K278" s="6">
        <f t="shared" si="4"/>
        <v>703</v>
      </c>
    </row>
    <row r="279" spans="1:11" x14ac:dyDescent="0.25">
      <c r="A279" s="35">
        <v>2018</v>
      </c>
      <c r="B279" s="33" t="s">
        <v>362</v>
      </c>
      <c r="C279" s="33" t="s">
        <v>350</v>
      </c>
      <c r="D279" s="33" t="s">
        <v>351</v>
      </c>
      <c r="E279" s="34" t="s">
        <v>363</v>
      </c>
      <c r="F279" s="36"/>
      <c r="G279" s="36">
        <v>0</v>
      </c>
      <c r="H279" s="36">
        <v>551</v>
      </c>
      <c r="I279" s="36">
        <v>32</v>
      </c>
      <c r="J279" s="36">
        <v>120</v>
      </c>
      <c r="K279" s="6">
        <f t="shared" si="4"/>
        <v>703</v>
      </c>
    </row>
    <row r="280" spans="1:11" x14ac:dyDescent="0.25">
      <c r="A280" s="35">
        <v>2018</v>
      </c>
      <c r="B280" s="33" t="s">
        <v>374</v>
      </c>
      <c r="C280" s="33" t="s">
        <v>350</v>
      </c>
      <c r="D280" s="33" t="s">
        <v>351</v>
      </c>
      <c r="E280" s="34" t="s">
        <v>375</v>
      </c>
      <c r="F280" s="36"/>
      <c r="G280" s="36">
        <v>0</v>
      </c>
      <c r="H280" s="36">
        <v>551</v>
      </c>
      <c r="I280" s="36">
        <v>32</v>
      </c>
      <c r="J280" s="36">
        <v>120</v>
      </c>
      <c r="K280" s="6">
        <f t="shared" si="4"/>
        <v>703</v>
      </c>
    </row>
    <row r="281" spans="1:11" x14ac:dyDescent="0.25">
      <c r="A281" s="35">
        <v>2018</v>
      </c>
      <c r="B281" s="33" t="s">
        <v>364</v>
      </c>
      <c r="C281" s="33" t="s">
        <v>350</v>
      </c>
      <c r="D281" s="33" t="s">
        <v>351</v>
      </c>
      <c r="E281" s="34" t="s">
        <v>365</v>
      </c>
      <c r="F281" s="36"/>
      <c r="G281" s="36">
        <v>0</v>
      </c>
      <c r="H281" s="36">
        <v>551</v>
      </c>
      <c r="I281" s="36">
        <v>32</v>
      </c>
      <c r="J281" s="36">
        <v>120</v>
      </c>
      <c r="K281" s="6">
        <f t="shared" si="4"/>
        <v>703</v>
      </c>
    </row>
    <row r="282" spans="1:11" x14ac:dyDescent="0.25">
      <c r="A282" s="35">
        <v>2018</v>
      </c>
      <c r="B282" s="33" t="s">
        <v>366</v>
      </c>
      <c r="C282" s="33" t="s">
        <v>350</v>
      </c>
      <c r="D282" s="33" t="s">
        <v>351</v>
      </c>
      <c r="E282" s="34" t="s">
        <v>367</v>
      </c>
      <c r="F282" s="36"/>
      <c r="G282" s="36">
        <v>0</v>
      </c>
      <c r="H282" s="36">
        <v>551</v>
      </c>
      <c r="I282" s="36">
        <v>32</v>
      </c>
      <c r="J282" s="36">
        <v>120</v>
      </c>
      <c r="K282" s="6">
        <f t="shared" si="4"/>
        <v>703</v>
      </c>
    </row>
    <row r="283" spans="1:11" x14ac:dyDescent="0.25">
      <c r="A283" s="35">
        <v>2018</v>
      </c>
      <c r="B283" s="33" t="s">
        <v>372</v>
      </c>
      <c r="C283" s="33" t="s">
        <v>350</v>
      </c>
      <c r="D283" s="33" t="s">
        <v>351</v>
      </c>
      <c r="E283" s="34" t="s">
        <v>373</v>
      </c>
      <c r="F283" s="36"/>
      <c r="G283" s="36">
        <v>0</v>
      </c>
      <c r="H283" s="36">
        <v>551</v>
      </c>
      <c r="I283" s="36">
        <v>32</v>
      </c>
      <c r="J283" s="36">
        <v>120</v>
      </c>
      <c r="K283" s="6">
        <f t="shared" si="4"/>
        <v>703</v>
      </c>
    </row>
    <row r="284" spans="1:11" x14ac:dyDescent="0.25">
      <c r="A284" s="35">
        <v>2018</v>
      </c>
      <c r="B284" s="33" t="s">
        <v>370</v>
      </c>
      <c r="C284" s="33" t="s">
        <v>350</v>
      </c>
      <c r="D284" s="33" t="s">
        <v>351</v>
      </c>
      <c r="E284" s="34" t="s">
        <v>371</v>
      </c>
      <c r="F284" s="36"/>
      <c r="G284" s="36">
        <v>0</v>
      </c>
      <c r="H284" s="36">
        <v>551</v>
      </c>
      <c r="I284" s="36">
        <v>32</v>
      </c>
      <c r="J284" s="36">
        <v>120</v>
      </c>
      <c r="K284" s="6">
        <f t="shared" si="4"/>
        <v>703</v>
      </c>
    </row>
    <row r="285" spans="1:11" x14ac:dyDescent="0.25">
      <c r="A285" s="35">
        <v>2018</v>
      </c>
      <c r="B285" s="33" t="s">
        <v>356</v>
      </c>
      <c r="C285" s="33" t="s">
        <v>350</v>
      </c>
      <c r="D285" s="33" t="s">
        <v>351</v>
      </c>
      <c r="E285" s="34" t="s">
        <v>357</v>
      </c>
      <c r="F285" s="36"/>
      <c r="G285" s="36">
        <v>0</v>
      </c>
      <c r="H285" s="36">
        <v>551</v>
      </c>
      <c r="I285" s="36">
        <v>32</v>
      </c>
      <c r="J285" s="36">
        <v>120</v>
      </c>
      <c r="K285" s="6">
        <f t="shared" si="4"/>
        <v>703</v>
      </c>
    </row>
    <row r="286" spans="1:11" x14ac:dyDescent="0.25">
      <c r="A286" s="35">
        <v>2018</v>
      </c>
      <c r="B286" s="33" t="s">
        <v>354</v>
      </c>
      <c r="C286" s="33" t="s">
        <v>350</v>
      </c>
      <c r="D286" s="33" t="s">
        <v>351</v>
      </c>
      <c r="E286" s="34" t="s">
        <v>355</v>
      </c>
      <c r="F286" s="36"/>
      <c r="G286" s="36">
        <v>0</v>
      </c>
      <c r="H286" s="36">
        <v>551</v>
      </c>
      <c r="I286" s="36">
        <v>32</v>
      </c>
      <c r="J286" s="36">
        <v>120</v>
      </c>
      <c r="K286" s="6">
        <f>SUM(F286:J286)</f>
        <v>703</v>
      </c>
    </row>
    <row r="287" spans="1:11" x14ac:dyDescent="0.25">
      <c r="A287" s="35">
        <v>2018</v>
      </c>
      <c r="B287" s="33" t="s">
        <v>349</v>
      </c>
      <c r="C287" s="33" t="s">
        <v>350</v>
      </c>
      <c r="D287" s="33" t="s">
        <v>351</v>
      </c>
      <c r="E287" s="34" t="s">
        <v>352</v>
      </c>
      <c r="F287" s="36"/>
      <c r="G287" s="36">
        <v>0</v>
      </c>
      <c r="H287" s="36">
        <v>551</v>
      </c>
      <c r="I287" s="36">
        <v>32</v>
      </c>
      <c r="J287" s="36">
        <v>120</v>
      </c>
      <c r="K287" s="6">
        <f t="shared" si="4"/>
        <v>703</v>
      </c>
    </row>
    <row r="288" spans="1:11" x14ac:dyDescent="0.25">
      <c r="A288" s="35">
        <v>2018</v>
      </c>
      <c r="B288" s="33" t="s">
        <v>399</v>
      </c>
      <c r="C288" s="33" t="s">
        <v>400</v>
      </c>
      <c r="D288" s="33" t="s">
        <v>401</v>
      </c>
      <c r="E288" s="34" t="s">
        <v>402</v>
      </c>
      <c r="F288" s="36"/>
      <c r="G288" s="36">
        <v>0</v>
      </c>
      <c r="H288" s="36">
        <v>551</v>
      </c>
      <c r="I288" s="36">
        <v>32</v>
      </c>
      <c r="J288" s="36">
        <v>120</v>
      </c>
      <c r="K288" s="6">
        <f t="shared" si="4"/>
        <v>703</v>
      </c>
    </row>
    <row r="289" spans="1:11" x14ac:dyDescent="0.25">
      <c r="A289" s="35">
        <v>2018</v>
      </c>
      <c r="B289" s="33" t="s">
        <v>395</v>
      </c>
      <c r="C289" s="33" t="s">
        <v>396</v>
      </c>
      <c r="D289" s="33" t="s">
        <v>397</v>
      </c>
      <c r="E289" s="34" t="s">
        <v>398</v>
      </c>
      <c r="F289" s="36"/>
      <c r="G289" s="36">
        <v>0</v>
      </c>
      <c r="H289" s="36">
        <v>551</v>
      </c>
      <c r="I289" s="36">
        <v>32</v>
      </c>
      <c r="J289" s="36">
        <v>120</v>
      </c>
      <c r="K289" s="6">
        <f t="shared" si="4"/>
        <v>703</v>
      </c>
    </row>
    <row r="290" spans="1:11" x14ac:dyDescent="0.25">
      <c r="A290" s="4">
        <v>2017</v>
      </c>
      <c r="B290" s="11" t="s">
        <v>288</v>
      </c>
      <c r="C290" s="11" t="s">
        <v>289</v>
      </c>
      <c r="D290" s="11" t="s">
        <v>290</v>
      </c>
      <c r="E290" s="12" t="s">
        <v>291</v>
      </c>
      <c r="F290" s="5"/>
      <c r="G290" s="5">
        <v>0</v>
      </c>
      <c r="H290" s="5">
        <v>551</v>
      </c>
      <c r="I290" s="5">
        <v>32</v>
      </c>
      <c r="J290" s="5">
        <v>120</v>
      </c>
      <c r="K290" s="6">
        <f>SUM(F290:J290)</f>
        <v>703</v>
      </c>
    </row>
    <row r="291" spans="1:11" x14ac:dyDescent="0.25">
      <c r="A291" s="4">
        <v>2017</v>
      </c>
      <c r="B291" s="11" t="s">
        <v>295</v>
      </c>
      <c r="C291" s="11" t="s">
        <v>289</v>
      </c>
      <c r="D291" s="11" t="s">
        <v>290</v>
      </c>
      <c r="E291" s="12" t="s">
        <v>296</v>
      </c>
      <c r="F291" s="5"/>
      <c r="G291" s="5">
        <v>0</v>
      </c>
      <c r="H291" s="5">
        <v>551</v>
      </c>
      <c r="I291" s="5">
        <v>32</v>
      </c>
      <c r="J291" s="5">
        <v>120</v>
      </c>
      <c r="K291" s="6">
        <f t="shared" ref="K291:K353" si="5">SUM(F291:J291)</f>
        <v>703</v>
      </c>
    </row>
    <row r="292" spans="1:11" x14ac:dyDescent="0.25">
      <c r="A292" s="4">
        <v>2017</v>
      </c>
      <c r="B292" s="11" t="s">
        <v>301</v>
      </c>
      <c r="C292" s="11" t="s">
        <v>289</v>
      </c>
      <c r="D292" s="11" t="s">
        <v>290</v>
      </c>
      <c r="E292" s="12" t="s">
        <v>302</v>
      </c>
      <c r="F292" s="5"/>
      <c r="G292" s="5">
        <v>0</v>
      </c>
      <c r="H292" s="5">
        <v>551</v>
      </c>
      <c r="I292" s="5">
        <v>32</v>
      </c>
      <c r="J292" s="5">
        <v>120</v>
      </c>
      <c r="K292" s="6">
        <f t="shared" si="5"/>
        <v>703</v>
      </c>
    </row>
    <row r="293" spans="1:11" x14ac:dyDescent="0.25">
      <c r="A293" s="4">
        <v>2017</v>
      </c>
      <c r="B293" s="11" t="s">
        <v>299</v>
      </c>
      <c r="C293" s="11" t="s">
        <v>289</v>
      </c>
      <c r="D293" s="11" t="s">
        <v>290</v>
      </c>
      <c r="E293" s="12" t="s">
        <v>300</v>
      </c>
      <c r="F293" s="5"/>
      <c r="G293" s="5">
        <v>0</v>
      </c>
      <c r="H293" s="5">
        <v>551</v>
      </c>
      <c r="I293" s="5">
        <v>32</v>
      </c>
      <c r="J293" s="5">
        <v>120</v>
      </c>
      <c r="K293" s="6">
        <f t="shared" si="5"/>
        <v>703</v>
      </c>
    </row>
    <row r="294" spans="1:11" x14ac:dyDescent="0.25">
      <c r="A294" s="4">
        <v>2017</v>
      </c>
      <c r="B294" s="11" t="s">
        <v>297</v>
      </c>
      <c r="C294" s="11" t="s">
        <v>289</v>
      </c>
      <c r="D294" s="11" t="s">
        <v>290</v>
      </c>
      <c r="E294" s="12" t="s">
        <v>298</v>
      </c>
      <c r="F294" s="5"/>
      <c r="G294" s="5">
        <v>0</v>
      </c>
      <c r="H294" s="5">
        <v>551</v>
      </c>
      <c r="I294" s="5">
        <v>32</v>
      </c>
      <c r="J294" s="5">
        <v>120</v>
      </c>
      <c r="K294" s="6">
        <f t="shared" si="5"/>
        <v>703</v>
      </c>
    </row>
    <row r="295" spans="1:11" x14ac:dyDescent="0.25">
      <c r="A295" s="4">
        <v>2017</v>
      </c>
      <c r="B295" s="11" t="s">
        <v>391</v>
      </c>
      <c r="C295" s="11" t="s">
        <v>383</v>
      </c>
      <c r="D295" s="11" t="s">
        <v>384</v>
      </c>
      <c r="E295" s="12" t="s">
        <v>392</v>
      </c>
      <c r="F295" s="5"/>
      <c r="G295" s="5">
        <v>0</v>
      </c>
      <c r="H295" s="5">
        <v>551</v>
      </c>
      <c r="I295" s="5">
        <v>32</v>
      </c>
      <c r="J295" s="5">
        <v>120</v>
      </c>
      <c r="K295" s="6">
        <f t="shared" si="5"/>
        <v>703</v>
      </c>
    </row>
    <row r="296" spans="1:11" x14ac:dyDescent="0.25">
      <c r="A296" s="4">
        <v>2017</v>
      </c>
      <c r="B296" s="11" t="s">
        <v>393</v>
      </c>
      <c r="C296" s="11" t="s">
        <v>383</v>
      </c>
      <c r="D296" s="11" t="s">
        <v>384</v>
      </c>
      <c r="E296" s="12" t="s">
        <v>394</v>
      </c>
      <c r="F296" s="5"/>
      <c r="G296" s="5">
        <v>0</v>
      </c>
      <c r="H296" s="5">
        <v>551</v>
      </c>
      <c r="I296" s="5">
        <v>32</v>
      </c>
      <c r="J296" s="5">
        <v>120</v>
      </c>
      <c r="K296" s="6">
        <f t="shared" si="5"/>
        <v>703</v>
      </c>
    </row>
    <row r="297" spans="1:11" x14ac:dyDescent="0.25">
      <c r="A297" s="4">
        <v>2017</v>
      </c>
      <c r="B297" s="11" t="s">
        <v>387</v>
      </c>
      <c r="C297" s="11" t="s">
        <v>383</v>
      </c>
      <c r="D297" s="11" t="s">
        <v>384</v>
      </c>
      <c r="E297" s="12" t="s">
        <v>388</v>
      </c>
      <c r="F297" s="5"/>
      <c r="G297" s="5">
        <v>0</v>
      </c>
      <c r="H297" s="5">
        <v>551</v>
      </c>
      <c r="I297" s="5">
        <v>32</v>
      </c>
      <c r="J297" s="5">
        <v>120</v>
      </c>
      <c r="K297" s="6">
        <f t="shared" si="5"/>
        <v>703</v>
      </c>
    </row>
    <row r="298" spans="1:11" x14ac:dyDescent="0.25">
      <c r="A298" s="4">
        <v>2017</v>
      </c>
      <c r="B298" s="11" t="s">
        <v>382</v>
      </c>
      <c r="C298" s="11" t="s">
        <v>383</v>
      </c>
      <c r="D298" s="11" t="s">
        <v>384</v>
      </c>
      <c r="E298" s="12" t="s">
        <v>385</v>
      </c>
      <c r="F298" s="5"/>
      <c r="G298" s="5">
        <v>0</v>
      </c>
      <c r="H298" s="5">
        <v>551</v>
      </c>
      <c r="I298" s="5">
        <v>32</v>
      </c>
      <c r="J298" s="5">
        <v>120</v>
      </c>
      <c r="K298" s="6">
        <f t="shared" si="5"/>
        <v>703</v>
      </c>
    </row>
    <row r="299" spans="1:11" x14ac:dyDescent="0.25">
      <c r="A299" s="4">
        <v>2017</v>
      </c>
      <c r="B299" s="11" t="s">
        <v>389</v>
      </c>
      <c r="C299" s="11" t="s">
        <v>383</v>
      </c>
      <c r="D299" s="11" t="s">
        <v>384</v>
      </c>
      <c r="E299" s="12" t="s">
        <v>390</v>
      </c>
      <c r="F299" s="5"/>
      <c r="G299" s="5">
        <v>0</v>
      </c>
      <c r="H299" s="5">
        <v>551</v>
      </c>
      <c r="I299" s="5">
        <v>32</v>
      </c>
      <c r="J299" s="5">
        <v>120</v>
      </c>
      <c r="K299" s="6">
        <f t="shared" si="5"/>
        <v>703</v>
      </c>
    </row>
    <row r="300" spans="1:11" x14ac:dyDescent="0.25">
      <c r="A300" s="4">
        <v>2017</v>
      </c>
      <c r="B300" s="11" t="s">
        <v>337</v>
      </c>
      <c r="C300" s="11" t="s">
        <v>331</v>
      </c>
      <c r="D300" s="11" t="s">
        <v>332</v>
      </c>
      <c r="E300" s="12" t="s">
        <v>338</v>
      </c>
      <c r="F300" s="5"/>
      <c r="G300" s="5">
        <v>0</v>
      </c>
      <c r="H300" s="5">
        <v>551</v>
      </c>
      <c r="I300" s="5">
        <v>32</v>
      </c>
      <c r="J300" s="5">
        <v>120</v>
      </c>
      <c r="K300" s="6">
        <f t="shared" si="5"/>
        <v>703</v>
      </c>
    </row>
    <row r="301" spans="1:11" x14ac:dyDescent="0.25">
      <c r="A301" s="4">
        <v>2017</v>
      </c>
      <c r="B301" s="11" t="s">
        <v>345</v>
      </c>
      <c r="C301" s="11" t="s">
        <v>331</v>
      </c>
      <c r="D301" s="11" t="s">
        <v>332</v>
      </c>
      <c r="E301" s="12" t="s">
        <v>346</v>
      </c>
      <c r="F301" s="5"/>
      <c r="G301" s="5">
        <v>0</v>
      </c>
      <c r="H301" s="5">
        <v>551</v>
      </c>
      <c r="I301" s="5">
        <v>32</v>
      </c>
      <c r="J301" s="5">
        <v>120</v>
      </c>
      <c r="K301" s="6">
        <f t="shared" si="5"/>
        <v>703</v>
      </c>
    </row>
    <row r="302" spans="1:11" x14ac:dyDescent="0.25">
      <c r="A302" s="4">
        <v>2017</v>
      </c>
      <c r="B302" s="11" t="s">
        <v>341</v>
      </c>
      <c r="C302" s="11" t="s">
        <v>331</v>
      </c>
      <c r="D302" s="11" t="s">
        <v>332</v>
      </c>
      <c r="E302" s="12" t="s">
        <v>342</v>
      </c>
      <c r="F302" s="5"/>
      <c r="G302" s="5">
        <v>0</v>
      </c>
      <c r="H302" s="5">
        <v>551</v>
      </c>
      <c r="I302" s="5">
        <v>32</v>
      </c>
      <c r="J302" s="5">
        <v>120</v>
      </c>
      <c r="K302" s="6">
        <f t="shared" si="5"/>
        <v>703</v>
      </c>
    </row>
    <row r="303" spans="1:11" x14ac:dyDescent="0.25">
      <c r="A303" s="4">
        <v>2017</v>
      </c>
      <c r="B303" s="11" t="s">
        <v>343</v>
      </c>
      <c r="C303" s="11" t="s">
        <v>331</v>
      </c>
      <c r="D303" s="11" t="s">
        <v>332</v>
      </c>
      <c r="E303" s="12" t="s">
        <v>344</v>
      </c>
      <c r="F303" s="5"/>
      <c r="G303" s="5">
        <v>0</v>
      </c>
      <c r="H303" s="5">
        <v>551</v>
      </c>
      <c r="I303" s="5">
        <v>32</v>
      </c>
      <c r="J303" s="5">
        <v>120</v>
      </c>
      <c r="K303" s="6">
        <f t="shared" si="5"/>
        <v>703</v>
      </c>
    </row>
    <row r="304" spans="1:11" x14ac:dyDescent="0.25">
      <c r="A304" s="4">
        <v>2017</v>
      </c>
      <c r="B304" s="11" t="s">
        <v>347</v>
      </c>
      <c r="C304" s="11" t="s">
        <v>331</v>
      </c>
      <c r="D304" s="11" t="s">
        <v>332</v>
      </c>
      <c r="E304" s="12" t="s">
        <v>348</v>
      </c>
      <c r="F304" s="5"/>
      <c r="G304" s="5">
        <v>0</v>
      </c>
      <c r="H304" s="5">
        <v>551</v>
      </c>
      <c r="I304" s="5">
        <v>32</v>
      </c>
      <c r="J304" s="5">
        <v>120</v>
      </c>
      <c r="K304" s="6">
        <f t="shared" si="5"/>
        <v>703</v>
      </c>
    </row>
    <row r="305" spans="1:11" x14ac:dyDescent="0.25">
      <c r="A305" s="4">
        <v>2017</v>
      </c>
      <c r="B305" s="11" t="s">
        <v>330</v>
      </c>
      <c r="C305" s="11" t="s">
        <v>331</v>
      </c>
      <c r="D305" s="11" t="s">
        <v>332</v>
      </c>
      <c r="E305" s="12" t="s">
        <v>333</v>
      </c>
      <c r="F305" s="5"/>
      <c r="G305" s="5">
        <v>0</v>
      </c>
      <c r="H305" s="5">
        <v>551</v>
      </c>
      <c r="I305" s="5">
        <v>32</v>
      </c>
      <c r="J305" s="5">
        <v>120</v>
      </c>
      <c r="K305" s="6">
        <f t="shared" si="5"/>
        <v>703</v>
      </c>
    </row>
    <row r="306" spans="1:11" x14ac:dyDescent="0.25">
      <c r="A306" s="4">
        <v>2017</v>
      </c>
      <c r="B306" s="11" t="s">
        <v>335</v>
      </c>
      <c r="C306" s="11" t="s">
        <v>331</v>
      </c>
      <c r="D306" s="11" t="s">
        <v>332</v>
      </c>
      <c r="E306" s="12" t="s">
        <v>336</v>
      </c>
      <c r="F306" s="5"/>
      <c r="G306" s="5">
        <v>0</v>
      </c>
      <c r="H306" s="5">
        <v>551</v>
      </c>
      <c r="I306" s="5">
        <v>32</v>
      </c>
      <c r="J306" s="5">
        <v>120</v>
      </c>
      <c r="K306" s="6">
        <f t="shared" si="5"/>
        <v>703</v>
      </c>
    </row>
    <row r="307" spans="1:11" x14ac:dyDescent="0.25">
      <c r="A307" s="4">
        <v>2017</v>
      </c>
      <c r="B307" s="11" t="s">
        <v>339</v>
      </c>
      <c r="C307" s="11" t="s">
        <v>331</v>
      </c>
      <c r="D307" s="11" t="s">
        <v>332</v>
      </c>
      <c r="E307" s="12" t="s">
        <v>340</v>
      </c>
      <c r="F307" s="5"/>
      <c r="G307" s="5">
        <v>0</v>
      </c>
      <c r="H307" s="5">
        <v>551</v>
      </c>
      <c r="I307" s="5">
        <v>32</v>
      </c>
      <c r="J307" s="5">
        <v>120</v>
      </c>
      <c r="K307" s="6">
        <f t="shared" si="5"/>
        <v>703</v>
      </c>
    </row>
    <row r="308" spans="1:11" x14ac:dyDescent="0.25">
      <c r="A308" s="4">
        <v>2017</v>
      </c>
      <c r="B308" s="11" t="s">
        <v>318</v>
      </c>
      <c r="C308" s="11" t="s">
        <v>304</v>
      </c>
      <c r="D308" s="11" t="s">
        <v>305</v>
      </c>
      <c r="E308" s="12" t="s">
        <v>319</v>
      </c>
      <c r="F308" s="5"/>
      <c r="G308" s="5">
        <v>0</v>
      </c>
      <c r="H308" s="5">
        <v>551</v>
      </c>
      <c r="I308" s="5">
        <v>32</v>
      </c>
      <c r="J308" s="5">
        <v>120</v>
      </c>
      <c r="K308" s="6">
        <f t="shared" si="5"/>
        <v>703</v>
      </c>
    </row>
    <row r="309" spans="1:11" x14ac:dyDescent="0.25">
      <c r="A309" s="4">
        <v>2017</v>
      </c>
      <c r="B309" s="11" t="s">
        <v>312</v>
      </c>
      <c r="C309" s="11" t="s">
        <v>304</v>
      </c>
      <c r="D309" s="11" t="s">
        <v>305</v>
      </c>
      <c r="E309" s="12" t="s">
        <v>313</v>
      </c>
      <c r="F309" s="5"/>
      <c r="G309" s="5">
        <v>0</v>
      </c>
      <c r="H309" s="5">
        <v>551</v>
      </c>
      <c r="I309" s="5">
        <v>32</v>
      </c>
      <c r="J309" s="5">
        <v>120</v>
      </c>
      <c r="K309" s="6">
        <f t="shared" si="5"/>
        <v>703</v>
      </c>
    </row>
    <row r="310" spans="1:11" x14ac:dyDescent="0.25">
      <c r="A310" s="4">
        <v>2017</v>
      </c>
      <c r="B310" s="11" t="s">
        <v>326</v>
      </c>
      <c r="C310" s="11" t="s">
        <v>304</v>
      </c>
      <c r="D310" s="11" t="s">
        <v>305</v>
      </c>
      <c r="E310" s="12" t="s">
        <v>327</v>
      </c>
      <c r="F310" s="5"/>
      <c r="G310" s="5">
        <v>0</v>
      </c>
      <c r="H310" s="5">
        <v>551</v>
      </c>
      <c r="I310" s="5">
        <v>32</v>
      </c>
      <c r="J310" s="5">
        <v>120</v>
      </c>
      <c r="K310" s="6">
        <f t="shared" si="5"/>
        <v>703</v>
      </c>
    </row>
    <row r="311" spans="1:11" x14ac:dyDescent="0.25">
      <c r="A311" s="4">
        <v>2017</v>
      </c>
      <c r="B311" s="11" t="s">
        <v>322</v>
      </c>
      <c r="C311" s="11" t="s">
        <v>304</v>
      </c>
      <c r="D311" s="11" t="s">
        <v>305</v>
      </c>
      <c r="E311" s="12" t="s">
        <v>323</v>
      </c>
      <c r="F311" s="5"/>
      <c r="G311" s="5">
        <v>0</v>
      </c>
      <c r="H311" s="5">
        <v>551</v>
      </c>
      <c r="I311" s="5">
        <v>32</v>
      </c>
      <c r="J311" s="5">
        <v>120</v>
      </c>
      <c r="K311" s="6">
        <f t="shared" si="5"/>
        <v>703</v>
      </c>
    </row>
    <row r="312" spans="1:11" x14ac:dyDescent="0.25">
      <c r="A312" s="4">
        <v>2017</v>
      </c>
      <c r="B312" s="11" t="s">
        <v>324</v>
      </c>
      <c r="C312" s="11" t="s">
        <v>304</v>
      </c>
      <c r="D312" s="11" t="s">
        <v>305</v>
      </c>
      <c r="E312" s="12" t="s">
        <v>325</v>
      </c>
      <c r="F312" s="5"/>
      <c r="G312" s="5">
        <v>0</v>
      </c>
      <c r="H312" s="5">
        <v>551</v>
      </c>
      <c r="I312" s="5">
        <v>32</v>
      </c>
      <c r="J312" s="5">
        <v>120</v>
      </c>
      <c r="K312" s="6">
        <f t="shared" si="5"/>
        <v>703</v>
      </c>
    </row>
    <row r="313" spans="1:11" x14ac:dyDescent="0.25">
      <c r="A313" s="4">
        <v>2017</v>
      </c>
      <c r="B313" s="11" t="s">
        <v>328</v>
      </c>
      <c r="C313" s="11" t="s">
        <v>304</v>
      </c>
      <c r="D313" s="11" t="s">
        <v>305</v>
      </c>
      <c r="E313" s="12" t="s">
        <v>329</v>
      </c>
      <c r="F313" s="5"/>
      <c r="G313" s="5">
        <v>0</v>
      </c>
      <c r="H313" s="5">
        <v>551</v>
      </c>
      <c r="I313" s="5">
        <v>32</v>
      </c>
      <c r="J313" s="5">
        <v>120</v>
      </c>
      <c r="K313" s="6">
        <f t="shared" si="5"/>
        <v>703</v>
      </c>
    </row>
    <row r="314" spans="1:11" x14ac:dyDescent="0.25">
      <c r="A314" s="4">
        <v>2017</v>
      </c>
      <c r="B314" s="11" t="s">
        <v>314</v>
      </c>
      <c r="C314" s="11" t="s">
        <v>304</v>
      </c>
      <c r="D314" s="11" t="s">
        <v>305</v>
      </c>
      <c r="E314" s="12" t="s">
        <v>315</v>
      </c>
      <c r="F314" s="5"/>
      <c r="G314" s="5">
        <v>0</v>
      </c>
      <c r="H314" s="5">
        <v>551</v>
      </c>
      <c r="I314" s="5">
        <v>32</v>
      </c>
      <c r="J314" s="5">
        <v>120</v>
      </c>
      <c r="K314" s="6">
        <f t="shared" si="5"/>
        <v>703</v>
      </c>
    </row>
    <row r="315" spans="1:11" x14ac:dyDescent="0.25">
      <c r="A315" s="4">
        <v>2017</v>
      </c>
      <c r="B315" s="11" t="s">
        <v>316</v>
      </c>
      <c r="C315" s="11" t="s">
        <v>304</v>
      </c>
      <c r="D315" s="11" t="s">
        <v>305</v>
      </c>
      <c r="E315" s="12" t="s">
        <v>317</v>
      </c>
      <c r="F315" s="5"/>
      <c r="G315" s="5">
        <v>0</v>
      </c>
      <c r="H315" s="5">
        <v>551</v>
      </c>
      <c r="I315" s="5">
        <v>32</v>
      </c>
      <c r="J315" s="5">
        <v>120</v>
      </c>
      <c r="K315" s="6">
        <f t="shared" si="5"/>
        <v>703</v>
      </c>
    </row>
    <row r="316" spans="1:11" x14ac:dyDescent="0.25">
      <c r="A316" s="4">
        <v>2017</v>
      </c>
      <c r="B316" s="11" t="s">
        <v>320</v>
      </c>
      <c r="C316" s="11" t="s">
        <v>304</v>
      </c>
      <c r="D316" s="11" t="s">
        <v>305</v>
      </c>
      <c r="E316" s="12" t="s">
        <v>321</v>
      </c>
      <c r="F316" s="5"/>
      <c r="G316" s="5">
        <v>0</v>
      </c>
      <c r="H316" s="5">
        <v>551</v>
      </c>
      <c r="I316" s="5">
        <v>32</v>
      </c>
      <c r="J316" s="5">
        <v>120</v>
      </c>
      <c r="K316" s="6">
        <f t="shared" si="5"/>
        <v>703</v>
      </c>
    </row>
    <row r="317" spans="1:11" x14ac:dyDescent="0.25">
      <c r="A317" s="4">
        <v>2017</v>
      </c>
      <c r="B317" s="11" t="s">
        <v>310</v>
      </c>
      <c r="C317" s="11" t="s">
        <v>304</v>
      </c>
      <c r="D317" s="11" t="s">
        <v>305</v>
      </c>
      <c r="E317" s="12" t="s">
        <v>311</v>
      </c>
      <c r="F317" s="5"/>
      <c r="G317" s="5">
        <v>0</v>
      </c>
      <c r="H317" s="5">
        <v>551</v>
      </c>
      <c r="I317" s="5">
        <v>32</v>
      </c>
      <c r="J317" s="5">
        <v>120</v>
      </c>
      <c r="K317" s="6">
        <f t="shared" si="5"/>
        <v>703</v>
      </c>
    </row>
    <row r="318" spans="1:11" x14ac:dyDescent="0.25">
      <c r="A318" s="4">
        <v>2017</v>
      </c>
      <c r="B318" s="11" t="s">
        <v>308</v>
      </c>
      <c r="C318" s="11" t="s">
        <v>304</v>
      </c>
      <c r="D318" s="11" t="s">
        <v>305</v>
      </c>
      <c r="E318" s="12" t="s">
        <v>309</v>
      </c>
      <c r="F318" s="5"/>
      <c r="G318" s="5">
        <v>0</v>
      </c>
      <c r="H318" s="5">
        <v>551</v>
      </c>
      <c r="I318" s="5">
        <v>32</v>
      </c>
      <c r="J318" s="5">
        <v>120</v>
      </c>
      <c r="K318" s="6">
        <f t="shared" si="5"/>
        <v>703</v>
      </c>
    </row>
    <row r="319" spans="1:11" x14ac:dyDescent="0.25">
      <c r="A319" s="4">
        <v>2017</v>
      </c>
      <c r="B319" s="11" t="s">
        <v>303</v>
      </c>
      <c r="C319" s="11" t="s">
        <v>304</v>
      </c>
      <c r="D319" s="11" t="s">
        <v>305</v>
      </c>
      <c r="E319" s="12" t="s">
        <v>306</v>
      </c>
      <c r="F319" s="5"/>
      <c r="G319" s="5">
        <v>0</v>
      </c>
      <c r="H319" s="5">
        <v>551</v>
      </c>
      <c r="I319" s="5">
        <v>32</v>
      </c>
      <c r="J319" s="5">
        <v>120</v>
      </c>
      <c r="K319" s="6">
        <f t="shared" si="5"/>
        <v>703</v>
      </c>
    </row>
    <row r="320" spans="1:11" x14ac:dyDescent="0.25">
      <c r="A320" s="4">
        <v>2017</v>
      </c>
      <c r="B320" s="11" t="s">
        <v>293</v>
      </c>
      <c r="C320" s="11" t="s">
        <v>289</v>
      </c>
      <c r="D320" s="11" t="s">
        <v>290</v>
      </c>
      <c r="E320" s="12" t="s">
        <v>294</v>
      </c>
      <c r="F320" s="5"/>
      <c r="G320" s="5">
        <v>0</v>
      </c>
      <c r="H320" s="5">
        <v>551</v>
      </c>
      <c r="I320" s="5">
        <v>32</v>
      </c>
      <c r="J320" s="5">
        <v>120</v>
      </c>
      <c r="K320" s="6">
        <f t="shared" si="5"/>
        <v>703</v>
      </c>
    </row>
    <row r="321" spans="1:11" x14ac:dyDescent="0.25">
      <c r="A321" s="4">
        <v>2017</v>
      </c>
      <c r="B321" s="11" t="s">
        <v>378</v>
      </c>
      <c r="C321" s="11" t="s">
        <v>350</v>
      </c>
      <c r="D321" s="11" t="s">
        <v>351</v>
      </c>
      <c r="E321" s="12" t="s">
        <v>379</v>
      </c>
      <c r="F321" s="5"/>
      <c r="G321" s="5">
        <v>0</v>
      </c>
      <c r="H321" s="5">
        <v>551</v>
      </c>
      <c r="I321" s="5">
        <v>32</v>
      </c>
      <c r="J321" s="5">
        <v>120</v>
      </c>
      <c r="K321" s="6">
        <f t="shared" si="5"/>
        <v>703</v>
      </c>
    </row>
    <row r="322" spans="1:11" x14ac:dyDescent="0.25">
      <c r="A322" s="4">
        <v>2017</v>
      </c>
      <c r="B322" s="11" t="s">
        <v>376</v>
      </c>
      <c r="C322" s="11" t="s">
        <v>350</v>
      </c>
      <c r="D322" s="11" t="s">
        <v>351</v>
      </c>
      <c r="E322" s="12" t="s">
        <v>377</v>
      </c>
      <c r="F322" s="5"/>
      <c r="G322" s="5">
        <v>0</v>
      </c>
      <c r="H322" s="5">
        <v>551</v>
      </c>
      <c r="I322" s="5">
        <v>32</v>
      </c>
      <c r="J322" s="5">
        <v>120</v>
      </c>
      <c r="K322" s="6">
        <f t="shared" si="5"/>
        <v>703</v>
      </c>
    </row>
    <row r="323" spans="1:11" x14ac:dyDescent="0.25">
      <c r="A323" s="4">
        <v>2017</v>
      </c>
      <c r="B323" s="11" t="s">
        <v>380</v>
      </c>
      <c r="C323" s="11" t="s">
        <v>350</v>
      </c>
      <c r="D323" s="11" t="s">
        <v>351</v>
      </c>
      <c r="E323" s="12" t="s">
        <v>381</v>
      </c>
      <c r="F323" s="5"/>
      <c r="G323" s="5">
        <v>0</v>
      </c>
      <c r="H323" s="5">
        <v>551</v>
      </c>
      <c r="I323" s="5">
        <v>32</v>
      </c>
      <c r="J323" s="5">
        <v>120</v>
      </c>
      <c r="K323" s="6">
        <f t="shared" si="5"/>
        <v>703</v>
      </c>
    </row>
    <row r="324" spans="1:11" x14ac:dyDescent="0.25">
      <c r="A324" s="4">
        <v>2017</v>
      </c>
      <c r="B324" s="11" t="s">
        <v>360</v>
      </c>
      <c r="C324" s="11" t="s">
        <v>350</v>
      </c>
      <c r="D324" s="11" t="s">
        <v>351</v>
      </c>
      <c r="E324" s="12" t="s">
        <v>361</v>
      </c>
      <c r="F324" s="5"/>
      <c r="G324" s="5">
        <v>0</v>
      </c>
      <c r="H324" s="5">
        <v>551</v>
      </c>
      <c r="I324" s="5">
        <v>32</v>
      </c>
      <c r="J324" s="5">
        <v>120</v>
      </c>
      <c r="K324" s="6">
        <f t="shared" si="5"/>
        <v>703</v>
      </c>
    </row>
    <row r="325" spans="1:11" x14ac:dyDescent="0.25">
      <c r="A325" s="4">
        <v>2017</v>
      </c>
      <c r="B325" s="11" t="s">
        <v>368</v>
      </c>
      <c r="C325" s="11" t="s">
        <v>350</v>
      </c>
      <c r="D325" s="11" t="s">
        <v>351</v>
      </c>
      <c r="E325" s="12" t="s">
        <v>369</v>
      </c>
      <c r="F325" s="5"/>
      <c r="G325" s="5">
        <v>0</v>
      </c>
      <c r="H325" s="5">
        <v>551</v>
      </c>
      <c r="I325" s="5">
        <v>32</v>
      </c>
      <c r="J325" s="5">
        <v>120</v>
      </c>
      <c r="K325" s="6">
        <f t="shared" si="5"/>
        <v>703</v>
      </c>
    </row>
    <row r="326" spans="1:11" x14ac:dyDescent="0.25">
      <c r="A326" s="4">
        <v>2017</v>
      </c>
      <c r="B326" s="11" t="s">
        <v>358</v>
      </c>
      <c r="C326" s="11" t="s">
        <v>350</v>
      </c>
      <c r="D326" s="11" t="s">
        <v>351</v>
      </c>
      <c r="E326" s="12" t="s">
        <v>359</v>
      </c>
      <c r="F326" s="5"/>
      <c r="G326" s="5">
        <v>0</v>
      </c>
      <c r="H326" s="5">
        <v>551</v>
      </c>
      <c r="I326" s="5">
        <v>32</v>
      </c>
      <c r="J326" s="5">
        <v>120</v>
      </c>
      <c r="K326" s="6">
        <f t="shared" si="5"/>
        <v>703</v>
      </c>
    </row>
    <row r="327" spans="1:11" x14ac:dyDescent="0.25">
      <c r="A327" s="4">
        <v>2017</v>
      </c>
      <c r="B327" s="11" t="s">
        <v>362</v>
      </c>
      <c r="C327" s="11" t="s">
        <v>350</v>
      </c>
      <c r="D327" s="11" t="s">
        <v>351</v>
      </c>
      <c r="E327" s="12" t="s">
        <v>363</v>
      </c>
      <c r="F327" s="5"/>
      <c r="G327" s="5">
        <v>0</v>
      </c>
      <c r="H327" s="5">
        <v>551</v>
      </c>
      <c r="I327" s="5">
        <v>32</v>
      </c>
      <c r="J327" s="5">
        <v>120</v>
      </c>
      <c r="K327" s="6">
        <f t="shared" si="5"/>
        <v>703</v>
      </c>
    </row>
    <row r="328" spans="1:11" x14ac:dyDescent="0.25">
      <c r="A328" s="4">
        <v>2017</v>
      </c>
      <c r="B328" s="11" t="s">
        <v>374</v>
      </c>
      <c r="C328" s="11" t="s">
        <v>350</v>
      </c>
      <c r="D328" s="11" t="s">
        <v>351</v>
      </c>
      <c r="E328" s="12" t="s">
        <v>375</v>
      </c>
      <c r="F328" s="5"/>
      <c r="G328" s="5">
        <v>0</v>
      </c>
      <c r="H328" s="5">
        <v>551</v>
      </c>
      <c r="I328" s="5">
        <v>32</v>
      </c>
      <c r="J328" s="5">
        <v>120</v>
      </c>
      <c r="K328" s="6">
        <f t="shared" si="5"/>
        <v>703</v>
      </c>
    </row>
    <row r="329" spans="1:11" x14ac:dyDescent="0.25">
      <c r="A329" s="4">
        <v>2017</v>
      </c>
      <c r="B329" s="11" t="s">
        <v>364</v>
      </c>
      <c r="C329" s="11" t="s">
        <v>350</v>
      </c>
      <c r="D329" s="11" t="s">
        <v>351</v>
      </c>
      <c r="E329" s="12" t="s">
        <v>365</v>
      </c>
      <c r="F329" s="5"/>
      <c r="G329" s="5">
        <v>0</v>
      </c>
      <c r="H329" s="5">
        <v>551</v>
      </c>
      <c r="I329" s="5">
        <v>32</v>
      </c>
      <c r="J329" s="5">
        <v>120</v>
      </c>
      <c r="K329" s="6">
        <f t="shared" si="5"/>
        <v>703</v>
      </c>
    </row>
    <row r="330" spans="1:11" x14ac:dyDescent="0.25">
      <c r="A330" s="4">
        <v>2017</v>
      </c>
      <c r="B330" s="11" t="s">
        <v>366</v>
      </c>
      <c r="C330" s="11" t="s">
        <v>350</v>
      </c>
      <c r="D330" s="11" t="s">
        <v>351</v>
      </c>
      <c r="E330" s="12" t="s">
        <v>367</v>
      </c>
      <c r="F330" s="5"/>
      <c r="G330" s="5">
        <v>0</v>
      </c>
      <c r="H330" s="5">
        <v>551</v>
      </c>
      <c r="I330" s="5">
        <v>32</v>
      </c>
      <c r="J330" s="5">
        <v>120</v>
      </c>
      <c r="K330" s="6">
        <f t="shared" si="5"/>
        <v>703</v>
      </c>
    </row>
    <row r="331" spans="1:11" x14ac:dyDescent="0.25">
      <c r="A331" s="4">
        <v>2017</v>
      </c>
      <c r="B331" s="11" t="s">
        <v>372</v>
      </c>
      <c r="C331" s="11" t="s">
        <v>350</v>
      </c>
      <c r="D331" s="11" t="s">
        <v>351</v>
      </c>
      <c r="E331" s="12" t="s">
        <v>373</v>
      </c>
      <c r="F331" s="5"/>
      <c r="G331" s="5">
        <v>0</v>
      </c>
      <c r="H331" s="5">
        <v>551</v>
      </c>
      <c r="I331" s="5">
        <v>32</v>
      </c>
      <c r="J331" s="5">
        <v>120</v>
      </c>
      <c r="K331" s="6">
        <f t="shared" si="5"/>
        <v>703</v>
      </c>
    </row>
    <row r="332" spans="1:11" x14ac:dyDescent="0.25">
      <c r="A332" s="4">
        <v>2017</v>
      </c>
      <c r="B332" s="11" t="s">
        <v>370</v>
      </c>
      <c r="C332" s="11" t="s">
        <v>350</v>
      </c>
      <c r="D332" s="11" t="s">
        <v>351</v>
      </c>
      <c r="E332" s="12" t="s">
        <v>371</v>
      </c>
      <c r="F332" s="5"/>
      <c r="G332" s="5">
        <v>0</v>
      </c>
      <c r="H332" s="5">
        <v>551</v>
      </c>
      <c r="I332" s="5">
        <v>32</v>
      </c>
      <c r="J332" s="5">
        <v>120</v>
      </c>
      <c r="K332" s="6">
        <f t="shared" si="5"/>
        <v>703</v>
      </c>
    </row>
    <row r="333" spans="1:11" x14ac:dyDescent="0.25">
      <c r="A333" s="4">
        <v>2017</v>
      </c>
      <c r="B333" s="11" t="s">
        <v>356</v>
      </c>
      <c r="C333" s="11" t="s">
        <v>350</v>
      </c>
      <c r="D333" s="11" t="s">
        <v>351</v>
      </c>
      <c r="E333" s="12" t="s">
        <v>357</v>
      </c>
      <c r="F333" s="5"/>
      <c r="G333" s="5">
        <v>0</v>
      </c>
      <c r="H333" s="5">
        <v>551</v>
      </c>
      <c r="I333" s="5">
        <v>32</v>
      </c>
      <c r="J333" s="5">
        <v>120</v>
      </c>
      <c r="K333" s="6">
        <f t="shared" si="5"/>
        <v>703</v>
      </c>
    </row>
    <row r="334" spans="1:11" x14ac:dyDescent="0.25">
      <c r="A334" s="4">
        <v>2017</v>
      </c>
      <c r="B334" s="11" t="s">
        <v>354</v>
      </c>
      <c r="C334" s="11" t="s">
        <v>350</v>
      </c>
      <c r="D334" s="11" t="s">
        <v>351</v>
      </c>
      <c r="E334" s="12" t="s">
        <v>355</v>
      </c>
      <c r="F334" s="5"/>
      <c r="G334" s="5">
        <v>0</v>
      </c>
      <c r="H334" s="5">
        <v>551</v>
      </c>
      <c r="I334" s="5">
        <v>32</v>
      </c>
      <c r="J334" s="5">
        <v>120</v>
      </c>
      <c r="K334" s="6">
        <f t="shared" si="5"/>
        <v>703</v>
      </c>
    </row>
    <row r="335" spans="1:11" x14ac:dyDescent="0.25">
      <c r="A335" s="4">
        <v>2017</v>
      </c>
      <c r="B335" s="11" t="s">
        <v>349</v>
      </c>
      <c r="C335" s="11" t="s">
        <v>350</v>
      </c>
      <c r="D335" s="11" t="s">
        <v>351</v>
      </c>
      <c r="E335" s="12" t="s">
        <v>352</v>
      </c>
      <c r="F335" s="5"/>
      <c r="G335" s="5">
        <v>0</v>
      </c>
      <c r="H335" s="5">
        <v>551</v>
      </c>
      <c r="I335" s="5">
        <v>32</v>
      </c>
      <c r="J335" s="5">
        <v>120</v>
      </c>
      <c r="K335" s="6">
        <f t="shared" si="5"/>
        <v>703</v>
      </c>
    </row>
    <row r="336" spans="1:11" x14ac:dyDescent="0.25">
      <c r="A336" s="4">
        <v>2017</v>
      </c>
      <c r="B336" s="11" t="s">
        <v>399</v>
      </c>
      <c r="C336" s="11" t="s">
        <v>400</v>
      </c>
      <c r="D336" s="11" t="s">
        <v>401</v>
      </c>
      <c r="E336" s="12" t="s">
        <v>402</v>
      </c>
      <c r="F336" s="5"/>
      <c r="G336" s="5">
        <v>0</v>
      </c>
      <c r="H336" s="5">
        <v>551</v>
      </c>
      <c r="I336" s="5">
        <v>32</v>
      </c>
      <c r="J336" s="5">
        <v>120</v>
      </c>
      <c r="K336" s="6">
        <f t="shared" si="5"/>
        <v>703</v>
      </c>
    </row>
    <row r="337" spans="1:11" x14ac:dyDescent="0.25">
      <c r="A337" s="4">
        <v>2017</v>
      </c>
      <c r="B337" s="11" t="s">
        <v>395</v>
      </c>
      <c r="C337" s="11" t="s">
        <v>396</v>
      </c>
      <c r="D337" s="11" t="s">
        <v>397</v>
      </c>
      <c r="E337" s="12" t="s">
        <v>398</v>
      </c>
      <c r="F337" s="5"/>
      <c r="G337" s="5">
        <v>0</v>
      </c>
      <c r="H337" s="5">
        <v>551</v>
      </c>
      <c r="I337" s="5">
        <v>32</v>
      </c>
      <c r="J337" s="5">
        <v>120</v>
      </c>
      <c r="K337" s="6">
        <f t="shared" si="5"/>
        <v>703</v>
      </c>
    </row>
    <row r="338" spans="1:11" x14ac:dyDescent="0.25">
      <c r="A338" s="35">
        <v>2016</v>
      </c>
      <c r="B338" s="33" t="s">
        <v>288</v>
      </c>
      <c r="C338" s="33" t="s">
        <v>289</v>
      </c>
      <c r="D338" s="33" t="s">
        <v>290</v>
      </c>
      <c r="E338" s="34" t="s">
        <v>291</v>
      </c>
      <c r="F338" s="36"/>
      <c r="G338" s="36">
        <v>0</v>
      </c>
      <c r="H338" s="36">
        <v>551</v>
      </c>
      <c r="I338" s="36">
        <v>32</v>
      </c>
      <c r="J338" s="36">
        <v>120</v>
      </c>
      <c r="K338" s="6">
        <f t="shared" si="5"/>
        <v>703</v>
      </c>
    </row>
    <row r="339" spans="1:11" x14ac:dyDescent="0.25">
      <c r="A339" s="35">
        <v>2016</v>
      </c>
      <c r="B339" s="33" t="s">
        <v>295</v>
      </c>
      <c r="C339" s="33" t="s">
        <v>289</v>
      </c>
      <c r="D339" s="33" t="s">
        <v>290</v>
      </c>
      <c r="E339" s="34" t="s">
        <v>296</v>
      </c>
      <c r="F339" s="36"/>
      <c r="G339" s="36">
        <v>0</v>
      </c>
      <c r="H339" s="36">
        <v>551</v>
      </c>
      <c r="I339" s="36">
        <v>32</v>
      </c>
      <c r="J339" s="36">
        <v>120</v>
      </c>
      <c r="K339" s="6">
        <f t="shared" si="5"/>
        <v>703</v>
      </c>
    </row>
    <row r="340" spans="1:11" x14ac:dyDescent="0.25">
      <c r="A340" s="35">
        <v>2016</v>
      </c>
      <c r="B340" s="33" t="s">
        <v>301</v>
      </c>
      <c r="C340" s="33" t="s">
        <v>289</v>
      </c>
      <c r="D340" s="33" t="s">
        <v>290</v>
      </c>
      <c r="E340" s="34" t="s">
        <v>302</v>
      </c>
      <c r="F340" s="36"/>
      <c r="G340" s="36">
        <v>0</v>
      </c>
      <c r="H340" s="36">
        <v>551</v>
      </c>
      <c r="I340" s="36">
        <v>32</v>
      </c>
      <c r="J340" s="36">
        <v>120</v>
      </c>
      <c r="K340" s="6">
        <f t="shared" si="5"/>
        <v>703</v>
      </c>
    </row>
    <row r="341" spans="1:11" x14ac:dyDescent="0.25">
      <c r="A341" s="35">
        <v>2016</v>
      </c>
      <c r="B341" s="33" t="s">
        <v>299</v>
      </c>
      <c r="C341" s="33" t="s">
        <v>289</v>
      </c>
      <c r="D341" s="33" t="s">
        <v>290</v>
      </c>
      <c r="E341" s="34" t="s">
        <v>300</v>
      </c>
      <c r="F341" s="36"/>
      <c r="G341" s="36">
        <v>0</v>
      </c>
      <c r="H341" s="36">
        <v>551</v>
      </c>
      <c r="I341" s="36">
        <v>32</v>
      </c>
      <c r="J341" s="36">
        <v>120</v>
      </c>
      <c r="K341" s="6">
        <f t="shared" si="5"/>
        <v>703</v>
      </c>
    </row>
    <row r="342" spans="1:11" x14ac:dyDescent="0.25">
      <c r="A342" s="35">
        <v>2016</v>
      </c>
      <c r="B342" s="33" t="s">
        <v>297</v>
      </c>
      <c r="C342" s="33" t="s">
        <v>289</v>
      </c>
      <c r="D342" s="33" t="s">
        <v>290</v>
      </c>
      <c r="E342" s="34" t="s">
        <v>298</v>
      </c>
      <c r="F342" s="36"/>
      <c r="G342" s="36">
        <v>0</v>
      </c>
      <c r="H342" s="36">
        <v>551</v>
      </c>
      <c r="I342" s="36">
        <v>32</v>
      </c>
      <c r="J342" s="36">
        <v>120</v>
      </c>
      <c r="K342" s="6">
        <f t="shared" si="5"/>
        <v>703</v>
      </c>
    </row>
    <row r="343" spans="1:11" x14ac:dyDescent="0.25">
      <c r="A343" s="35">
        <v>2016</v>
      </c>
      <c r="B343" s="33" t="s">
        <v>391</v>
      </c>
      <c r="C343" s="33" t="s">
        <v>383</v>
      </c>
      <c r="D343" s="33" t="s">
        <v>384</v>
      </c>
      <c r="E343" s="34" t="s">
        <v>392</v>
      </c>
      <c r="F343" s="36"/>
      <c r="G343" s="36">
        <v>0</v>
      </c>
      <c r="H343" s="36">
        <v>551</v>
      </c>
      <c r="I343" s="36">
        <v>32</v>
      </c>
      <c r="J343" s="36">
        <v>120</v>
      </c>
      <c r="K343" s="6">
        <f t="shared" si="5"/>
        <v>703</v>
      </c>
    </row>
    <row r="344" spans="1:11" x14ac:dyDescent="0.25">
      <c r="A344" s="35">
        <v>2016</v>
      </c>
      <c r="B344" s="33" t="s">
        <v>393</v>
      </c>
      <c r="C344" s="33" t="s">
        <v>383</v>
      </c>
      <c r="D344" s="33" t="s">
        <v>384</v>
      </c>
      <c r="E344" s="34" t="s">
        <v>394</v>
      </c>
      <c r="F344" s="36"/>
      <c r="G344" s="36">
        <v>0</v>
      </c>
      <c r="H344" s="36">
        <v>551</v>
      </c>
      <c r="I344" s="36">
        <v>32</v>
      </c>
      <c r="J344" s="36">
        <v>120</v>
      </c>
      <c r="K344" s="6">
        <f t="shared" si="5"/>
        <v>703</v>
      </c>
    </row>
    <row r="345" spans="1:11" x14ac:dyDescent="0.25">
      <c r="A345" s="35">
        <v>2016</v>
      </c>
      <c r="B345" s="33" t="s">
        <v>387</v>
      </c>
      <c r="C345" s="33" t="s">
        <v>383</v>
      </c>
      <c r="D345" s="33" t="s">
        <v>384</v>
      </c>
      <c r="E345" s="34" t="s">
        <v>388</v>
      </c>
      <c r="F345" s="36"/>
      <c r="G345" s="36">
        <v>0</v>
      </c>
      <c r="H345" s="36">
        <v>551</v>
      </c>
      <c r="I345" s="36">
        <v>32</v>
      </c>
      <c r="J345" s="36">
        <v>120</v>
      </c>
      <c r="K345" s="6">
        <f t="shared" si="5"/>
        <v>703</v>
      </c>
    </row>
    <row r="346" spans="1:11" x14ac:dyDescent="0.25">
      <c r="A346" s="35">
        <v>2016</v>
      </c>
      <c r="B346" s="33" t="s">
        <v>382</v>
      </c>
      <c r="C346" s="33" t="s">
        <v>383</v>
      </c>
      <c r="D346" s="33" t="s">
        <v>384</v>
      </c>
      <c r="E346" s="34" t="s">
        <v>385</v>
      </c>
      <c r="F346" s="36"/>
      <c r="G346" s="36">
        <v>0</v>
      </c>
      <c r="H346" s="36">
        <v>551</v>
      </c>
      <c r="I346" s="36">
        <v>32</v>
      </c>
      <c r="J346" s="36">
        <v>120</v>
      </c>
      <c r="K346" s="6">
        <f t="shared" si="5"/>
        <v>703</v>
      </c>
    </row>
    <row r="347" spans="1:11" x14ac:dyDescent="0.25">
      <c r="A347" s="35">
        <v>2016</v>
      </c>
      <c r="B347" s="33" t="s">
        <v>389</v>
      </c>
      <c r="C347" s="33" t="s">
        <v>383</v>
      </c>
      <c r="D347" s="33" t="s">
        <v>384</v>
      </c>
      <c r="E347" s="34" t="s">
        <v>390</v>
      </c>
      <c r="F347" s="36"/>
      <c r="G347" s="36">
        <v>0</v>
      </c>
      <c r="H347" s="36">
        <v>551</v>
      </c>
      <c r="I347" s="36">
        <v>32</v>
      </c>
      <c r="J347" s="36">
        <v>120</v>
      </c>
      <c r="K347" s="6">
        <f t="shared" si="5"/>
        <v>703</v>
      </c>
    </row>
    <row r="348" spans="1:11" x14ac:dyDescent="0.25">
      <c r="A348" s="35">
        <v>2016</v>
      </c>
      <c r="B348" s="33" t="s">
        <v>337</v>
      </c>
      <c r="C348" s="33" t="s">
        <v>331</v>
      </c>
      <c r="D348" s="33" t="s">
        <v>332</v>
      </c>
      <c r="E348" s="34" t="s">
        <v>338</v>
      </c>
      <c r="F348" s="36">
        <v>17021</v>
      </c>
      <c r="G348" s="36">
        <v>0</v>
      </c>
      <c r="H348" s="36">
        <v>551</v>
      </c>
      <c r="I348" s="36">
        <v>32</v>
      </c>
      <c r="J348" s="36">
        <v>120</v>
      </c>
      <c r="K348" s="6">
        <f t="shared" si="5"/>
        <v>17724</v>
      </c>
    </row>
    <row r="349" spans="1:11" x14ac:dyDescent="0.25">
      <c r="A349" s="35">
        <v>2016</v>
      </c>
      <c r="B349" s="33" t="s">
        <v>345</v>
      </c>
      <c r="C349" s="33" t="s">
        <v>331</v>
      </c>
      <c r="D349" s="33" t="s">
        <v>332</v>
      </c>
      <c r="E349" s="34" t="s">
        <v>346</v>
      </c>
      <c r="F349" s="36"/>
      <c r="G349" s="36">
        <v>0</v>
      </c>
      <c r="H349" s="36">
        <v>551</v>
      </c>
      <c r="I349" s="36">
        <v>32</v>
      </c>
      <c r="J349" s="36">
        <v>120</v>
      </c>
      <c r="K349" s="6">
        <f t="shared" si="5"/>
        <v>703</v>
      </c>
    </row>
    <row r="350" spans="1:11" x14ac:dyDescent="0.25">
      <c r="A350" s="35">
        <v>2016</v>
      </c>
      <c r="B350" s="33" t="s">
        <v>341</v>
      </c>
      <c r="C350" s="33" t="s">
        <v>331</v>
      </c>
      <c r="D350" s="33" t="s">
        <v>332</v>
      </c>
      <c r="E350" s="34" t="s">
        <v>342</v>
      </c>
      <c r="F350" s="36">
        <v>17021</v>
      </c>
      <c r="G350" s="36">
        <v>0</v>
      </c>
      <c r="H350" s="36">
        <v>551</v>
      </c>
      <c r="I350" s="36">
        <v>32</v>
      </c>
      <c r="J350" s="36">
        <v>120</v>
      </c>
      <c r="K350" s="6">
        <f t="shared" si="5"/>
        <v>17724</v>
      </c>
    </row>
    <row r="351" spans="1:11" x14ac:dyDescent="0.25">
      <c r="A351" s="35">
        <v>2016</v>
      </c>
      <c r="B351" s="33" t="s">
        <v>343</v>
      </c>
      <c r="C351" s="33" t="s">
        <v>331</v>
      </c>
      <c r="D351" s="33" t="s">
        <v>332</v>
      </c>
      <c r="E351" s="34" t="s">
        <v>344</v>
      </c>
      <c r="F351" s="36"/>
      <c r="G351" s="36">
        <v>0</v>
      </c>
      <c r="H351" s="36">
        <v>551</v>
      </c>
      <c r="I351" s="36">
        <v>32</v>
      </c>
      <c r="J351" s="36">
        <v>120</v>
      </c>
      <c r="K351" s="6">
        <f t="shared" si="5"/>
        <v>703</v>
      </c>
    </row>
    <row r="352" spans="1:11" x14ac:dyDescent="0.25">
      <c r="A352" s="35">
        <v>2016</v>
      </c>
      <c r="B352" s="33" t="s">
        <v>347</v>
      </c>
      <c r="C352" s="33" t="s">
        <v>331</v>
      </c>
      <c r="D352" s="33" t="s">
        <v>332</v>
      </c>
      <c r="E352" s="34" t="s">
        <v>348</v>
      </c>
      <c r="F352" s="36"/>
      <c r="G352" s="36">
        <v>0</v>
      </c>
      <c r="H352" s="36">
        <v>551</v>
      </c>
      <c r="I352" s="36">
        <v>32</v>
      </c>
      <c r="J352" s="36">
        <v>120</v>
      </c>
      <c r="K352" s="6">
        <f t="shared" si="5"/>
        <v>703</v>
      </c>
    </row>
    <row r="353" spans="1:11" x14ac:dyDescent="0.25">
      <c r="A353" s="35">
        <v>2016</v>
      </c>
      <c r="B353" s="33" t="s">
        <v>330</v>
      </c>
      <c r="C353" s="33" t="s">
        <v>331</v>
      </c>
      <c r="D353" s="33" t="s">
        <v>332</v>
      </c>
      <c r="E353" s="34" t="s">
        <v>333</v>
      </c>
      <c r="F353" s="36">
        <v>17021</v>
      </c>
      <c r="G353" s="36">
        <v>0</v>
      </c>
      <c r="H353" s="36">
        <v>551</v>
      </c>
      <c r="I353" s="36">
        <v>32</v>
      </c>
      <c r="J353" s="36">
        <v>120</v>
      </c>
      <c r="K353" s="6">
        <f t="shared" si="5"/>
        <v>17724</v>
      </c>
    </row>
    <row r="354" spans="1:11" x14ac:dyDescent="0.25">
      <c r="A354" s="35">
        <v>2016</v>
      </c>
      <c r="B354" s="33" t="s">
        <v>335</v>
      </c>
      <c r="C354" s="33" t="s">
        <v>331</v>
      </c>
      <c r="D354" s="33" t="s">
        <v>332</v>
      </c>
      <c r="E354" s="34" t="s">
        <v>336</v>
      </c>
      <c r="F354" s="36">
        <v>17021</v>
      </c>
      <c r="G354" s="36">
        <v>0</v>
      </c>
      <c r="H354" s="36">
        <v>551</v>
      </c>
      <c r="I354" s="36">
        <v>32</v>
      </c>
      <c r="J354" s="36">
        <v>120</v>
      </c>
      <c r="K354" s="6">
        <f>SUM(F354:J354)</f>
        <v>17724</v>
      </c>
    </row>
    <row r="355" spans="1:11" x14ac:dyDescent="0.25">
      <c r="A355" s="35">
        <v>2016</v>
      </c>
      <c r="B355" s="33" t="s">
        <v>339</v>
      </c>
      <c r="C355" s="33" t="s">
        <v>331</v>
      </c>
      <c r="D355" s="33" t="s">
        <v>332</v>
      </c>
      <c r="E355" s="34" t="s">
        <v>340</v>
      </c>
      <c r="F355" s="36">
        <v>17021</v>
      </c>
      <c r="G355" s="36">
        <v>0</v>
      </c>
      <c r="H355" s="36">
        <v>551</v>
      </c>
      <c r="I355" s="36">
        <v>32</v>
      </c>
      <c r="J355" s="36">
        <v>120</v>
      </c>
      <c r="K355" s="6">
        <f t="shared" ref="K355:K417" si="6">SUM(F355:J355)</f>
        <v>17724</v>
      </c>
    </row>
    <row r="356" spans="1:11" x14ac:dyDescent="0.25">
      <c r="A356" s="35">
        <v>2016</v>
      </c>
      <c r="B356" s="33" t="s">
        <v>318</v>
      </c>
      <c r="C356" s="33" t="s">
        <v>304</v>
      </c>
      <c r="D356" s="33" t="s">
        <v>305</v>
      </c>
      <c r="E356" s="34" t="s">
        <v>319</v>
      </c>
      <c r="F356" s="36">
        <v>17804.25</v>
      </c>
      <c r="G356" s="36">
        <v>0</v>
      </c>
      <c r="H356" s="36">
        <v>551</v>
      </c>
      <c r="I356" s="36">
        <v>32</v>
      </c>
      <c r="J356" s="36">
        <v>120</v>
      </c>
      <c r="K356" s="6">
        <f t="shared" si="6"/>
        <v>18507.25</v>
      </c>
    </row>
    <row r="357" spans="1:11" x14ac:dyDescent="0.25">
      <c r="A357" s="35">
        <v>2016</v>
      </c>
      <c r="B357" s="33" t="s">
        <v>312</v>
      </c>
      <c r="C357" s="33" t="s">
        <v>304</v>
      </c>
      <c r="D357" s="33" t="s">
        <v>305</v>
      </c>
      <c r="E357" s="34" t="s">
        <v>313</v>
      </c>
      <c r="F357" s="36">
        <v>17804.25</v>
      </c>
      <c r="G357" s="36">
        <v>0</v>
      </c>
      <c r="H357" s="36">
        <v>551</v>
      </c>
      <c r="I357" s="36">
        <v>32</v>
      </c>
      <c r="J357" s="36">
        <v>120</v>
      </c>
      <c r="K357" s="6">
        <f t="shared" si="6"/>
        <v>18507.25</v>
      </c>
    </row>
    <row r="358" spans="1:11" x14ac:dyDescent="0.25">
      <c r="A358" s="35">
        <v>2016</v>
      </c>
      <c r="B358" s="33" t="s">
        <v>326</v>
      </c>
      <c r="C358" s="33" t="s">
        <v>304</v>
      </c>
      <c r="D358" s="33" t="s">
        <v>305</v>
      </c>
      <c r="E358" s="34" t="s">
        <v>327</v>
      </c>
      <c r="F358" s="36">
        <v>17804.25</v>
      </c>
      <c r="G358" s="36">
        <v>0</v>
      </c>
      <c r="H358" s="36">
        <v>551</v>
      </c>
      <c r="I358" s="36">
        <v>32</v>
      </c>
      <c r="J358" s="36">
        <v>120</v>
      </c>
      <c r="K358" s="6">
        <f t="shared" si="6"/>
        <v>18507.25</v>
      </c>
    </row>
    <row r="359" spans="1:11" x14ac:dyDescent="0.25">
      <c r="A359" s="35">
        <v>2016</v>
      </c>
      <c r="B359" s="33" t="s">
        <v>322</v>
      </c>
      <c r="C359" s="33" t="s">
        <v>304</v>
      </c>
      <c r="D359" s="33" t="s">
        <v>305</v>
      </c>
      <c r="E359" s="34" t="s">
        <v>323</v>
      </c>
      <c r="F359" s="36">
        <v>17804.25</v>
      </c>
      <c r="G359" s="36">
        <v>0</v>
      </c>
      <c r="H359" s="36">
        <v>551</v>
      </c>
      <c r="I359" s="36">
        <v>32</v>
      </c>
      <c r="J359" s="36">
        <v>120</v>
      </c>
      <c r="K359" s="6">
        <f t="shared" si="6"/>
        <v>18507.25</v>
      </c>
    </row>
    <row r="360" spans="1:11" x14ac:dyDescent="0.25">
      <c r="A360" s="35">
        <v>2016</v>
      </c>
      <c r="B360" s="33" t="s">
        <v>324</v>
      </c>
      <c r="C360" s="33" t="s">
        <v>304</v>
      </c>
      <c r="D360" s="33" t="s">
        <v>305</v>
      </c>
      <c r="E360" s="34" t="s">
        <v>325</v>
      </c>
      <c r="F360" s="36">
        <v>17804.25</v>
      </c>
      <c r="G360" s="36">
        <v>0</v>
      </c>
      <c r="H360" s="36">
        <v>551</v>
      </c>
      <c r="I360" s="36">
        <v>32</v>
      </c>
      <c r="J360" s="36">
        <v>120</v>
      </c>
      <c r="K360" s="6">
        <f t="shared" si="6"/>
        <v>18507.25</v>
      </c>
    </row>
    <row r="361" spans="1:11" x14ac:dyDescent="0.25">
      <c r="A361" s="35">
        <v>2016</v>
      </c>
      <c r="B361" s="33" t="s">
        <v>328</v>
      </c>
      <c r="C361" s="33" t="s">
        <v>304</v>
      </c>
      <c r="D361" s="33" t="s">
        <v>305</v>
      </c>
      <c r="E361" s="34" t="s">
        <v>329</v>
      </c>
      <c r="F361" s="36">
        <v>17804.25</v>
      </c>
      <c r="G361" s="36">
        <v>0</v>
      </c>
      <c r="H361" s="36">
        <v>551</v>
      </c>
      <c r="I361" s="36">
        <v>32</v>
      </c>
      <c r="J361" s="36">
        <v>120</v>
      </c>
      <c r="K361" s="6">
        <f t="shared" si="6"/>
        <v>18507.25</v>
      </c>
    </row>
    <row r="362" spans="1:11" x14ac:dyDescent="0.25">
      <c r="A362" s="35">
        <v>2016</v>
      </c>
      <c r="B362" s="33" t="s">
        <v>314</v>
      </c>
      <c r="C362" s="33" t="s">
        <v>304</v>
      </c>
      <c r="D362" s="33" t="s">
        <v>305</v>
      </c>
      <c r="E362" s="34" t="s">
        <v>315</v>
      </c>
      <c r="F362" s="36">
        <v>17804.25</v>
      </c>
      <c r="G362" s="36">
        <v>0</v>
      </c>
      <c r="H362" s="36">
        <v>551</v>
      </c>
      <c r="I362" s="36">
        <v>32</v>
      </c>
      <c r="J362" s="36">
        <v>120</v>
      </c>
      <c r="K362" s="6">
        <f t="shared" si="6"/>
        <v>18507.25</v>
      </c>
    </row>
    <row r="363" spans="1:11" x14ac:dyDescent="0.25">
      <c r="A363" s="35">
        <v>2016</v>
      </c>
      <c r="B363" s="33" t="s">
        <v>316</v>
      </c>
      <c r="C363" s="33" t="s">
        <v>304</v>
      </c>
      <c r="D363" s="33" t="s">
        <v>305</v>
      </c>
      <c r="E363" s="34" t="s">
        <v>317</v>
      </c>
      <c r="F363" s="36">
        <v>17804.25</v>
      </c>
      <c r="G363" s="36">
        <v>0</v>
      </c>
      <c r="H363" s="36">
        <v>551</v>
      </c>
      <c r="I363" s="36">
        <v>32</v>
      </c>
      <c r="J363" s="36">
        <v>120</v>
      </c>
      <c r="K363" s="6">
        <f t="shared" si="6"/>
        <v>18507.25</v>
      </c>
    </row>
    <row r="364" spans="1:11" x14ac:dyDescent="0.25">
      <c r="A364" s="35">
        <v>2016</v>
      </c>
      <c r="B364" s="33" t="s">
        <v>320</v>
      </c>
      <c r="C364" s="33" t="s">
        <v>304</v>
      </c>
      <c r="D364" s="33" t="s">
        <v>305</v>
      </c>
      <c r="E364" s="34" t="s">
        <v>321</v>
      </c>
      <c r="F364" s="36">
        <v>17804.25</v>
      </c>
      <c r="G364" s="36">
        <v>0</v>
      </c>
      <c r="H364" s="36">
        <v>551</v>
      </c>
      <c r="I364" s="36">
        <v>32</v>
      </c>
      <c r="J364" s="36">
        <v>120</v>
      </c>
      <c r="K364" s="6">
        <f t="shared" si="6"/>
        <v>18507.25</v>
      </c>
    </row>
    <row r="365" spans="1:11" x14ac:dyDescent="0.25">
      <c r="A365" s="35">
        <v>2016</v>
      </c>
      <c r="B365" s="33" t="s">
        <v>310</v>
      </c>
      <c r="C365" s="33" t="s">
        <v>304</v>
      </c>
      <c r="D365" s="33" t="s">
        <v>305</v>
      </c>
      <c r="E365" s="34" t="s">
        <v>311</v>
      </c>
      <c r="F365" s="36">
        <v>17804.25</v>
      </c>
      <c r="G365" s="36">
        <v>0</v>
      </c>
      <c r="H365" s="36">
        <v>551</v>
      </c>
      <c r="I365" s="36">
        <v>32</v>
      </c>
      <c r="J365" s="36">
        <v>120</v>
      </c>
      <c r="K365" s="6">
        <f t="shared" si="6"/>
        <v>18507.25</v>
      </c>
    </row>
    <row r="366" spans="1:11" x14ac:dyDescent="0.25">
      <c r="A366" s="35">
        <v>2016</v>
      </c>
      <c r="B366" s="33" t="s">
        <v>308</v>
      </c>
      <c r="C366" s="33" t="s">
        <v>304</v>
      </c>
      <c r="D366" s="33" t="s">
        <v>305</v>
      </c>
      <c r="E366" s="34" t="s">
        <v>309</v>
      </c>
      <c r="F366" s="36">
        <v>17804.25</v>
      </c>
      <c r="G366" s="36">
        <v>0</v>
      </c>
      <c r="H366" s="36">
        <v>551</v>
      </c>
      <c r="I366" s="36">
        <v>32</v>
      </c>
      <c r="J366" s="36">
        <v>120</v>
      </c>
      <c r="K366" s="6">
        <f t="shared" si="6"/>
        <v>18507.25</v>
      </c>
    </row>
    <row r="367" spans="1:11" x14ac:dyDescent="0.25">
      <c r="A367" s="35">
        <v>2016</v>
      </c>
      <c r="B367" s="33" t="s">
        <v>303</v>
      </c>
      <c r="C367" s="33" t="s">
        <v>304</v>
      </c>
      <c r="D367" s="33" t="s">
        <v>305</v>
      </c>
      <c r="E367" s="34" t="s">
        <v>306</v>
      </c>
      <c r="F367" s="36">
        <v>17804.25</v>
      </c>
      <c r="G367" s="36">
        <v>0</v>
      </c>
      <c r="H367" s="36">
        <v>551</v>
      </c>
      <c r="I367" s="36">
        <v>32</v>
      </c>
      <c r="J367" s="36">
        <v>120</v>
      </c>
      <c r="K367" s="6">
        <f t="shared" si="6"/>
        <v>18507.25</v>
      </c>
    </row>
    <row r="368" spans="1:11" x14ac:dyDescent="0.25">
      <c r="A368" s="35">
        <v>2016</v>
      </c>
      <c r="B368" s="33" t="s">
        <v>293</v>
      </c>
      <c r="C368" s="33" t="s">
        <v>289</v>
      </c>
      <c r="D368" s="33" t="s">
        <v>290</v>
      </c>
      <c r="E368" s="34" t="s">
        <v>294</v>
      </c>
      <c r="F368" s="36"/>
      <c r="G368" s="36">
        <v>0</v>
      </c>
      <c r="H368" s="36">
        <v>551</v>
      </c>
      <c r="I368" s="36">
        <v>32</v>
      </c>
      <c r="J368" s="36">
        <v>120</v>
      </c>
      <c r="K368" s="6">
        <f t="shared" si="6"/>
        <v>703</v>
      </c>
    </row>
    <row r="369" spans="1:11" x14ac:dyDescent="0.25">
      <c r="A369" s="35">
        <v>2016</v>
      </c>
      <c r="B369" s="33" t="s">
        <v>378</v>
      </c>
      <c r="C369" s="33" t="s">
        <v>350</v>
      </c>
      <c r="D369" s="33" t="s">
        <v>351</v>
      </c>
      <c r="E369" s="34" t="s">
        <v>379</v>
      </c>
      <c r="F369" s="36">
        <v>18695.900000000001</v>
      </c>
      <c r="G369" s="36">
        <v>0</v>
      </c>
      <c r="H369" s="36">
        <v>551</v>
      </c>
      <c r="I369" s="36">
        <v>32</v>
      </c>
      <c r="J369" s="36">
        <v>120</v>
      </c>
      <c r="K369" s="6">
        <f t="shared" si="6"/>
        <v>19398.900000000001</v>
      </c>
    </row>
    <row r="370" spans="1:11" x14ac:dyDescent="0.25">
      <c r="A370" s="35">
        <v>2016</v>
      </c>
      <c r="B370" s="33" t="s">
        <v>376</v>
      </c>
      <c r="C370" s="33" t="s">
        <v>350</v>
      </c>
      <c r="D370" s="33" t="s">
        <v>351</v>
      </c>
      <c r="E370" s="34" t="s">
        <v>377</v>
      </c>
      <c r="F370" s="36">
        <v>18695.900000000001</v>
      </c>
      <c r="G370" s="36">
        <v>0</v>
      </c>
      <c r="H370" s="36">
        <v>551</v>
      </c>
      <c r="I370" s="36">
        <v>32</v>
      </c>
      <c r="J370" s="36">
        <v>120</v>
      </c>
      <c r="K370" s="6">
        <f t="shared" si="6"/>
        <v>19398.900000000001</v>
      </c>
    </row>
    <row r="371" spans="1:11" x14ac:dyDescent="0.25">
      <c r="A371" s="35">
        <v>2016</v>
      </c>
      <c r="B371" s="33" t="s">
        <v>380</v>
      </c>
      <c r="C371" s="33" t="s">
        <v>350</v>
      </c>
      <c r="D371" s="33" t="s">
        <v>351</v>
      </c>
      <c r="E371" s="34" t="s">
        <v>381</v>
      </c>
      <c r="F371" s="36">
        <v>18695.900000000001</v>
      </c>
      <c r="G371" s="36">
        <v>0</v>
      </c>
      <c r="H371" s="36">
        <v>551</v>
      </c>
      <c r="I371" s="36">
        <v>32</v>
      </c>
      <c r="J371" s="36">
        <v>120</v>
      </c>
      <c r="K371" s="6">
        <f t="shared" si="6"/>
        <v>19398.900000000001</v>
      </c>
    </row>
    <row r="372" spans="1:11" x14ac:dyDescent="0.25">
      <c r="A372" s="35">
        <v>2016</v>
      </c>
      <c r="B372" s="33" t="s">
        <v>360</v>
      </c>
      <c r="C372" s="33" t="s">
        <v>350</v>
      </c>
      <c r="D372" s="33" t="s">
        <v>351</v>
      </c>
      <c r="E372" s="34" t="s">
        <v>361</v>
      </c>
      <c r="F372" s="36">
        <v>18695.900000000001</v>
      </c>
      <c r="G372" s="36">
        <v>0</v>
      </c>
      <c r="H372" s="36">
        <v>551</v>
      </c>
      <c r="I372" s="36">
        <v>32</v>
      </c>
      <c r="J372" s="36">
        <v>120</v>
      </c>
      <c r="K372" s="6">
        <f t="shared" si="6"/>
        <v>19398.900000000001</v>
      </c>
    </row>
    <row r="373" spans="1:11" x14ac:dyDescent="0.25">
      <c r="A373" s="35">
        <v>2016</v>
      </c>
      <c r="B373" s="33" t="s">
        <v>368</v>
      </c>
      <c r="C373" s="33" t="s">
        <v>350</v>
      </c>
      <c r="D373" s="33" t="s">
        <v>351</v>
      </c>
      <c r="E373" s="34" t="s">
        <v>369</v>
      </c>
      <c r="F373" s="36">
        <v>18695.900000000001</v>
      </c>
      <c r="G373" s="36">
        <v>0</v>
      </c>
      <c r="H373" s="36">
        <v>551</v>
      </c>
      <c r="I373" s="36">
        <v>32</v>
      </c>
      <c r="J373" s="36">
        <v>120</v>
      </c>
      <c r="K373" s="6">
        <f t="shared" si="6"/>
        <v>19398.900000000001</v>
      </c>
    </row>
    <row r="374" spans="1:11" x14ac:dyDescent="0.25">
      <c r="A374" s="35">
        <v>2016</v>
      </c>
      <c r="B374" s="33" t="s">
        <v>358</v>
      </c>
      <c r="C374" s="33" t="s">
        <v>350</v>
      </c>
      <c r="D374" s="33" t="s">
        <v>351</v>
      </c>
      <c r="E374" s="34" t="s">
        <v>359</v>
      </c>
      <c r="F374" s="36">
        <v>18695.900000000001</v>
      </c>
      <c r="G374" s="36">
        <v>0</v>
      </c>
      <c r="H374" s="36">
        <v>551</v>
      </c>
      <c r="I374" s="36">
        <v>32</v>
      </c>
      <c r="J374" s="36">
        <v>120</v>
      </c>
      <c r="K374" s="6">
        <f t="shared" si="6"/>
        <v>19398.900000000001</v>
      </c>
    </row>
    <row r="375" spans="1:11" x14ac:dyDescent="0.25">
      <c r="A375" s="35">
        <v>2016</v>
      </c>
      <c r="B375" s="33" t="s">
        <v>362</v>
      </c>
      <c r="C375" s="33" t="s">
        <v>350</v>
      </c>
      <c r="D375" s="33" t="s">
        <v>351</v>
      </c>
      <c r="E375" s="34" t="s">
        <v>363</v>
      </c>
      <c r="F375" s="36">
        <v>18695.900000000001</v>
      </c>
      <c r="G375" s="36">
        <v>0</v>
      </c>
      <c r="H375" s="36">
        <v>551</v>
      </c>
      <c r="I375" s="36">
        <v>32</v>
      </c>
      <c r="J375" s="36">
        <v>120</v>
      </c>
      <c r="K375" s="6">
        <f t="shared" si="6"/>
        <v>19398.900000000001</v>
      </c>
    </row>
    <row r="376" spans="1:11" x14ac:dyDescent="0.25">
      <c r="A376" s="35">
        <v>2016</v>
      </c>
      <c r="B376" s="33" t="s">
        <v>374</v>
      </c>
      <c r="C376" s="33" t="s">
        <v>350</v>
      </c>
      <c r="D376" s="33" t="s">
        <v>351</v>
      </c>
      <c r="E376" s="34" t="s">
        <v>375</v>
      </c>
      <c r="F376" s="36">
        <v>18695.900000000001</v>
      </c>
      <c r="G376" s="36">
        <v>0</v>
      </c>
      <c r="H376" s="36">
        <v>551</v>
      </c>
      <c r="I376" s="36">
        <v>32</v>
      </c>
      <c r="J376" s="36">
        <v>120</v>
      </c>
      <c r="K376" s="6">
        <f t="shared" si="6"/>
        <v>19398.900000000001</v>
      </c>
    </row>
    <row r="377" spans="1:11" x14ac:dyDescent="0.25">
      <c r="A377" s="35">
        <v>2016</v>
      </c>
      <c r="B377" s="33" t="s">
        <v>364</v>
      </c>
      <c r="C377" s="33" t="s">
        <v>350</v>
      </c>
      <c r="D377" s="33" t="s">
        <v>351</v>
      </c>
      <c r="E377" s="34" t="s">
        <v>365</v>
      </c>
      <c r="F377" s="36">
        <v>18695.900000000001</v>
      </c>
      <c r="G377" s="36">
        <v>0</v>
      </c>
      <c r="H377" s="36">
        <v>551</v>
      </c>
      <c r="I377" s="36">
        <v>32</v>
      </c>
      <c r="J377" s="36">
        <v>120</v>
      </c>
      <c r="K377" s="6">
        <f t="shared" si="6"/>
        <v>19398.900000000001</v>
      </c>
    </row>
    <row r="378" spans="1:11" x14ac:dyDescent="0.25">
      <c r="A378" s="35">
        <v>2016</v>
      </c>
      <c r="B378" s="33" t="s">
        <v>366</v>
      </c>
      <c r="C378" s="33" t="s">
        <v>350</v>
      </c>
      <c r="D378" s="33" t="s">
        <v>351</v>
      </c>
      <c r="E378" s="34" t="s">
        <v>367</v>
      </c>
      <c r="F378" s="36">
        <v>18695.900000000001</v>
      </c>
      <c r="G378" s="36">
        <v>0</v>
      </c>
      <c r="H378" s="36">
        <v>551</v>
      </c>
      <c r="I378" s="36">
        <v>32</v>
      </c>
      <c r="J378" s="36">
        <v>120</v>
      </c>
      <c r="K378" s="6">
        <f t="shared" si="6"/>
        <v>19398.900000000001</v>
      </c>
    </row>
    <row r="379" spans="1:11" x14ac:dyDescent="0.25">
      <c r="A379" s="35">
        <v>2016</v>
      </c>
      <c r="B379" s="33" t="s">
        <v>372</v>
      </c>
      <c r="C379" s="33" t="s">
        <v>350</v>
      </c>
      <c r="D379" s="33" t="s">
        <v>351</v>
      </c>
      <c r="E379" s="34" t="s">
        <v>373</v>
      </c>
      <c r="F379" s="36">
        <v>18695.900000000001</v>
      </c>
      <c r="G379" s="36">
        <v>0</v>
      </c>
      <c r="H379" s="36">
        <v>551</v>
      </c>
      <c r="I379" s="36">
        <v>32</v>
      </c>
      <c r="J379" s="36">
        <v>120</v>
      </c>
      <c r="K379" s="6">
        <f t="shared" si="6"/>
        <v>19398.900000000001</v>
      </c>
    </row>
    <row r="380" spans="1:11" x14ac:dyDescent="0.25">
      <c r="A380" s="35">
        <v>2016</v>
      </c>
      <c r="B380" s="33" t="s">
        <v>370</v>
      </c>
      <c r="C380" s="33" t="s">
        <v>350</v>
      </c>
      <c r="D380" s="33" t="s">
        <v>351</v>
      </c>
      <c r="E380" s="34" t="s">
        <v>371</v>
      </c>
      <c r="F380" s="36">
        <v>18695.900000000001</v>
      </c>
      <c r="G380" s="36">
        <v>0</v>
      </c>
      <c r="H380" s="36">
        <v>551</v>
      </c>
      <c r="I380" s="36">
        <v>32</v>
      </c>
      <c r="J380" s="36">
        <v>120</v>
      </c>
      <c r="K380" s="6">
        <f t="shared" si="6"/>
        <v>19398.900000000001</v>
      </c>
    </row>
    <row r="381" spans="1:11" x14ac:dyDescent="0.25">
      <c r="A381" s="35">
        <v>2016</v>
      </c>
      <c r="B381" s="33" t="s">
        <v>356</v>
      </c>
      <c r="C381" s="33" t="s">
        <v>350</v>
      </c>
      <c r="D381" s="33" t="s">
        <v>351</v>
      </c>
      <c r="E381" s="34" t="s">
        <v>357</v>
      </c>
      <c r="F381" s="36">
        <v>18695.900000000001</v>
      </c>
      <c r="G381" s="36">
        <v>0</v>
      </c>
      <c r="H381" s="36">
        <v>551</v>
      </c>
      <c r="I381" s="36">
        <v>32</v>
      </c>
      <c r="J381" s="36">
        <v>120</v>
      </c>
      <c r="K381" s="6">
        <f t="shared" si="6"/>
        <v>19398.900000000001</v>
      </c>
    </row>
    <row r="382" spans="1:11" x14ac:dyDescent="0.25">
      <c r="A382" s="35">
        <v>2016</v>
      </c>
      <c r="B382" s="33" t="s">
        <v>354</v>
      </c>
      <c r="C382" s="33" t="s">
        <v>350</v>
      </c>
      <c r="D382" s="33" t="s">
        <v>351</v>
      </c>
      <c r="E382" s="34" t="s">
        <v>355</v>
      </c>
      <c r="F382" s="36">
        <v>18695.900000000001</v>
      </c>
      <c r="G382" s="36">
        <v>0</v>
      </c>
      <c r="H382" s="36">
        <v>551</v>
      </c>
      <c r="I382" s="36">
        <v>32</v>
      </c>
      <c r="J382" s="36">
        <v>120</v>
      </c>
      <c r="K382" s="6">
        <f t="shared" si="6"/>
        <v>19398.900000000001</v>
      </c>
    </row>
    <row r="383" spans="1:11" x14ac:dyDescent="0.25">
      <c r="A383" s="35">
        <v>2016</v>
      </c>
      <c r="B383" s="33" t="s">
        <v>349</v>
      </c>
      <c r="C383" s="33" t="s">
        <v>350</v>
      </c>
      <c r="D383" s="33" t="s">
        <v>351</v>
      </c>
      <c r="E383" s="34" t="s">
        <v>352</v>
      </c>
      <c r="F383" s="36">
        <v>18695.900000000001</v>
      </c>
      <c r="G383" s="36">
        <v>0</v>
      </c>
      <c r="H383" s="36">
        <v>551</v>
      </c>
      <c r="I383" s="36">
        <v>32</v>
      </c>
      <c r="J383" s="36">
        <v>120</v>
      </c>
      <c r="K383" s="6">
        <f t="shared" si="6"/>
        <v>19398.900000000001</v>
      </c>
    </row>
    <row r="384" spans="1:11" x14ac:dyDescent="0.25">
      <c r="A384" s="35">
        <v>2016</v>
      </c>
      <c r="B384" s="33" t="s">
        <v>399</v>
      </c>
      <c r="C384" s="33" t="s">
        <v>400</v>
      </c>
      <c r="D384" s="33" t="s">
        <v>401</v>
      </c>
      <c r="E384" s="34" t="s">
        <v>402</v>
      </c>
      <c r="F384" s="36">
        <v>19318.8</v>
      </c>
      <c r="G384" s="36">
        <v>0</v>
      </c>
      <c r="H384" s="36">
        <v>551</v>
      </c>
      <c r="I384" s="36">
        <v>32</v>
      </c>
      <c r="J384" s="36">
        <v>120</v>
      </c>
      <c r="K384" s="6">
        <f t="shared" si="6"/>
        <v>20021.8</v>
      </c>
    </row>
    <row r="385" spans="1:11" x14ac:dyDescent="0.25">
      <c r="A385" s="35">
        <v>2016</v>
      </c>
      <c r="B385" s="33" t="s">
        <v>395</v>
      </c>
      <c r="C385" s="33" t="s">
        <v>396</v>
      </c>
      <c r="D385" s="33" t="s">
        <v>397</v>
      </c>
      <c r="E385" s="34" t="s">
        <v>398</v>
      </c>
      <c r="F385" s="36">
        <v>20285.900000000001</v>
      </c>
      <c r="G385" s="36">
        <v>0</v>
      </c>
      <c r="H385" s="36">
        <v>551</v>
      </c>
      <c r="I385" s="36">
        <v>32</v>
      </c>
      <c r="J385" s="36">
        <v>120</v>
      </c>
      <c r="K385" s="6">
        <f t="shared" si="6"/>
        <v>20988.9</v>
      </c>
    </row>
    <row r="386" spans="1:11" x14ac:dyDescent="0.25">
      <c r="A386" s="4">
        <v>2015</v>
      </c>
      <c r="B386" s="11" t="s">
        <v>288</v>
      </c>
      <c r="C386" s="11" t="s">
        <v>489</v>
      </c>
      <c r="D386" s="11" t="s">
        <v>290</v>
      </c>
      <c r="E386" s="12" t="s">
        <v>291</v>
      </c>
      <c r="F386" s="5">
        <v>13572.45</v>
      </c>
      <c r="G386" s="5">
        <v>0</v>
      </c>
      <c r="H386" s="5">
        <v>551</v>
      </c>
      <c r="I386" s="5">
        <v>32</v>
      </c>
      <c r="J386" s="5">
        <v>120</v>
      </c>
      <c r="K386" s="6">
        <f t="shared" si="6"/>
        <v>14275.45</v>
      </c>
    </row>
    <row r="387" spans="1:11" x14ac:dyDescent="0.25">
      <c r="A387" s="4">
        <v>2015</v>
      </c>
      <c r="B387" s="11" t="s">
        <v>295</v>
      </c>
      <c r="C387" s="11" t="s">
        <v>289</v>
      </c>
      <c r="D387" s="11" t="s">
        <v>290</v>
      </c>
      <c r="E387" s="12" t="s">
        <v>296</v>
      </c>
      <c r="F387" s="5">
        <v>15697.6</v>
      </c>
      <c r="G387" s="5">
        <v>0</v>
      </c>
      <c r="H387" s="5">
        <v>551</v>
      </c>
      <c r="I387" s="5">
        <v>32</v>
      </c>
      <c r="J387" s="5">
        <v>120</v>
      </c>
      <c r="K387" s="6">
        <f t="shared" si="6"/>
        <v>16400.599999999999</v>
      </c>
    </row>
    <row r="388" spans="1:11" x14ac:dyDescent="0.25">
      <c r="A388" s="4">
        <v>2015</v>
      </c>
      <c r="B388" s="11" t="s">
        <v>301</v>
      </c>
      <c r="C388" s="11" t="s">
        <v>289</v>
      </c>
      <c r="D388" s="11" t="s">
        <v>290</v>
      </c>
      <c r="E388" s="12" t="s">
        <v>302</v>
      </c>
      <c r="F388" s="5">
        <v>15697.6</v>
      </c>
      <c r="G388" s="5">
        <v>0</v>
      </c>
      <c r="H388" s="5">
        <v>551</v>
      </c>
      <c r="I388" s="5">
        <v>32</v>
      </c>
      <c r="J388" s="5">
        <v>120</v>
      </c>
      <c r="K388" s="6">
        <f t="shared" si="6"/>
        <v>16400.599999999999</v>
      </c>
    </row>
    <row r="389" spans="1:11" x14ac:dyDescent="0.25">
      <c r="A389" s="4">
        <v>2015</v>
      </c>
      <c r="B389" s="11" t="s">
        <v>299</v>
      </c>
      <c r="C389" s="11" t="s">
        <v>289</v>
      </c>
      <c r="D389" s="11" t="s">
        <v>290</v>
      </c>
      <c r="E389" s="12" t="s">
        <v>300</v>
      </c>
      <c r="F389" s="5">
        <v>15697.6</v>
      </c>
      <c r="G389" s="5">
        <v>0</v>
      </c>
      <c r="H389" s="5">
        <v>551</v>
      </c>
      <c r="I389" s="5">
        <v>32</v>
      </c>
      <c r="J389" s="5">
        <v>120</v>
      </c>
      <c r="K389" s="6">
        <f t="shared" si="6"/>
        <v>16400.599999999999</v>
      </c>
    </row>
    <row r="390" spans="1:11" x14ac:dyDescent="0.25">
      <c r="A390" s="4">
        <v>2015</v>
      </c>
      <c r="B390" s="11" t="s">
        <v>297</v>
      </c>
      <c r="C390" s="11" t="s">
        <v>289</v>
      </c>
      <c r="D390" s="11" t="s">
        <v>290</v>
      </c>
      <c r="E390" s="12" t="s">
        <v>298</v>
      </c>
      <c r="F390" s="5">
        <v>15697.6</v>
      </c>
      <c r="G390" s="5">
        <v>0</v>
      </c>
      <c r="H390" s="5">
        <v>551</v>
      </c>
      <c r="I390" s="5">
        <v>32</v>
      </c>
      <c r="J390" s="5">
        <v>120</v>
      </c>
      <c r="K390" s="6">
        <f t="shared" si="6"/>
        <v>16400.599999999999</v>
      </c>
    </row>
    <row r="391" spans="1:11" x14ac:dyDescent="0.25">
      <c r="A391" s="4">
        <v>2015</v>
      </c>
      <c r="B391" s="11" t="s">
        <v>391</v>
      </c>
      <c r="C391" s="11" t="s">
        <v>289</v>
      </c>
      <c r="D391" s="11" t="s">
        <v>384</v>
      </c>
      <c r="E391" s="12" t="s">
        <v>392</v>
      </c>
      <c r="F391" s="5">
        <v>15697.6</v>
      </c>
      <c r="G391" s="5">
        <v>0</v>
      </c>
      <c r="H391" s="5">
        <v>551</v>
      </c>
      <c r="I391" s="5">
        <v>32</v>
      </c>
      <c r="J391" s="5">
        <v>120</v>
      </c>
      <c r="K391" s="6">
        <f t="shared" si="6"/>
        <v>16400.599999999999</v>
      </c>
    </row>
    <row r="392" spans="1:11" x14ac:dyDescent="0.25">
      <c r="A392" s="4">
        <v>2015</v>
      </c>
      <c r="B392" s="11" t="s">
        <v>393</v>
      </c>
      <c r="C392" s="11" t="s">
        <v>289</v>
      </c>
      <c r="D392" s="11" t="s">
        <v>384</v>
      </c>
      <c r="E392" s="12" t="s">
        <v>394</v>
      </c>
      <c r="F392" s="5">
        <v>15697.6</v>
      </c>
      <c r="G392" s="5">
        <v>0</v>
      </c>
      <c r="H392" s="5">
        <v>551</v>
      </c>
      <c r="I392" s="5">
        <v>32</v>
      </c>
      <c r="J392" s="5">
        <v>120</v>
      </c>
      <c r="K392" s="6">
        <f t="shared" si="6"/>
        <v>16400.599999999999</v>
      </c>
    </row>
    <row r="393" spans="1:11" x14ac:dyDescent="0.25">
      <c r="A393" s="4">
        <v>2015</v>
      </c>
      <c r="B393" s="11" t="s">
        <v>387</v>
      </c>
      <c r="C393" s="11" t="s">
        <v>289</v>
      </c>
      <c r="D393" s="11" t="s">
        <v>384</v>
      </c>
      <c r="E393" s="12" t="s">
        <v>388</v>
      </c>
      <c r="F393" s="5">
        <v>15697.6</v>
      </c>
      <c r="G393" s="5">
        <v>0</v>
      </c>
      <c r="H393" s="5">
        <v>551</v>
      </c>
      <c r="I393" s="5">
        <v>32</v>
      </c>
      <c r="J393" s="5">
        <v>120</v>
      </c>
      <c r="K393" s="6">
        <f t="shared" si="6"/>
        <v>16400.599999999999</v>
      </c>
    </row>
    <row r="394" spans="1:11" x14ac:dyDescent="0.25">
      <c r="A394" s="4">
        <v>2015</v>
      </c>
      <c r="B394" s="11" t="s">
        <v>382</v>
      </c>
      <c r="C394" s="11" t="s">
        <v>289</v>
      </c>
      <c r="D394" s="11" t="s">
        <v>384</v>
      </c>
      <c r="E394" s="12" t="s">
        <v>385</v>
      </c>
      <c r="F394" s="5">
        <v>15697.6</v>
      </c>
      <c r="G394" s="5">
        <v>0</v>
      </c>
      <c r="H394" s="5">
        <v>551</v>
      </c>
      <c r="I394" s="5">
        <v>32</v>
      </c>
      <c r="J394" s="5">
        <v>120</v>
      </c>
      <c r="K394" s="6">
        <f t="shared" si="6"/>
        <v>16400.599999999999</v>
      </c>
    </row>
    <row r="395" spans="1:11" x14ac:dyDescent="0.25">
      <c r="A395" s="4">
        <v>2015</v>
      </c>
      <c r="B395" s="11" t="s">
        <v>389</v>
      </c>
      <c r="C395" s="11" t="s">
        <v>289</v>
      </c>
      <c r="D395" s="11" t="s">
        <v>384</v>
      </c>
      <c r="E395" s="12" t="s">
        <v>390</v>
      </c>
      <c r="F395" s="5">
        <v>15697.6</v>
      </c>
      <c r="G395" s="5">
        <v>0</v>
      </c>
      <c r="H395" s="5">
        <v>551</v>
      </c>
      <c r="I395" s="5">
        <v>32</v>
      </c>
      <c r="J395" s="5">
        <v>120</v>
      </c>
      <c r="K395" s="6">
        <f t="shared" si="6"/>
        <v>16400.599999999999</v>
      </c>
    </row>
    <row r="396" spans="1:11" x14ac:dyDescent="0.25">
      <c r="A396" s="4">
        <v>2015</v>
      </c>
      <c r="B396" s="11" t="s">
        <v>337</v>
      </c>
      <c r="C396" s="11" t="s">
        <v>485</v>
      </c>
      <c r="D396" s="11" t="s">
        <v>332</v>
      </c>
      <c r="E396" s="12" t="s">
        <v>338</v>
      </c>
      <c r="F396" s="5">
        <v>16501.2</v>
      </c>
      <c r="G396" s="5">
        <v>0</v>
      </c>
      <c r="H396" s="5">
        <v>551</v>
      </c>
      <c r="I396" s="5">
        <v>32</v>
      </c>
      <c r="J396" s="5">
        <v>120</v>
      </c>
      <c r="K396" s="6">
        <f t="shared" si="6"/>
        <v>17204.2</v>
      </c>
    </row>
    <row r="397" spans="1:11" x14ac:dyDescent="0.25">
      <c r="A397" s="4">
        <v>2015</v>
      </c>
      <c r="B397" s="11" t="s">
        <v>345</v>
      </c>
      <c r="C397" s="11" t="s">
        <v>485</v>
      </c>
      <c r="D397" s="11" t="s">
        <v>332</v>
      </c>
      <c r="E397" s="12" t="s">
        <v>346</v>
      </c>
      <c r="F397" s="5">
        <v>16501.2</v>
      </c>
      <c r="G397" s="5">
        <v>0</v>
      </c>
      <c r="H397" s="5">
        <v>551</v>
      </c>
      <c r="I397" s="5">
        <v>32</v>
      </c>
      <c r="J397" s="5">
        <v>120</v>
      </c>
      <c r="K397" s="6">
        <f t="shared" si="6"/>
        <v>17204.2</v>
      </c>
    </row>
    <row r="398" spans="1:11" x14ac:dyDescent="0.25">
      <c r="A398" s="4">
        <v>2015</v>
      </c>
      <c r="B398" s="11" t="s">
        <v>341</v>
      </c>
      <c r="C398" s="11" t="s">
        <v>485</v>
      </c>
      <c r="D398" s="11" t="s">
        <v>332</v>
      </c>
      <c r="E398" s="12" t="s">
        <v>342</v>
      </c>
      <c r="F398" s="5">
        <v>16501.2</v>
      </c>
      <c r="G398" s="5">
        <v>0</v>
      </c>
      <c r="H398" s="5">
        <v>551</v>
      </c>
      <c r="I398" s="5">
        <v>32</v>
      </c>
      <c r="J398" s="5">
        <v>120</v>
      </c>
      <c r="K398" s="6">
        <f t="shared" si="6"/>
        <v>17204.2</v>
      </c>
    </row>
    <row r="399" spans="1:11" x14ac:dyDescent="0.25">
      <c r="A399" s="4">
        <v>2015</v>
      </c>
      <c r="B399" s="11" t="s">
        <v>343</v>
      </c>
      <c r="C399" s="11" t="s">
        <v>485</v>
      </c>
      <c r="D399" s="11" t="s">
        <v>332</v>
      </c>
      <c r="E399" s="12" t="s">
        <v>344</v>
      </c>
      <c r="F399" s="5">
        <v>16501.2</v>
      </c>
      <c r="G399" s="5">
        <v>0</v>
      </c>
      <c r="H399" s="5">
        <v>551</v>
      </c>
      <c r="I399" s="5">
        <v>32</v>
      </c>
      <c r="J399" s="5">
        <v>120</v>
      </c>
      <c r="K399" s="6">
        <f t="shared" si="6"/>
        <v>17204.2</v>
      </c>
    </row>
    <row r="400" spans="1:11" x14ac:dyDescent="0.25">
      <c r="A400" s="4">
        <v>2015</v>
      </c>
      <c r="B400" s="11" t="s">
        <v>347</v>
      </c>
      <c r="C400" s="11" t="s">
        <v>331</v>
      </c>
      <c r="D400" s="11" t="s">
        <v>332</v>
      </c>
      <c r="E400" s="12" t="s">
        <v>348</v>
      </c>
      <c r="F400" s="5">
        <v>16501.2</v>
      </c>
      <c r="G400" s="5">
        <v>0</v>
      </c>
      <c r="H400" s="5">
        <v>551</v>
      </c>
      <c r="I400" s="5">
        <v>32</v>
      </c>
      <c r="J400" s="5">
        <v>120</v>
      </c>
      <c r="K400" s="6">
        <f t="shared" si="6"/>
        <v>17204.2</v>
      </c>
    </row>
    <row r="401" spans="1:11" x14ac:dyDescent="0.25">
      <c r="A401" s="4">
        <v>2015</v>
      </c>
      <c r="B401" s="11" t="s">
        <v>330</v>
      </c>
      <c r="C401" s="11" t="s">
        <v>485</v>
      </c>
      <c r="D401" s="11" t="s">
        <v>332</v>
      </c>
      <c r="E401" s="12" t="s">
        <v>333</v>
      </c>
      <c r="F401" s="5">
        <v>16501.2</v>
      </c>
      <c r="G401" s="5">
        <v>0</v>
      </c>
      <c r="H401" s="5">
        <v>551</v>
      </c>
      <c r="I401" s="5">
        <v>32</v>
      </c>
      <c r="J401" s="5">
        <v>120</v>
      </c>
      <c r="K401" s="6">
        <f t="shared" si="6"/>
        <v>17204.2</v>
      </c>
    </row>
    <row r="402" spans="1:11" x14ac:dyDescent="0.25">
      <c r="A402" s="4">
        <v>2015</v>
      </c>
      <c r="B402" s="11" t="s">
        <v>335</v>
      </c>
      <c r="C402" s="11" t="s">
        <v>485</v>
      </c>
      <c r="D402" s="11" t="s">
        <v>332</v>
      </c>
      <c r="E402" s="12" t="s">
        <v>336</v>
      </c>
      <c r="F402" s="5">
        <v>16501.2</v>
      </c>
      <c r="G402" s="5">
        <v>0</v>
      </c>
      <c r="H402" s="5">
        <v>551</v>
      </c>
      <c r="I402" s="5">
        <v>32</v>
      </c>
      <c r="J402" s="5">
        <v>120</v>
      </c>
      <c r="K402" s="6">
        <f t="shared" si="6"/>
        <v>17204.2</v>
      </c>
    </row>
    <row r="403" spans="1:11" x14ac:dyDescent="0.25">
      <c r="A403" s="4">
        <v>2015</v>
      </c>
      <c r="B403" s="11" t="s">
        <v>339</v>
      </c>
      <c r="C403" s="11" t="s">
        <v>485</v>
      </c>
      <c r="D403" s="11" t="s">
        <v>332</v>
      </c>
      <c r="E403" s="12" t="s">
        <v>340</v>
      </c>
      <c r="F403" s="5">
        <v>16501.2</v>
      </c>
      <c r="G403" s="5">
        <v>0</v>
      </c>
      <c r="H403" s="5">
        <v>551</v>
      </c>
      <c r="I403" s="5">
        <v>32</v>
      </c>
      <c r="J403" s="5">
        <v>120</v>
      </c>
      <c r="K403" s="6">
        <f t="shared" si="6"/>
        <v>17204.2</v>
      </c>
    </row>
    <row r="404" spans="1:11" x14ac:dyDescent="0.25">
      <c r="A404" s="4">
        <v>2015</v>
      </c>
      <c r="B404" s="11" t="s">
        <v>318</v>
      </c>
      <c r="C404" s="11" t="s">
        <v>304</v>
      </c>
      <c r="D404" s="11" t="s">
        <v>305</v>
      </c>
      <c r="E404" s="12" t="s">
        <v>319</v>
      </c>
      <c r="F404" s="5">
        <v>17260.55</v>
      </c>
      <c r="G404" s="5">
        <v>0</v>
      </c>
      <c r="H404" s="5">
        <v>551</v>
      </c>
      <c r="I404" s="5">
        <v>32</v>
      </c>
      <c r="J404" s="5">
        <v>120</v>
      </c>
      <c r="K404" s="6">
        <f t="shared" si="6"/>
        <v>17963.55</v>
      </c>
    </row>
    <row r="405" spans="1:11" x14ac:dyDescent="0.25">
      <c r="A405" s="4">
        <v>2015</v>
      </c>
      <c r="B405" s="11" t="s">
        <v>312</v>
      </c>
      <c r="C405" s="11" t="s">
        <v>304</v>
      </c>
      <c r="D405" s="11" t="s">
        <v>305</v>
      </c>
      <c r="E405" s="12" t="s">
        <v>313</v>
      </c>
      <c r="F405" s="5">
        <v>17260.55</v>
      </c>
      <c r="G405" s="5">
        <v>0</v>
      </c>
      <c r="H405" s="5">
        <v>551</v>
      </c>
      <c r="I405" s="5">
        <v>32</v>
      </c>
      <c r="J405" s="5">
        <v>120</v>
      </c>
      <c r="K405" s="6">
        <f t="shared" si="6"/>
        <v>17963.55</v>
      </c>
    </row>
    <row r="406" spans="1:11" x14ac:dyDescent="0.25">
      <c r="A406" s="4">
        <v>2015</v>
      </c>
      <c r="B406" s="11" t="s">
        <v>326</v>
      </c>
      <c r="C406" s="11" t="s">
        <v>304</v>
      </c>
      <c r="D406" s="11" t="s">
        <v>305</v>
      </c>
      <c r="E406" s="12" t="s">
        <v>327</v>
      </c>
      <c r="F406" s="5">
        <v>17260.55</v>
      </c>
      <c r="G406" s="5">
        <v>0</v>
      </c>
      <c r="H406" s="5">
        <v>551</v>
      </c>
      <c r="I406" s="5">
        <v>32</v>
      </c>
      <c r="J406" s="5">
        <v>120</v>
      </c>
      <c r="K406" s="6">
        <f t="shared" si="6"/>
        <v>17963.55</v>
      </c>
    </row>
    <row r="407" spans="1:11" x14ac:dyDescent="0.25">
      <c r="A407" s="4">
        <v>2015</v>
      </c>
      <c r="B407" s="11" t="s">
        <v>322</v>
      </c>
      <c r="C407" s="11" t="s">
        <v>304</v>
      </c>
      <c r="D407" s="11" t="s">
        <v>305</v>
      </c>
      <c r="E407" s="12" t="s">
        <v>323</v>
      </c>
      <c r="F407" s="5">
        <v>17260.55</v>
      </c>
      <c r="G407" s="5">
        <v>0</v>
      </c>
      <c r="H407" s="5">
        <v>551</v>
      </c>
      <c r="I407" s="5">
        <v>32</v>
      </c>
      <c r="J407" s="5">
        <v>120</v>
      </c>
      <c r="K407" s="6">
        <f t="shared" si="6"/>
        <v>17963.55</v>
      </c>
    </row>
    <row r="408" spans="1:11" x14ac:dyDescent="0.25">
      <c r="A408" s="4">
        <v>2015</v>
      </c>
      <c r="B408" s="11" t="s">
        <v>324</v>
      </c>
      <c r="C408" s="11" t="s">
        <v>304</v>
      </c>
      <c r="D408" s="11" t="s">
        <v>305</v>
      </c>
      <c r="E408" s="12" t="s">
        <v>325</v>
      </c>
      <c r="F408" s="5">
        <v>17260.55</v>
      </c>
      <c r="G408" s="5">
        <v>0</v>
      </c>
      <c r="H408" s="5">
        <v>551</v>
      </c>
      <c r="I408" s="5">
        <v>32</v>
      </c>
      <c r="J408" s="5">
        <v>120</v>
      </c>
      <c r="K408" s="6">
        <f t="shared" si="6"/>
        <v>17963.55</v>
      </c>
    </row>
    <row r="409" spans="1:11" x14ac:dyDescent="0.25">
      <c r="A409" s="4">
        <v>2015</v>
      </c>
      <c r="B409" s="11" t="s">
        <v>328</v>
      </c>
      <c r="C409" s="11" t="s">
        <v>304</v>
      </c>
      <c r="D409" s="11" t="s">
        <v>305</v>
      </c>
      <c r="E409" s="12" t="s">
        <v>329</v>
      </c>
      <c r="F409" s="5">
        <v>17260.55</v>
      </c>
      <c r="G409" s="5">
        <v>0</v>
      </c>
      <c r="H409" s="5">
        <v>551</v>
      </c>
      <c r="I409" s="5">
        <v>32</v>
      </c>
      <c r="J409" s="5">
        <v>120</v>
      </c>
      <c r="K409" s="6">
        <f t="shared" si="6"/>
        <v>17963.55</v>
      </c>
    </row>
    <row r="410" spans="1:11" x14ac:dyDescent="0.25">
      <c r="A410" s="4">
        <v>2015</v>
      </c>
      <c r="B410" s="11" t="s">
        <v>314</v>
      </c>
      <c r="C410" s="11" t="s">
        <v>304</v>
      </c>
      <c r="D410" s="11" t="s">
        <v>305</v>
      </c>
      <c r="E410" s="12" t="s">
        <v>315</v>
      </c>
      <c r="F410" s="5">
        <v>17260.55</v>
      </c>
      <c r="G410" s="5">
        <v>0</v>
      </c>
      <c r="H410" s="5">
        <v>551</v>
      </c>
      <c r="I410" s="5">
        <v>32</v>
      </c>
      <c r="J410" s="5">
        <v>120</v>
      </c>
      <c r="K410" s="6">
        <f t="shared" si="6"/>
        <v>17963.55</v>
      </c>
    </row>
    <row r="411" spans="1:11" x14ac:dyDescent="0.25">
      <c r="A411" s="4">
        <v>2015</v>
      </c>
      <c r="B411" s="11" t="s">
        <v>316</v>
      </c>
      <c r="C411" s="11" t="s">
        <v>304</v>
      </c>
      <c r="D411" s="11" t="s">
        <v>305</v>
      </c>
      <c r="E411" s="12" t="s">
        <v>317</v>
      </c>
      <c r="F411" s="5">
        <v>17260.55</v>
      </c>
      <c r="G411" s="5">
        <v>0</v>
      </c>
      <c r="H411" s="5">
        <v>551</v>
      </c>
      <c r="I411" s="5">
        <v>32</v>
      </c>
      <c r="J411" s="5">
        <v>120</v>
      </c>
      <c r="K411" s="6">
        <f t="shared" si="6"/>
        <v>17963.55</v>
      </c>
    </row>
    <row r="412" spans="1:11" x14ac:dyDescent="0.25">
      <c r="A412" s="4">
        <v>2015</v>
      </c>
      <c r="B412" s="11" t="s">
        <v>320</v>
      </c>
      <c r="C412" s="11" t="s">
        <v>304</v>
      </c>
      <c r="D412" s="11" t="s">
        <v>305</v>
      </c>
      <c r="E412" s="12" t="s">
        <v>321</v>
      </c>
      <c r="F412" s="5">
        <v>17260.55</v>
      </c>
      <c r="G412" s="5">
        <v>0</v>
      </c>
      <c r="H412" s="5">
        <v>551</v>
      </c>
      <c r="I412" s="5">
        <v>32</v>
      </c>
      <c r="J412" s="5">
        <v>120</v>
      </c>
      <c r="K412" s="6">
        <f t="shared" si="6"/>
        <v>17963.55</v>
      </c>
    </row>
    <row r="413" spans="1:11" x14ac:dyDescent="0.25">
      <c r="A413" s="4">
        <v>2015</v>
      </c>
      <c r="B413" s="11" t="s">
        <v>310</v>
      </c>
      <c r="C413" s="11" t="s">
        <v>304</v>
      </c>
      <c r="D413" s="11" t="s">
        <v>305</v>
      </c>
      <c r="E413" s="12" t="s">
        <v>311</v>
      </c>
      <c r="F413" s="5">
        <v>17260.55</v>
      </c>
      <c r="G413" s="5">
        <v>0</v>
      </c>
      <c r="H413" s="5">
        <v>551</v>
      </c>
      <c r="I413" s="5">
        <v>32</v>
      </c>
      <c r="J413" s="5">
        <v>120</v>
      </c>
      <c r="K413" s="6">
        <f t="shared" si="6"/>
        <v>17963.55</v>
      </c>
    </row>
    <row r="414" spans="1:11" x14ac:dyDescent="0.25">
      <c r="A414" s="4">
        <v>2015</v>
      </c>
      <c r="B414" s="11" t="s">
        <v>308</v>
      </c>
      <c r="C414" s="11" t="s">
        <v>304</v>
      </c>
      <c r="D414" s="11" t="s">
        <v>305</v>
      </c>
      <c r="E414" s="12" t="s">
        <v>309</v>
      </c>
      <c r="F414" s="5">
        <v>17260.55</v>
      </c>
      <c r="G414" s="5">
        <v>0</v>
      </c>
      <c r="H414" s="5">
        <v>551</v>
      </c>
      <c r="I414" s="5">
        <v>32</v>
      </c>
      <c r="J414" s="5">
        <v>120</v>
      </c>
      <c r="K414" s="6">
        <f t="shared" si="6"/>
        <v>17963.55</v>
      </c>
    </row>
    <row r="415" spans="1:11" x14ac:dyDescent="0.25">
      <c r="A415" s="4">
        <v>2015</v>
      </c>
      <c r="B415" s="11" t="s">
        <v>303</v>
      </c>
      <c r="C415" s="11" t="s">
        <v>304</v>
      </c>
      <c r="D415" s="11" t="s">
        <v>305</v>
      </c>
      <c r="E415" s="12" t="s">
        <v>306</v>
      </c>
      <c r="F415" s="5">
        <v>17260.55</v>
      </c>
      <c r="G415" s="5">
        <v>0</v>
      </c>
      <c r="H415" s="5">
        <v>551</v>
      </c>
      <c r="I415" s="5">
        <v>32</v>
      </c>
      <c r="J415" s="5">
        <v>120</v>
      </c>
      <c r="K415" s="6">
        <f t="shared" si="6"/>
        <v>17963.55</v>
      </c>
    </row>
    <row r="416" spans="1:11" x14ac:dyDescent="0.25">
      <c r="A416" s="4">
        <v>2015</v>
      </c>
      <c r="B416" s="11" t="s">
        <v>293</v>
      </c>
      <c r="C416" s="11" t="s">
        <v>350</v>
      </c>
      <c r="D416" s="11" t="s">
        <v>290</v>
      </c>
      <c r="E416" s="12" t="s">
        <v>294</v>
      </c>
      <c r="F416" s="5">
        <v>18124.95</v>
      </c>
      <c r="G416" s="5">
        <v>0</v>
      </c>
      <c r="H416" s="5">
        <v>551</v>
      </c>
      <c r="I416" s="5">
        <v>32</v>
      </c>
      <c r="J416" s="5">
        <v>120</v>
      </c>
      <c r="K416" s="6">
        <f t="shared" si="6"/>
        <v>18827.95</v>
      </c>
    </row>
    <row r="417" spans="1:11" x14ac:dyDescent="0.25">
      <c r="A417" s="4">
        <v>2015</v>
      </c>
      <c r="B417" s="11" t="s">
        <v>378</v>
      </c>
      <c r="C417" s="11" t="s">
        <v>350</v>
      </c>
      <c r="D417" s="11" t="s">
        <v>351</v>
      </c>
      <c r="E417" s="12" t="s">
        <v>379</v>
      </c>
      <c r="F417" s="5">
        <v>18124.95</v>
      </c>
      <c r="G417" s="5">
        <v>0</v>
      </c>
      <c r="H417" s="5">
        <v>551</v>
      </c>
      <c r="I417" s="5">
        <v>32</v>
      </c>
      <c r="J417" s="5">
        <v>120</v>
      </c>
      <c r="K417" s="6">
        <f t="shared" si="6"/>
        <v>18827.95</v>
      </c>
    </row>
    <row r="418" spans="1:11" x14ac:dyDescent="0.25">
      <c r="A418" s="4">
        <v>2015</v>
      </c>
      <c r="B418" s="11" t="s">
        <v>376</v>
      </c>
      <c r="C418" s="11" t="s">
        <v>350</v>
      </c>
      <c r="D418" s="11" t="s">
        <v>351</v>
      </c>
      <c r="E418" s="12" t="s">
        <v>377</v>
      </c>
      <c r="F418" s="5">
        <v>18124.95</v>
      </c>
      <c r="G418" s="5">
        <v>0</v>
      </c>
      <c r="H418" s="5">
        <v>551</v>
      </c>
      <c r="I418" s="5">
        <v>32</v>
      </c>
      <c r="J418" s="5">
        <v>120</v>
      </c>
      <c r="K418" s="6">
        <f>SUM(F418:J418)</f>
        <v>18827.95</v>
      </c>
    </row>
    <row r="419" spans="1:11" x14ac:dyDescent="0.25">
      <c r="A419" s="4">
        <v>2015</v>
      </c>
      <c r="B419" s="11" t="s">
        <v>380</v>
      </c>
      <c r="C419" s="11" t="s">
        <v>350</v>
      </c>
      <c r="D419" s="11" t="s">
        <v>351</v>
      </c>
      <c r="E419" s="12" t="s">
        <v>381</v>
      </c>
      <c r="F419" s="5">
        <v>18124.95</v>
      </c>
      <c r="G419" s="5">
        <v>0</v>
      </c>
      <c r="H419" s="5">
        <v>551</v>
      </c>
      <c r="I419" s="5">
        <v>32</v>
      </c>
      <c r="J419" s="5">
        <v>120</v>
      </c>
      <c r="K419" s="6">
        <f t="shared" ref="K419:K477" si="7">SUM(F419:J419)</f>
        <v>18827.95</v>
      </c>
    </row>
    <row r="420" spans="1:11" x14ac:dyDescent="0.25">
      <c r="A420" s="4">
        <v>2015</v>
      </c>
      <c r="B420" s="11" t="s">
        <v>360</v>
      </c>
      <c r="C420" s="11" t="s">
        <v>350</v>
      </c>
      <c r="D420" s="11" t="s">
        <v>351</v>
      </c>
      <c r="E420" s="12" t="s">
        <v>361</v>
      </c>
      <c r="F420" s="5">
        <v>18124.95</v>
      </c>
      <c r="G420" s="5">
        <v>0</v>
      </c>
      <c r="H420" s="5">
        <v>551</v>
      </c>
      <c r="I420" s="5">
        <v>32</v>
      </c>
      <c r="J420" s="5">
        <v>120</v>
      </c>
      <c r="K420" s="6">
        <f t="shared" si="7"/>
        <v>18827.95</v>
      </c>
    </row>
    <row r="421" spans="1:11" x14ac:dyDescent="0.25">
      <c r="A421" s="4">
        <v>2015</v>
      </c>
      <c r="B421" s="11" t="s">
        <v>368</v>
      </c>
      <c r="C421" s="11" t="s">
        <v>350</v>
      </c>
      <c r="D421" s="11" t="s">
        <v>351</v>
      </c>
      <c r="E421" s="12" t="s">
        <v>369</v>
      </c>
      <c r="F421" s="5">
        <v>18124.95</v>
      </c>
      <c r="G421" s="5">
        <v>0</v>
      </c>
      <c r="H421" s="5">
        <v>551</v>
      </c>
      <c r="I421" s="5">
        <v>32</v>
      </c>
      <c r="J421" s="5">
        <v>120</v>
      </c>
      <c r="K421" s="6">
        <f t="shared" si="7"/>
        <v>18827.95</v>
      </c>
    </row>
    <row r="422" spans="1:11" x14ac:dyDescent="0.25">
      <c r="A422" s="4">
        <v>2015</v>
      </c>
      <c r="B422" s="11" t="s">
        <v>358</v>
      </c>
      <c r="C422" s="11" t="s">
        <v>350</v>
      </c>
      <c r="D422" s="11" t="s">
        <v>351</v>
      </c>
      <c r="E422" s="12" t="s">
        <v>359</v>
      </c>
      <c r="F422" s="5">
        <v>18124.95</v>
      </c>
      <c r="G422" s="5">
        <v>0</v>
      </c>
      <c r="H422" s="5">
        <v>551</v>
      </c>
      <c r="I422" s="5">
        <v>32</v>
      </c>
      <c r="J422" s="5">
        <v>120</v>
      </c>
      <c r="K422" s="6">
        <f t="shared" si="7"/>
        <v>18827.95</v>
      </c>
    </row>
    <row r="423" spans="1:11" x14ac:dyDescent="0.25">
      <c r="A423" s="4">
        <v>2015</v>
      </c>
      <c r="B423" s="11" t="s">
        <v>362</v>
      </c>
      <c r="C423" s="11" t="s">
        <v>350</v>
      </c>
      <c r="D423" s="11" t="s">
        <v>351</v>
      </c>
      <c r="E423" s="12" t="s">
        <v>363</v>
      </c>
      <c r="F423" s="5">
        <v>18124.95</v>
      </c>
      <c r="G423" s="5">
        <v>0</v>
      </c>
      <c r="H423" s="5">
        <v>551</v>
      </c>
      <c r="I423" s="5">
        <v>32</v>
      </c>
      <c r="J423" s="5">
        <v>120</v>
      </c>
      <c r="K423" s="6">
        <f t="shared" si="7"/>
        <v>18827.95</v>
      </c>
    </row>
    <row r="424" spans="1:11" x14ac:dyDescent="0.25">
      <c r="A424" s="4">
        <v>2015</v>
      </c>
      <c r="B424" s="11" t="s">
        <v>374</v>
      </c>
      <c r="C424" s="11" t="s">
        <v>350</v>
      </c>
      <c r="D424" s="11" t="s">
        <v>351</v>
      </c>
      <c r="E424" s="12" t="s">
        <v>375</v>
      </c>
      <c r="F424" s="5">
        <v>18124.95</v>
      </c>
      <c r="G424" s="5">
        <v>0</v>
      </c>
      <c r="H424" s="5">
        <v>551</v>
      </c>
      <c r="I424" s="5">
        <v>32</v>
      </c>
      <c r="J424" s="5">
        <v>120</v>
      </c>
      <c r="K424" s="6">
        <f t="shared" si="7"/>
        <v>18827.95</v>
      </c>
    </row>
    <row r="425" spans="1:11" x14ac:dyDescent="0.25">
      <c r="A425" s="4">
        <v>2015</v>
      </c>
      <c r="B425" s="11" t="s">
        <v>364</v>
      </c>
      <c r="C425" s="11" t="s">
        <v>350</v>
      </c>
      <c r="D425" s="11" t="s">
        <v>351</v>
      </c>
      <c r="E425" s="12" t="s">
        <v>365</v>
      </c>
      <c r="F425" s="5">
        <v>18124.95</v>
      </c>
      <c r="G425" s="5">
        <v>0</v>
      </c>
      <c r="H425" s="5">
        <v>551</v>
      </c>
      <c r="I425" s="5">
        <v>32</v>
      </c>
      <c r="J425" s="5">
        <v>120</v>
      </c>
      <c r="K425" s="6">
        <f t="shared" si="7"/>
        <v>18827.95</v>
      </c>
    </row>
    <row r="426" spans="1:11" x14ac:dyDescent="0.25">
      <c r="A426" s="4">
        <v>2015</v>
      </c>
      <c r="B426" s="11" t="s">
        <v>366</v>
      </c>
      <c r="C426" s="11" t="s">
        <v>350</v>
      </c>
      <c r="D426" s="11" t="s">
        <v>351</v>
      </c>
      <c r="E426" s="12" t="s">
        <v>367</v>
      </c>
      <c r="F426" s="5">
        <v>18124.95</v>
      </c>
      <c r="G426" s="5">
        <v>0</v>
      </c>
      <c r="H426" s="5">
        <v>551</v>
      </c>
      <c r="I426" s="5">
        <v>32</v>
      </c>
      <c r="J426" s="5">
        <v>120</v>
      </c>
      <c r="K426" s="6">
        <f t="shared" si="7"/>
        <v>18827.95</v>
      </c>
    </row>
    <row r="427" spans="1:11" x14ac:dyDescent="0.25">
      <c r="A427" s="4">
        <v>2015</v>
      </c>
      <c r="B427" s="11" t="s">
        <v>372</v>
      </c>
      <c r="C427" s="11" t="s">
        <v>350</v>
      </c>
      <c r="D427" s="11" t="s">
        <v>351</v>
      </c>
      <c r="E427" s="12" t="s">
        <v>373</v>
      </c>
      <c r="F427" s="5">
        <v>18124.95</v>
      </c>
      <c r="G427" s="5">
        <v>0</v>
      </c>
      <c r="H427" s="5">
        <v>551</v>
      </c>
      <c r="I427" s="5">
        <v>32</v>
      </c>
      <c r="J427" s="5">
        <v>120</v>
      </c>
      <c r="K427" s="6">
        <f t="shared" si="7"/>
        <v>18827.95</v>
      </c>
    </row>
    <row r="428" spans="1:11" x14ac:dyDescent="0.25">
      <c r="A428" s="4">
        <v>2015</v>
      </c>
      <c r="B428" s="11" t="s">
        <v>370</v>
      </c>
      <c r="C428" s="11" t="s">
        <v>350</v>
      </c>
      <c r="D428" s="11" t="s">
        <v>351</v>
      </c>
      <c r="E428" s="12" t="s">
        <v>371</v>
      </c>
      <c r="F428" s="5">
        <v>18124.95</v>
      </c>
      <c r="G428" s="5">
        <v>0</v>
      </c>
      <c r="H428" s="5">
        <v>551</v>
      </c>
      <c r="I428" s="5">
        <v>32</v>
      </c>
      <c r="J428" s="5">
        <v>120</v>
      </c>
      <c r="K428" s="6">
        <f t="shared" si="7"/>
        <v>18827.95</v>
      </c>
    </row>
    <row r="429" spans="1:11" x14ac:dyDescent="0.25">
      <c r="A429" s="4">
        <v>2015</v>
      </c>
      <c r="B429" s="11" t="s">
        <v>356</v>
      </c>
      <c r="C429" s="11" t="s">
        <v>350</v>
      </c>
      <c r="D429" s="11" t="s">
        <v>351</v>
      </c>
      <c r="E429" s="12" t="s">
        <v>357</v>
      </c>
      <c r="F429" s="5">
        <v>18124.95</v>
      </c>
      <c r="G429" s="5">
        <v>0</v>
      </c>
      <c r="H429" s="5">
        <v>551</v>
      </c>
      <c r="I429" s="5">
        <v>32</v>
      </c>
      <c r="J429" s="5">
        <v>120</v>
      </c>
      <c r="K429" s="6">
        <f t="shared" si="7"/>
        <v>18827.95</v>
      </c>
    </row>
    <row r="430" spans="1:11" x14ac:dyDescent="0.25">
      <c r="A430" s="4">
        <v>2015</v>
      </c>
      <c r="B430" s="11" t="s">
        <v>354</v>
      </c>
      <c r="C430" s="11" t="s">
        <v>350</v>
      </c>
      <c r="D430" s="11" t="s">
        <v>351</v>
      </c>
      <c r="E430" s="12" t="s">
        <v>355</v>
      </c>
      <c r="F430" s="5">
        <v>18124.95</v>
      </c>
      <c r="G430" s="5">
        <v>0</v>
      </c>
      <c r="H430" s="5">
        <v>551</v>
      </c>
      <c r="I430" s="5">
        <v>32</v>
      </c>
      <c r="J430" s="5">
        <v>120</v>
      </c>
      <c r="K430" s="6">
        <f t="shared" si="7"/>
        <v>18827.95</v>
      </c>
    </row>
    <row r="431" spans="1:11" x14ac:dyDescent="0.25">
      <c r="A431" s="4">
        <v>2015</v>
      </c>
      <c r="B431" s="11" t="s">
        <v>349</v>
      </c>
      <c r="C431" s="11" t="s">
        <v>350</v>
      </c>
      <c r="D431" s="11" t="s">
        <v>351</v>
      </c>
      <c r="E431" s="12" t="s">
        <v>352</v>
      </c>
      <c r="F431" s="5">
        <v>18124.95</v>
      </c>
      <c r="G431" s="5">
        <v>0</v>
      </c>
      <c r="H431" s="5">
        <v>551</v>
      </c>
      <c r="I431" s="5">
        <v>32</v>
      </c>
      <c r="J431" s="5">
        <v>120</v>
      </c>
      <c r="K431" s="6">
        <f t="shared" si="7"/>
        <v>18827.95</v>
      </c>
    </row>
    <row r="432" spans="1:11" x14ac:dyDescent="0.25">
      <c r="A432" s="4">
        <v>2015</v>
      </c>
      <c r="B432" s="11" t="s">
        <v>399</v>
      </c>
      <c r="C432" s="11" t="s">
        <v>400</v>
      </c>
      <c r="D432" s="11" t="s">
        <v>401</v>
      </c>
      <c r="E432" s="12" t="s">
        <v>402</v>
      </c>
      <c r="F432" s="5">
        <v>18728.849999999999</v>
      </c>
      <c r="G432" s="5">
        <v>0</v>
      </c>
      <c r="H432" s="5">
        <v>551</v>
      </c>
      <c r="I432" s="5">
        <v>32</v>
      </c>
      <c r="J432" s="5">
        <v>120</v>
      </c>
      <c r="K432" s="6">
        <f t="shared" si="7"/>
        <v>19431.849999999999</v>
      </c>
    </row>
    <row r="433" spans="1:11" x14ac:dyDescent="0.25">
      <c r="A433" s="4">
        <v>2015</v>
      </c>
      <c r="B433" s="11" t="s">
        <v>395</v>
      </c>
      <c r="C433" s="11" t="s">
        <v>396</v>
      </c>
      <c r="D433" s="11" t="s">
        <v>397</v>
      </c>
      <c r="E433" s="12" t="s">
        <v>398</v>
      </c>
      <c r="F433" s="5">
        <v>19666.400000000001</v>
      </c>
      <c r="G433" s="5">
        <v>0</v>
      </c>
      <c r="H433" s="5">
        <v>551</v>
      </c>
      <c r="I433" s="5">
        <v>32</v>
      </c>
      <c r="J433" s="5">
        <v>120</v>
      </c>
      <c r="K433" s="6">
        <f t="shared" si="7"/>
        <v>20369.400000000001</v>
      </c>
    </row>
    <row r="434" spans="1:11" x14ac:dyDescent="0.25">
      <c r="A434" s="7">
        <v>2014</v>
      </c>
      <c r="B434" s="33" t="s">
        <v>288</v>
      </c>
      <c r="C434" s="33" t="s">
        <v>289</v>
      </c>
      <c r="D434" s="33" t="s">
        <v>290</v>
      </c>
      <c r="E434" s="34" t="s">
        <v>291</v>
      </c>
      <c r="F434" s="36">
        <v>13126.15</v>
      </c>
      <c r="G434" s="36">
        <v>0</v>
      </c>
      <c r="H434" s="36">
        <v>551</v>
      </c>
      <c r="I434" s="36">
        <v>32</v>
      </c>
      <c r="J434" s="36">
        <v>120</v>
      </c>
      <c r="K434" s="6">
        <f t="shared" si="7"/>
        <v>13829.15</v>
      </c>
    </row>
    <row r="435" spans="1:11" x14ac:dyDescent="0.25">
      <c r="A435" s="7">
        <v>2014</v>
      </c>
      <c r="B435" s="33" t="s">
        <v>295</v>
      </c>
      <c r="C435" s="33" t="s">
        <v>289</v>
      </c>
      <c r="D435" s="33" t="s">
        <v>290</v>
      </c>
      <c r="E435" s="34" t="s">
        <v>296</v>
      </c>
      <c r="F435" s="36">
        <v>15181.45</v>
      </c>
      <c r="G435" s="36">
        <v>0</v>
      </c>
      <c r="H435" s="36">
        <v>551</v>
      </c>
      <c r="I435" s="36">
        <v>32</v>
      </c>
      <c r="J435" s="36">
        <v>120</v>
      </c>
      <c r="K435" s="6">
        <f t="shared" si="7"/>
        <v>15884.45</v>
      </c>
    </row>
    <row r="436" spans="1:11" x14ac:dyDescent="0.25">
      <c r="A436" s="7">
        <v>2014</v>
      </c>
      <c r="B436" s="33" t="s">
        <v>301</v>
      </c>
      <c r="C436" s="33" t="s">
        <v>289</v>
      </c>
      <c r="D436" s="33" t="s">
        <v>290</v>
      </c>
      <c r="E436" s="34" t="s">
        <v>302</v>
      </c>
      <c r="F436" s="36">
        <v>15181.45</v>
      </c>
      <c r="G436" s="36">
        <v>0</v>
      </c>
      <c r="H436" s="36">
        <v>551</v>
      </c>
      <c r="I436" s="36">
        <v>32</v>
      </c>
      <c r="J436" s="36">
        <v>120</v>
      </c>
      <c r="K436" s="6">
        <f t="shared" si="7"/>
        <v>15884.45</v>
      </c>
    </row>
    <row r="437" spans="1:11" x14ac:dyDescent="0.25">
      <c r="A437" s="7">
        <v>2014</v>
      </c>
      <c r="B437" s="33" t="s">
        <v>299</v>
      </c>
      <c r="C437" s="33" t="s">
        <v>289</v>
      </c>
      <c r="D437" s="33" t="s">
        <v>290</v>
      </c>
      <c r="E437" s="34" t="s">
        <v>300</v>
      </c>
      <c r="F437" s="36">
        <v>15181.45</v>
      </c>
      <c r="G437" s="36">
        <v>0</v>
      </c>
      <c r="H437" s="36">
        <v>551</v>
      </c>
      <c r="I437" s="36">
        <v>32</v>
      </c>
      <c r="J437" s="36">
        <v>120</v>
      </c>
      <c r="K437" s="6">
        <f t="shared" si="7"/>
        <v>15884.45</v>
      </c>
    </row>
    <row r="438" spans="1:11" x14ac:dyDescent="0.25">
      <c r="A438" s="7">
        <v>2014</v>
      </c>
      <c r="B438" s="33" t="s">
        <v>297</v>
      </c>
      <c r="C438" s="33" t="s">
        <v>289</v>
      </c>
      <c r="D438" s="33" t="s">
        <v>290</v>
      </c>
      <c r="E438" s="34" t="s">
        <v>298</v>
      </c>
      <c r="F438" s="36">
        <v>15181.45</v>
      </c>
      <c r="G438" s="36">
        <v>0</v>
      </c>
      <c r="H438" s="36">
        <v>551</v>
      </c>
      <c r="I438" s="36">
        <v>32</v>
      </c>
      <c r="J438" s="36">
        <v>120</v>
      </c>
      <c r="K438" s="6">
        <f t="shared" si="7"/>
        <v>15884.45</v>
      </c>
    </row>
    <row r="439" spans="1:11" x14ac:dyDescent="0.25">
      <c r="A439" s="7">
        <v>2014</v>
      </c>
      <c r="B439" s="33" t="s">
        <v>391</v>
      </c>
      <c r="C439" s="33" t="s">
        <v>383</v>
      </c>
      <c r="D439" s="33" t="s">
        <v>384</v>
      </c>
      <c r="E439" s="34" t="s">
        <v>392</v>
      </c>
      <c r="F439" s="36">
        <v>15181.45</v>
      </c>
      <c r="G439" s="36">
        <v>0</v>
      </c>
      <c r="H439" s="36">
        <v>551</v>
      </c>
      <c r="I439" s="36">
        <v>32</v>
      </c>
      <c r="J439" s="36">
        <v>120</v>
      </c>
      <c r="K439" s="6">
        <f t="shared" si="7"/>
        <v>15884.45</v>
      </c>
    </row>
    <row r="440" spans="1:11" x14ac:dyDescent="0.25">
      <c r="A440" s="7">
        <v>2014</v>
      </c>
      <c r="B440" s="33" t="s">
        <v>393</v>
      </c>
      <c r="C440" s="33" t="s">
        <v>383</v>
      </c>
      <c r="D440" s="33" t="s">
        <v>384</v>
      </c>
      <c r="E440" s="34" t="s">
        <v>394</v>
      </c>
      <c r="F440" s="36">
        <v>15181.45</v>
      </c>
      <c r="G440" s="36">
        <v>0</v>
      </c>
      <c r="H440" s="36">
        <v>551</v>
      </c>
      <c r="I440" s="36">
        <v>32</v>
      </c>
      <c r="J440" s="36">
        <v>120</v>
      </c>
      <c r="K440" s="6">
        <f t="shared" si="7"/>
        <v>15884.45</v>
      </c>
    </row>
    <row r="441" spans="1:11" x14ac:dyDescent="0.25">
      <c r="A441" s="7">
        <v>2014</v>
      </c>
      <c r="B441" s="33" t="s">
        <v>387</v>
      </c>
      <c r="C441" s="33" t="s">
        <v>383</v>
      </c>
      <c r="D441" s="33" t="s">
        <v>384</v>
      </c>
      <c r="E441" s="34" t="s">
        <v>388</v>
      </c>
      <c r="F441" s="36">
        <v>15181.45</v>
      </c>
      <c r="G441" s="36">
        <v>0</v>
      </c>
      <c r="H441" s="36">
        <v>551</v>
      </c>
      <c r="I441" s="36">
        <v>32</v>
      </c>
      <c r="J441" s="36">
        <v>120</v>
      </c>
      <c r="K441" s="6">
        <f t="shared" si="7"/>
        <v>15884.45</v>
      </c>
    </row>
    <row r="442" spans="1:11" x14ac:dyDescent="0.25">
      <c r="A442" s="7">
        <v>2014</v>
      </c>
      <c r="B442" s="33" t="s">
        <v>382</v>
      </c>
      <c r="C442" s="33" t="s">
        <v>383</v>
      </c>
      <c r="D442" s="33" t="s">
        <v>384</v>
      </c>
      <c r="E442" s="34" t="s">
        <v>385</v>
      </c>
      <c r="F442" s="36">
        <v>15181.45</v>
      </c>
      <c r="G442" s="36">
        <v>0</v>
      </c>
      <c r="H442" s="36">
        <v>551</v>
      </c>
      <c r="I442" s="36">
        <v>32</v>
      </c>
      <c r="J442" s="36">
        <v>120</v>
      </c>
      <c r="K442" s="6">
        <f t="shared" si="7"/>
        <v>15884.45</v>
      </c>
    </row>
    <row r="443" spans="1:11" x14ac:dyDescent="0.25">
      <c r="A443" s="7">
        <v>2014</v>
      </c>
      <c r="B443" s="33" t="s">
        <v>389</v>
      </c>
      <c r="C443" s="33" t="s">
        <v>383</v>
      </c>
      <c r="D443" s="33" t="s">
        <v>384</v>
      </c>
      <c r="E443" s="34" t="s">
        <v>390</v>
      </c>
      <c r="F443" s="36">
        <v>15181.45</v>
      </c>
      <c r="G443" s="36">
        <v>0</v>
      </c>
      <c r="H443" s="36">
        <v>551</v>
      </c>
      <c r="I443" s="36">
        <v>32</v>
      </c>
      <c r="J443" s="36">
        <v>120</v>
      </c>
      <c r="K443" s="6">
        <f t="shared" si="7"/>
        <v>15884.45</v>
      </c>
    </row>
    <row r="444" spans="1:11" x14ac:dyDescent="0.25">
      <c r="A444" s="7">
        <v>2014</v>
      </c>
      <c r="B444" s="33" t="s">
        <v>345</v>
      </c>
      <c r="C444" s="33" t="s">
        <v>331</v>
      </c>
      <c r="D444" s="33" t="s">
        <v>332</v>
      </c>
      <c r="E444" s="34" t="s">
        <v>346</v>
      </c>
      <c r="F444" s="36">
        <v>15958.6</v>
      </c>
      <c r="G444" s="36">
        <v>0</v>
      </c>
      <c r="H444" s="36">
        <v>551</v>
      </c>
      <c r="I444" s="36">
        <v>32</v>
      </c>
      <c r="J444" s="36">
        <v>120</v>
      </c>
      <c r="K444" s="6">
        <f t="shared" si="7"/>
        <v>16661.599999999999</v>
      </c>
    </row>
    <row r="445" spans="1:11" x14ac:dyDescent="0.25">
      <c r="A445" s="7">
        <v>2014</v>
      </c>
      <c r="B445" s="33" t="s">
        <v>343</v>
      </c>
      <c r="C445" s="33" t="s">
        <v>331</v>
      </c>
      <c r="D445" s="33" t="s">
        <v>332</v>
      </c>
      <c r="E445" s="34" t="s">
        <v>344</v>
      </c>
      <c r="F445" s="36">
        <v>15958.6</v>
      </c>
      <c r="G445" s="36">
        <v>0</v>
      </c>
      <c r="H445" s="36">
        <v>551</v>
      </c>
      <c r="I445" s="36">
        <v>32</v>
      </c>
      <c r="J445" s="36">
        <v>120</v>
      </c>
      <c r="K445" s="6">
        <f t="shared" si="7"/>
        <v>16661.599999999999</v>
      </c>
    </row>
    <row r="446" spans="1:11" x14ac:dyDescent="0.25">
      <c r="A446" s="7">
        <v>2014</v>
      </c>
      <c r="B446" s="33" t="s">
        <v>347</v>
      </c>
      <c r="C446" s="33" t="s">
        <v>331</v>
      </c>
      <c r="D446" s="33" t="s">
        <v>332</v>
      </c>
      <c r="E446" s="34" t="s">
        <v>348</v>
      </c>
      <c r="F446" s="36">
        <v>15958.6</v>
      </c>
      <c r="G446" s="36">
        <v>0</v>
      </c>
      <c r="H446" s="36">
        <v>551</v>
      </c>
      <c r="I446" s="36">
        <v>32</v>
      </c>
      <c r="J446" s="36">
        <v>120</v>
      </c>
      <c r="K446" s="6">
        <f t="shared" si="7"/>
        <v>16661.599999999999</v>
      </c>
    </row>
    <row r="447" spans="1:11" x14ac:dyDescent="0.25">
      <c r="A447" s="7">
        <v>2014</v>
      </c>
      <c r="B447" s="33" t="s">
        <v>330</v>
      </c>
      <c r="C447" s="33" t="s">
        <v>331</v>
      </c>
      <c r="D447" s="33" t="s">
        <v>332</v>
      </c>
      <c r="E447" s="34" t="s">
        <v>333</v>
      </c>
      <c r="F447" s="36">
        <v>15958.6</v>
      </c>
      <c r="G447" s="36">
        <v>0</v>
      </c>
      <c r="H447" s="36">
        <v>551</v>
      </c>
      <c r="I447" s="36">
        <v>32</v>
      </c>
      <c r="J447" s="36">
        <v>120</v>
      </c>
      <c r="K447" s="6">
        <f t="shared" si="7"/>
        <v>16661.599999999999</v>
      </c>
    </row>
    <row r="448" spans="1:11" x14ac:dyDescent="0.25">
      <c r="A448" s="7">
        <v>2014</v>
      </c>
      <c r="B448" s="33" t="s">
        <v>318</v>
      </c>
      <c r="C448" s="33" t="s">
        <v>304</v>
      </c>
      <c r="D448" s="33" t="s">
        <v>305</v>
      </c>
      <c r="E448" s="34" t="s">
        <v>319</v>
      </c>
      <c r="F448" s="36">
        <v>16693</v>
      </c>
      <c r="G448" s="36">
        <v>0</v>
      </c>
      <c r="H448" s="36">
        <v>551</v>
      </c>
      <c r="I448" s="36">
        <v>32</v>
      </c>
      <c r="J448" s="36">
        <v>120</v>
      </c>
      <c r="K448" s="6">
        <f t="shared" si="7"/>
        <v>17396</v>
      </c>
    </row>
    <row r="449" spans="1:11" x14ac:dyDescent="0.25">
      <c r="A449" s="7">
        <v>2014</v>
      </c>
      <c r="B449" s="33" t="s">
        <v>312</v>
      </c>
      <c r="C449" s="33" t="s">
        <v>304</v>
      </c>
      <c r="D449" s="33" t="s">
        <v>305</v>
      </c>
      <c r="E449" s="34" t="s">
        <v>313</v>
      </c>
      <c r="F449" s="36">
        <v>16693</v>
      </c>
      <c r="G449" s="36">
        <v>0</v>
      </c>
      <c r="H449" s="36">
        <v>551</v>
      </c>
      <c r="I449" s="36">
        <v>32</v>
      </c>
      <c r="J449" s="36">
        <v>120</v>
      </c>
      <c r="K449" s="6">
        <f t="shared" si="7"/>
        <v>17396</v>
      </c>
    </row>
    <row r="450" spans="1:11" x14ac:dyDescent="0.25">
      <c r="A450" s="7">
        <v>2014</v>
      </c>
      <c r="B450" s="33" t="s">
        <v>326</v>
      </c>
      <c r="C450" s="33" t="s">
        <v>304</v>
      </c>
      <c r="D450" s="33" t="s">
        <v>305</v>
      </c>
      <c r="E450" s="34" t="s">
        <v>327</v>
      </c>
      <c r="F450" s="36">
        <v>16693</v>
      </c>
      <c r="G450" s="36">
        <v>0</v>
      </c>
      <c r="H450" s="36">
        <v>551</v>
      </c>
      <c r="I450" s="36">
        <v>32</v>
      </c>
      <c r="J450" s="36">
        <v>120</v>
      </c>
      <c r="K450" s="6">
        <f t="shared" si="7"/>
        <v>17396</v>
      </c>
    </row>
    <row r="451" spans="1:11" x14ac:dyDescent="0.25">
      <c r="A451" s="7">
        <v>2014</v>
      </c>
      <c r="B451" s="33" t="s">
        <v>322</v>
      </c>
      <c r="C451" s="33" t="s">
        <v>304</v>
      </c>
      <c r="D451" s="33" t="s">
        <v>305</v>
      </c>
      <c r="E451" s="34" t="s">
        <v>323</v>
      </c>
      <c r="F451" s="36">
        <v>16693</v>
      </c>
      <c r="G451" s="36">
        <v>0</v>
      </c>
      <c r="H451" s="36">
        <v>551</v>
      </c>
      <c r="I451" s="36">
        <v>32</v>
      </c>
      <c r="J451" s="36">
        <v>120</v>
      </c>
      <c r="K451" s="6">
        <f t="shared" si="7"/>
        <v>17396</v>
      </c>
    </row>
    <row r="452" spans="1:11" x14ac:dyDescent="0.25">
      <c r="A452" s="7">
        <v>2014</v>
      </c>
      <c r="B452" s="33" t="s">
        <v>324</v>
      </c>
      <c r="C452" s="33" t="s">
        <v>304</v>
      </c>
      <c r="D452" s="33" t="s">
        <v>305</v>
      </c>
      <c r="E452" s="34" t="s">
        <v>325</v>
      </c>
      <c r="F452" s="36">
        <v>16693</v>
      </c>
      <c r="G452" s="36">
        <v>0</v>
      </c>
      <c r="H452" s="36">
        <v>551</v>
      </c>
      <c r="I452" s="36">
        <v>32</v>
      </c>
      <c r="J452" s="36">
        <v>120</v>
      </c>
      <c r="K452" s="6">
        <f t="shared" si="7"/>
        <v>17396</v>
      </c>
    </row>
    <row r="453" spans="1:11" x14ac:dyDescent="0.25">
      <c r="A453" s="7">
        <v>2014</v>
      </c>
      <c r="B453" s="33" t="s">
        <v>328</v>
      </c>
      <c r="C453" s="33" t="s">
        <v>304</v>
      </c>
      <c r="D453" s="33" t="s">
        <v>305</v>
      </c>
      <c r="E453" s="34" t="s">
        <v>329</v>
      </c>
      <c r="F453" s="36">
        <v>16693</v>
      </c>
      <c r="G453" s="36">
        <v>0</v>
      </c>
      <c r="H453" s="36">
        <v>551</v>
      </c>
      <c r="I453" s="36">
        <v>32</v>
      </c>
      <c r="J453" s="36">
        <v>120</v>
      </c>
      <c r="K453" s="6">
        <f t="shared" si="7"/>
        <v>17396</v>
      </c>
    </row>
    <row r="454" spans="1:11" x14ac:dyDescent="0.25">
      <c r="A454" s="7">
        <v>2014</v>
      </c>
      <c r="B454" s="33" t="s">
        <v>314</v>
      </c>
      <c r="C454" s="33" t="s">
        <v>304</v>
      </c>
      <c r="D454" s="33" t="s">
        <v>305</v>
      </c>
      <c r="E454" s="34" t="s">
        <v>315</v>
      </c>
      <c r="F454" s="36">
        <v>16693</v>
      </c>
      <c r="G454" s="36">
        <v>0</v>
      </c>
      <c r="H454" s="36">
        <v>551</v>
      </c>
      <c r="I454" s="36">
        <v>32</v>
      </c>
      <c r="J454" s="36">
        <v>120</v>
      </c>
      <c r="K454" s="6">
        <f t="shared" si="7"/>
        <v>17396</v>
      </c>
    </row>
    <row r="455" spans="1:11" x14ac:dyDescent="0.25">
      <c r="A455" s="7">
        <v>2014</v>
      </c>
      <c r="B455" s="33" t="s">
        <v>316</v>
      </c>
      <c r="C455" s="33" t="s">
        <v>304</v>
      </c>
      <c r="D455" s="33" t="s">
        <v>305</v>
      </c>
      <c r="E455" s="34" t="s">
        <v>317</v>
      </c>
      <c r="F455" s="36">
        <v>16693</v>
      </c>
      <c r="G455" s="36">
        <v>0</v>
      </c>
      <c r="H455" s="36">
        <v>551</v>
      </c>
      <c r="I455" s="36">
        <v>32</v>
      </c>
      <c r="J455" s="36">
        <v>120</v>
      </c>
      <c r="K455" s="6">
        <f t="shared" si="7"/>
        <v>17396</v>
      </c>
    </row>
    <row r="456" spans="1:11" x14ac:dyDescent="0.25">
      <c r="A456" s="7">
        <v>2014</v>
      </c>
      <c r="B456" s="33" t="s">
        <v>320</v>
      </c>
      <c r="C456" s="33" t="s">
        <v>304</v>
      </c>
      <c r="D456" s="33" t="s">
        <v>305</v>
      </c>
      <c r="E456" s="34" t="s">
        <v>321</v>
      </c>
      <c r="F456" s="36">
        <v>16693</v>
      </c>
      <c r="G456" s="36">
        <v>0</v>
      </c>
      <c r="H456" s="36">
        <v>551</v>
      </c>
      <c r="I456" s="36">
        <v>32</v>
      </c>
      <c r="J456" s="36">
        <v>120</v>
      </c>
      <c r="K456" s="6">
        <f t="shared" si="7"/>
        <v>17396</v>
      </c>
    </row>
    <row r="457" spans="1:11" x14ac:dyDescent="0.25">
      <c r="A457" s="7">
        <v>2014</v>
      </c>
      <c r="B457" s="33" t="s">
        <v>310</v>
      </c>
      <c r="C457" s="33" t="s">
        <v>304</v>
      </c>
      <c r="D457" s="33" t="s">
        <v>305</v>
      </c>
      <c r="E457" s="34" t="s">
        <v>311</v>
      </c>
      <c r="F457" s="36">
        <v>16693</v>
      </c>
      <c r="G457" s="36">
        <v>0</v>
      </c>
      <c r="H457" s="36">
        <v>551</v>
      </c>
      <c r="I457" s="36">
        <v>32</v>
      </c>
      <c r="J457" s="36">
        <v>120</v>
      </c>
      <c r="K457" s="6">
        <f t="shared" si="7"/>
        <v>17396</v>
      </c>
    </row>
    <row r="458" spans="1:11" x14ac:dyDescent="0.25">
      <c r="A458" s="7">
        <v>2014</v>
      </c>
      <c r="B458" s="33" t="s">
        <v>308</v>
      </c>
      <c r="C458" s="33" t="s">
        <v>304</v>
      </c>
      <c r="D458" s="33" t="s">
        <v>305</v>
      </c>
      <c r="E458" s="34" t="s">
        <v>309</v>
      </c>
      <c r="F458" s="36">
        <v>16693</v>
      </c>
      <c r="G458" s="36">
        <v>0</v>
      </c>
      <c r="H458" s="36">
        <v>551</v>
      </c>
      <c r="I458" s="36">
        <v>32</v>
      </c>
      <c r="J458" s="36">
        <v>120</v>
      </c>
      <c r="K458" s="6">
        <f t="shared" si="7"/>
        <v>17396</v>
      </c>
    </row>
    <row r="459" spans="1:11" x14ac:dyDescent="0.25">
      <c r="A459" s="7">
        <v>2014</v>
      </c>
      <c r="B459" s="33" t="s">
        <v>303</v>
      </c>
      <c r="C459" s="33" t="s">
        <v>304</v>
      </c>
      <c r="D459" s="33" t="s">
        <v>305</v>
      </c>
      <c r="E459" s="34" t="s">
        <v>306</v>
      </c>
      <c r="F459" s="36">
        <v>16693</v>
      </c>
      <c r="G459" s="36">
        <v>0</v>
      </c>
      <c r="H459" s="36">
        <v>551</v>
      </c>
      <c r="I459" s="36">
        <v>32</v>
      </c>
      <c r="J459" s="36">
        <v>120</v>
      </c>
      <c r="K459" s="6">
        <f t="shared" si="7"/>
        <v>17396</v>
      </c>
    </row>
    <row r="460" spans="1:11" x14ac:dyDescent="0.25">
      <c r="A460" s="7">
        <v>2014</v>
      </c>
      <c r="B460" s="33" t="s">
        <v>293</v>
      </c>
      <c r="C460" s="33" t="s">
        <v>289</v>
      </c>
      <c r="D460" s="33" t="s">
        <v>290</v>
      </c>
      <c r="E460" s="34" t="s">
        <v>294</v>
      </c>
      <c r="F460" s="36">
        <v>17528.95</v>
      </c>
      <c r="G460" s="36">
        <v>0</v>
      </c>
      <c r="H460" s="36">
        <v>551</v>
      </c>
      <c r="I460" s="36">
        <v>32</v>
      </c>
      <c r="J460" s="36">
        <v>120</v>
      </c>
      <c r="K460" s="6">
        <f t="shared" si="7"/>
        <v>18231.95</v>
      </c>
    </row>
    <row r="461" spans="1:11" x14ac:dyDescent="0.25">
      <c r="A461" s="7">
        <v>2014</v>
      </c>
      <c r="B461" s="33" t="s">
        <v>378</v>
      </c>
      <c r="C461" s="33" t="s">
        <v>350</v>
      </c>
      <c r="D461" s="33" t="s">
        <v>351</v>
      </c>
      <c r="E461" s="34" t="s">
        <v>379</v>
      </c>
      <c r="F461" s="36">
        <v>17528.95</v>
      </c>
      <c r="G461" s="36">
        <v>0</v>
      </c>
      <c r="H461" s="36">
        <v>551</v>
      </c>
      <c r="I461" s="36">
        <v>32</v>
      </c>
      <c r="J461" s="36">
        <v>120</v>
      </c>
      <c r="K461" s="6">
        <f t="shared" si="7"/>
        <v>18231.95</v>
      </c>
    </row>
    <row r="462" spans="1:11" x14ac:dyDescent="0.25">
      <c r="A462" s="7">
        <v>2014</v>
      </c>
      <c r="B462" s="33" t="s">
        <v>376</v>
      </c>
      <c r="C462" s="33" t="s">
        <v>350</v>
      </c>
      <c r="D462" s="33" t="s">
        <v>351</v>
      </c>
      <c r="E462" s="34" t="s">
        <v>377</v>
      </c>
      <c r="F462" s="36">
        <v>17528.95</v>
      </c>
      <c r="G462" s="36">
        <v>0</v>
      </c>
      <c r="H462" s="36">
        <v>551</v>
      </c>
      <c r="I462" s="36">
        <v>32</v>
      </c>
      <c r="J462" s="36">
        <v>120</v>
      </c>
      <c r="K462" s="6">
        <f t="shared" si="7"/>
        <v>18231.95</v>
      </c>
    </row>
    <row r="463" spans="1:11" x14ac:dyDescent="0.25">
      <c r="A463" s="7">
        <v>2014</v>
      </c>
      <c r="B463" s="33" t="s">
        <v>380</v>
      </c>
      <c r="C463" s="33" t="s">
        <v>350</v>
      </c>
      <c r="D463" s="33" t="s">
        <v>351</v>
      </c>
      <c r="E463" s="34" t="s">
        <v>381</v>
      </c>
      <c r="F463" s="36">
        <v>17528.95</v>
      </c>
      <c r="G463" s="36">
        <v>0</v>
      </c>
      <c r="H463" s="36">
        <v>551</v>
      </c>
      <c r="I463" s="36">
        <v>32</v>
      </c>
      <c r="J463" s="36">
        <v>120</v>
      </c>
      <c r="K463" s="6">
        <f t="shared" si="7"/>
        <v>18231.95</v>
      </c>
    </row>
    <row r="464" spans="1:11" x14ac:dyDescent="0.25">
      <c r="A464" s="7">
        <v>2014</v>
      </c>
      <c r="B464" s="33" t="s">
        <v>360</v>
      </c>
      <c r="C464" s="33" t="s">
        <v>350</v>
      </c>
      <c r="D464" s="33" t="s">
        <v>351</v>
      </c>
      <c r="E464" s="34" t="s">
        <v>361</v>
      </c>
      <c r="F464" s="36">
        <v>17528.95</v>
      </c>
      <c r="G464" s="36">
        <v>0</v>
      </c>
      <c r="H464" s="36">
        <v>551</v>
      </c>
      <c r="I464" s="36">
        <v>32</v>
      </c>
      <c r="J464" s="36">
        <v>120</v>
      </c>
      <c r="K464" s="6">
        <f t="shared" si="7"/>
        <v>18231.95</v>
      </c>
    </row>
    <row r="465" spans="1:11" x14ac:dyDescent="0.25">
      <c r="A465" s="7">
        <v>2014</v>
      </c>
      <c r="B465" s="33" t="s">
        <v>368</v>
      </c>
      <c r="C465" s="33" t="s">
        <v>350</v>
      </c>
      <c r="D465" s="33" t="s">
        <v>351</v>
      </c>
      <c r="E465" s="34" t="s">
        <v>369</v>
      </c>
      <c r="F465" s="36">
        <v>17528.95</v>
      </c>
      <c r="G465" s="36">
        <v>0</v>
      </c>
      <c r="H465" s="36">
        <v>551</v>
      </c>
      <c r="I465" s="36">
        <v>32</v>
      </c>
      <c r="J465" s="36">
        <v>120</v>
      </c>
      <c r="K465" s="6">
        <f t="shared" si="7"/>
        <v>18231.95</v>
      </c>
    </row>
    <row r="466" spans="1:11" x14ac:dyDescent="0.25">
      <c r="A466" s="7">
        <v>2014</v>
      </c>
      <c r="B466" s="33" t="s">
        <v>358</v>
      </c>
      <c r="C466" s="33" t="s">
        <v>350</v>
      </c>
      <c r="D466" s="33" t="s">
        <v>351</v>
      </c>
      <c r="E466" s="34" t="s">
        <v>359</v>
      </c>
      <c r="F466" s="36">
        <v>17528.95</v>
      </c>
      <c r="G466" s="36">
        <v>0</v>
      </c>
      <c r="H466" s="36">
        <v>551</v>
      </c>
      <c r="I466" s="36">
        <v>32</v>
      </c>
      <c r="J466" s="36">
        <v>120</v>
      </c>
      <c r="K466" s="6">
        <f t="shared" si="7"/>
        <v>18231.95</v>
      </c>
    </row>
    <row r="467" spans="1:11" x14ac:dyDescent="0.25">
      <c r="A467" s="7">
        <v>2014</v>
      </c>
      <c r="B467" s="33" t="s">
        <v>362</v>
      </c>
      <c r="C467" s="33" t="s">
        <v>350</v>
      </c>
      <c r="D467" s="33" t="s">
        <v>351</v>
      </c>
      <c r="E467" s="34" t="s">
        <v>363</v>
      </c>
      <c r="F467" s="36">
        <v>17528.95</v>
      </c>
      <c r="G467" s="36">
        <v>0</v>
      </c>
      <c r="H467" s="36">
        <v>551</v>
      </c>
      <c r="I467" s="36">
        <v>32</v>
      </c>
      <c r="J467" s="36">
        <v>120</v>
      </c>
      <c r="K467" s="6">
        <f t="shared" si="7"/>
        <v>18231.95</v>
      </c>
    </row>
    <row r="468" spans="1:11" x14ac:dyDescent="0.25">
      <c r="A468" s="7">
        <v>2014</v>
      </c>
      <c r="B468" s="33" t="s">
        <v>374</v>
      </c>
      <c r="C468" s="33" t="s">
        <v>350</v>
      </c>
      <c r="D468" s="33" t="s">
        <v>351</v>
      </c>
      <c r="E468" s="34" t="s">
        <v>375</v>
      </c>
      <c r="F468" s="36">
        <v>17528.95</v>
      </c>
      <c r="G468" s="36">
        <v>0</v>
      </c>
      <c r="H468" s="36">
        <v>551</v>
      </c>
      <c r="I468" s="36">
        <v>32</v>
      </c>
      <c r="J468" s="36">
        <v>120</v>
      </c>
      <c r="K468" s="6">
        <f t="shared" si="7"/>
        <v>18231.95</v>
      </c>
    </row>
    <row r="469" spans="1:11" x14ac:dyDescent="0.25">
      <c r="A469" s="7">
        <v>2014</v>
      </c>
      <c r="B469" s="33" t="s">
        <v>364</v>
      </c>
      <c r="C469" s="33" t="s">
        <v>350</v>
      </c>
      <c r="D469" s="33" t="s">
        <v>351</v>
      </c>
      <c r="E469" s="34" t="s">
        <v>365</v>
      </c>
      <c r="F469" s="36">
        <v>17528.95</v>
      </c>
      <c r="G469" s="36">
        <v>0</v>
      </c>
      <c r="H469" s="36">
        <v>551</v>
      </c>
      <c r="I469" s="36">
        <v>32</v>
      </c>
      <c r="J469" s="36">
        <v>120</v>
      </c>
      <c r="K469" s="6">
        <f t="shared" si="7"/>
        <v>18231.95</v>
      </c>
    </row>
    <row r="470" spans="1:11" x14ac:dyDescent="0.25">
      <c r="A470" s="7">
        <v>2014</v>
      </c>
      <c r="B470" s="33" t="s">
        <v>366</v>
      </c>
      <c r="C470" s="33" t="s">
        <v>350</v>
      </c>
      <c r="D470" s="33" t="s">
        <v>351</v>
      </c>
      <c r="E470" s="34" t="s">
        <v>367</v>
      </c>
      <c r="F470" s="36">
        <v>17528.95</v>
      </c>
      <c r="G470" s="36">
        <v>0</v>
      </c>
      <c r="H470" s="36">
        <v>551</v>
      </c>
      <c r="I470" s="36">
        <v>32</v>
      </c>
      <c r="J470" s="36">
        <v>120</v>
      </c>
      <c r="K470" s="6">
        <f t="shared" si="7"/>
        <v>18231.95</v>
      </c>
    </row>
    <row r="471" spans="1:11" x14ac:dyDescent="0.25">
      <c r="A471" s="7">
        <v>2014</v>
      </c>
      <c r="B471" s="33" t="s">
        <v>372</v>
      </c>
      <c r="C471" s="33" t="s">
        <v>350</v>
      </c>
      <c r="D471" s="33" t="s">
        <v>351</v>
      </c>
      <c r="E471" s="34" t="s">
        <v>373</v>
      </c>
      <c r="F471" s="36">
        <v>17528.95</v>
      </c>
      <c r="G471" s="36">
        <v>0</v>
      </c>
      <c r="H471" s="36">
        <v>551</v>
      </c>
      <c r="I471" s="36">
        <v>32</v>
      </c>
      <c r="J471" s="36">
        <v>120</v>
      </c>
      <c r="K471" s="6">
        <f t="shared" si="7"/>
        <v>18231.95</v>
      </c>
    </row>
    <row r="472" spans="1:11" x14ac:dyDescent="0.25">
      <c r="A472" s="7">
        <v>2014</v>
      </c>
      <c r="B472" s="33" t="s">
        <v>370</v>
      </c>
      <c r="C472" s="33" t="s">
        <v>350</v>
      </c>
      <c r="D472" s="33" t="s">
        <v>351</v>
      </c>
      <c r="E472" s="34" t="s">
        <v>371</v>
      </c>
      <c r="F472" s="36">
        <v>17528.95</v>
      </c>
      <c r="G472" s="36">
        <v>0</v>
      </c>
      <c r="H472" s="36">
        <v>551</v>
      </c>
      <c r="I472" s="36">
        <v>32</v>
      </c>
      <c r="J472" s="36">
        <v>120</v>
      </c>
      <c r="K472" s="6">
        <f t="shared" si="7"/>
        <v>18231.95</v>
      </c>
    </row>
    <row r="473" spans="1:11" x14ac:dyDescent="0.25">
      <c r="A473" s="7">
        <v>2014</v>
      </c>
      <c r="B473" s="33" t="s">
        <v>356</v>
      </c>
      <c r="C473" s="33" t="s">
        <v>350</v>
      </c>
      <c r="D473" s="33" t="s">
        <v>351</v>
      </c>
      <c r="E473" s="34" t="s">
        <v>357</v>
      </c>
      <c r="F473" s="36">
        <v>17528.95</v>
      </c>
      <c r="G473" s="36">
        <v>0</v>
      </c>
      <c r="H473" s="36">
        <v>551</v>
      </c>
      <c r="I473" s="36">
        <v>32</v>
      </c>
      <c r="J473" s="36">
        <v>120</v>
      </c>
      <c r="K473" s="6">
        <f t="shared" si="7"/>
        <v>18231.95</v>
      </c>
    </row>
    <row r="474" spans="1:11" x14ac:dyDescent="0.25">
      <c r="A474" s="7">
        <v>2014</v>
      </c>
      <c r="B474" s="33" t="s">
        <v>354</v>
      </c>
      <c r="C474" s="33" t="s">
        <v>350</v>
      </c>
      <c r="D474" s="33" t="s">
        <v>351</v>
      </c>
      <c r="E474" s="34" t="s">
        <v>355</v>
      </c>
      <c r="F474" s="36">
        <v>17528.95</v>
      </c>
      <c r="G474" s="36">
        <v>0</v>
      </c>
      <c r="H474" s="36">
        <v>551</v>
      </c>
      <c r="I474" s="36">
        <v>32</v>
      </c>
      <c r="J474" s="36">
        <v>120</v>
      </c>
      <c r="K474" s="6">
        <f t="shared" si="7"/>
        <v>18231.95</v>
      </c>
    </row>
    <row r="475" spans="1:11" x14ac:dyDescent="0.25">
      <c r="A475" s="7">
        <v>2014</v>
      </c>
      <c r="B475" s="33" t="s">
        <v>349</v>
      </c>
      <c r="C475" s="33" t="s">
        <v>350</v>
      </c>
      <c r="D475" s="33" t="s">
        <v>351</v>
      </c>
      <c r="E475" s="34" t="s">
        <v>352</v>
      </c>
      <c r="F475" s="36">
        <v>17528.95</v>
      </c>
      <c r="G475" s="36">
        <v>0</v>
      </c>
      <c r="H475" s="36">
        <v>551</v>
      </c>
      <c r="I475" s="36">
        <v>32</v>
      </c>
      <c r="J475" s="36">
        <v>120</v>
      </c>
      <c r="K475" s="6">
        <f t="shared" si="7"/>
        <v>18231.95</v>
      </c>
    </row>
    <row r="476" spans="1:11" x14ac:dyDescent="0.25">
      <c r="A476" s="7">
        <v>2014</v>
      </c>
      <c r="B476" s="33" t="s">
        <v>399</v>
      </c>
      <c r="C476" s="33" t="s">
        <v>400</v>
      </c>
      <c r="D476" s="33" t="s">
        <v>401</v>
      </c>
      <c r="E476" s="34" t="s">
        <v>402</v>
      </c>
      <c r="F476" s="36">
        <v>18113</v>
      </c>
      <c r="G476" s="36">
        <v>0</v>
      </c>
      <c r="H476" s="36">
        <v>551</v>
      </c>
      <c r="I476" s="36">
        <v>32</v>
      </c>
      <c r="J476" s="36">
        <v>120</v>
      </c>
      <c r="K476" s="6">
        <f t="shared" si="7"/>
        <v>18816</v>
      </c>
    </row>
    <row r="477" spans="1:11" x14ac:dyDescent="0.25">
      <c r="A477" s="7">
        <v>2014</v>
      </c>
      <c r="B477" s="33" t="s">
        <v>395</v>
      </c>
      <c r="C477" s="33" t="s">
        <v>396</v>
      </c>
      <c r="D477" s="33" t="s">
        <v>397</v>
      </c>
      <c r="E477" s="34" t="s">
        <v>398</v>
      </c>
      <c r="F477" s="36">
        <v>19019.75</v>
      </c>
      <c r="G477" s="36">
        <v>0</v>
      </c>
      <c r="H477" s="36">
        <v>551</v>
      </c>
      <c r="I477" s="36">
        <v>32</v>
      </c>
      <c r="J477" s="36">
        <v>120</v>
      </c>
      <c r="K477" s="6">
        <f t="shared" si="7"/>
        <v>19722.75</v>
      </c>
    </row>
    <row r="478" spans="1:11" x14ac:dyDescent="0.25">
      <c r="A478" s="4">
        <v>2013</v>
      </c>
      <c r="B478" s="11" t="s">
        <v>288</v>
      </c>
      <c r="C478" s="11" t="s">
        <v>489</v>
      </c>
      <c r="D478" s="11" t="s">
        <v>290</v>
      </c>
      <c r="E478" s="12" t="s">
        <v>436</v>
      </c>
      <c r="F478" s="5">
        <v>12561.35</v>
      </c>
      <c r="G478" s="5">
        <v>0</v>
      </c>
      <c r="H478" s="5">
        <v>551</v>
      </c>
      <c r="I478" s="5">
        <v>32</v>
      </c>
      <c r="J478" s="5">
        <v>120</v>
      </c>
      <c r="K478" s="6">
        <f>SUM(F478:J478)</f>
        <v>13264.35</v>
      </c>
    </row>
    <row r="479" spans="1:11" x14ac:dyDescent="0.25">
      <c r="A479" s="4">
        <v>2013</v>
      </c>
      <c r="B479" s="11" t="s">
        <v>497</v>
      </c>
      <c r="C479" s="11" t="s">
        <v>482</v>
      </c>
      <c r="D479" s="11"/>
      <c r="E479" s="12" t="s">
        <v>483</v>
      </c>
      <c r="F479" s="5">
        <v>12877.15</v>
      </c>
      <c r="G479" s="5"/>
      <c r="H479" s="5"/>
      <c r="I479" s="5"/>
      <c r="J479" s="5"/>
      <c r="K479" s="6"/>
    </row>
    <row r="480" spans="1:11" x14ac:dyDescent="0.25">
      <c r="A480" s="4">
        <v>2013</v>
      </c>
      <c r="B480" s="11" t="s">
        <v>429</v>
      </c>
      <c r="C480" s="11" t="s">
        <v>484</v>
      </c>
      <c r="D480" s="11"/>
      <c r="E480" s="12" t="s">
        <v>430</v>
      </c>
      <c r="F480" s="5">
        <v>17877.150000000001</v>
      </c>
      <c r="G480" s="5"/>
      <c r="H480" s="5"/>
      <c r="I480" s="5"/>
      <c r="J480" s="5"/>
      <c r="K480" s="6"/>
    </row>
    <row r="481" spans="1:11" x14ac:dyDescent="0.25">
      <c r="A481" s="4">
        <v>2013</v>
      </c>
      <c r="B481" s="11" t="s">
        <v>431</v>
      </c>
      <c r="C481" s="11" t="s">
        <v>485</v>
      </c>
      <c r="D481" s="11"/>
      <c r="E481" s="12" t="s">
        <v>486</v>
      </c>
      <c r="F481" s="5">
        <v>15271.95</v>
      </c>
      <c r="G481" s="5"/>
      <c r="H481" s="5"/>
      <c r="I481" s="5"/>
      <c r="J481" s="5"/>
      <c r="K481" s="6"/>
    </row>
    <row r="482" spans="1:11" x14ac:dyDescent="0.25">
      <c r="A482" s="4">
        <v>2013</v>
      </c>
      <c r="B482" s="11" t="s">
        <v>433</v>
      </c>
      <c r="C482" s="11" t="s">
        <v>487</v>
      </c>
      <c r="D482" s="11"/>
      <c r="E482" s="12" t="s">
        <v>488</v>
      </c>
      <c r="F482" s="5">
        <v>13362.75</v>
      </c>
      <c r="G482" s="5"/>
      <c r="H482" s="5"/>
      <c r="I482" s="5"/>
      <c r="J482" s="5"/>
      <c r="K482" s="6"/>
    </row>
    <row r="483" spans="1:11" x14ac:dyDescent="0.25">
      <c r="A483" s="4">
        <v>2013</v>
      </c>
      <c r="B483" s="11" t="s">
        <v>435</v>
      </c>
      <c r="C483" s="11" t="s">
        <v>489</v>
      </c>
      <c r="D483" s="11"/>
      <c r="E483" s="12" t="s">
        <v>436</v>
      </c>
      <c r="F483" s="5">
        <v>12561.35</v>
      </c>
      <c r="G483" s="5"/>
      <c r="H483" s="5"/>
      <c r="I483" s="5"/>
      <c r="J483" s="5"/>
      <c r="K483" s="6"/>
    </row>
    <row r="484" spans="1:11" x14ac:dyDescent="0.25">
      <c r="A484" s="4">
        <v>2013</v>
      </c>
      <c r="B484" s="11" t="s">
        <v>437</v>
      </c>
      <c r="C484" s="11" t="s">
        <v>491</v>
      </c>
      <c r="D484" s="11"/>
      <c r="E484" s="12" t="s">
        <v>492</v>
      </c>
      <c r="F484" s="5">
        <v>11215</v>
      </c>
      <c r="G484" s="5"/>
      <c r="H484" s="5"/>
      <c r="I484" s="5"/>
      <c r="J484" s="5"/>
      <c r="K484" s="6"/>
    </row>
    <row r="485" spans="1:11" x14ac:dyDescent="0.25">
      <c r="A485" s="4">
        <v>2013</v>
      </c>
      <c r="B485" s="11" t="s">
        <v>439</v>
      </c>
      <c r="C485" s="11" t="s">
        <v>493</v>
      </c>
      <c r="D485" s="11"/>
      <c r="E485" s="12" t="s">
        <v>494</v>
      </c>
      <c r="F485" s="5">
        <v>9593.9</v>
      </c>
      <c r="G485" s="5"/>
      <c r="H485" s="5"/>
      <c r="I485" s="5"/>
      <c r="J485" s="5"/>
      <c r="K485" s="6"/>
    </row>
    <row r="486" spans="1:11" x14ac:dyDescent="0.25">
      <c r="A486" s="4">
        <v>2013</v>
      </c>
      <c r="B486" s="11" t="s">
        <v>295</v>
      </c>
      <c r="C486" s="11" t="s">
        <v>289</v>
      </c>
      <c r="D486" s="11" t="s">
        <v>290</v>
      </c>
      <c r="E486" s="12" t="s">
        <v>292</v>
      </c>
      <c r="F486" s="5">
        <v>14528.23</v>
      </c>
      <c r="G486" s="5">
        <v>0</v>
      </c>
      <c r="H486" s="5">
        <v>551</v>
      </c>
      <c r="I486" s="5">
        <v>32</v>
      </c>
      <c r="J486" s="5">
        <v>120</v>
      </c>
      <c r="K486" s="6">
        <f t="shared" ref="K486:K579" si="8">SUM(F486:J486)</f>
        <v>15231.23</v>
      </c>
    </row>
    <row r="487" spans="1:11" x14ac:dyDescent="0.25">
      <c r="A487" s="4">
        <v>2013</v>
      </c>
      <c r="B487" s="11" t="s">
        <v>301</v>
      </c>
      <c r="C487" s="11" t="s">
        <v>289</v>
      </c>
      <c r="D487" s="11" t="s">
        <v>290</v>
      </c>
      <c r="E487" s="12" t="s">
        <v>292</v>
      </c>
      <c r="F487" s="5">
        <v>14528.23</v>
      </c>
      <c r="G487" s="5">
        <v>0</v>
      </c>
      <c r="H487" s="5">
        <v>551</v>
      </c>
      <c r="I487" s="5">
        <v>32</v>
      </c>
      <c r="J487" s="5">
        <v>120</v>
      </c>
      <c r="K487" s="6">
        <f t="shared" si="8"/>
        <v>15231.23</v>
      </c>
    </row>
    <row r="488" spans="1:11" x14ac:dyDescent="0.25">
      <c r="A488" s="4">
        <v>2013</v>
      </c>
      <c r="B488" s="11" t="s">
        <v>299</v>
      </c>
      <c r="C488" s="11" t="s">
        <v>289</v>
      </c>
      <c r="D488" s="11" t="s">
        <v>290</v>
      </c>
      <c r="E488" s="12" t="s">
        <v>292</v>
      </c>
      <c r="F488" s="5">
        <v>14528.23</v>
      </c>
      <c r="G488" s="5">
        <v>0</v>
      </c>
      <c r="H488" s="5">
        <v>551</v>
      </c>
      <c r="I488" s="5">
        <v>32</v>
      </c>
      <c r="J488" s="5">
        <v>120</v>
      </c>
      <c r="K488" s="6">
        <f t="shared" si="8"/>
        <v>15231.23</v>
      </c>
    </row>
    <row r="489" spans="1:11" x14ac:dyDescent="0.25">
      <c r="A489" s="4">
        <v>2013</v>
      </c>
      <c r="B489" s="11" t="s">
        <v>475</v>
      </c>
      <c r="C489" s="11" t="s">
        <v>289</v>
      </c>
      <c r="D489" s="11" t="s">
        <v>290</v>
      </c>
      <c r="E489" s="12" t="s">
        <v>292</v>
      </c>
      <c r="F489" s="5">
        <v>14528.23</v>
      </c>
      <c r="G489" s="5"/>
      <c r="H489" s="5"/>
      <c r="I489" s="5"/>
      <c r="J489" s="5"/>
      <c r="K489" s="6"/>
    </row>
    <row r="490" spans="1:11" x14ac:dyDescent="0.25">
      <c r="A490" s="4">
        <v>2013</v>
      </c>
      <c r="B490" s="11" t="s">
        <v>297</v>
      </c>
      <c r="C490" s="11" t="s">
        <v>289</v>
      </c>
      <c r="D490" s="11" t="s">
        <v>290</v>
      </c>
      <c r="E490" s="12" t="s">
        <v>292</v>
      </c>
      <c r="F490" s="5">
        <v>14528.23</v>
      </c>
      <c r="G490" s="5">
        <v>0</v>
      </c>
      <c r="H490" s="5">
        <v>551</v>
      </c>
      <c r="I490" s="5">
        <v>32</v>
      </c>
      <c r="J490" s="5">
        <v>120</v>
      </c>
      <c r="K490" s="6">
        <f t="shared" si="8"/>
        <v>15231.23</v>
      </c>
    </row>
    <row r="491" spans="1:11" x14ac:dyDescent="0.25">
      <c r="A491" s="4">
        <v>2013</v>
      </c>
      <c r="B491" s="11" t="s">
        <v>405</v>
      </c>
      <c r="C491" s="11" t="s">
        <v>383</v>
      </c>
      <c r="D491" s="11" t="s">
        <v>384</v>
      </c>
      <c r="E491" s="12" t="s">
        <v>386</v>
      </c>
      <c r="F491" s="5">
        <v>12673.65</v>
      </c>
      <c r="G491" s="5"/>
      <c r="H491" s="5"/>
      <c r="I491" s="5"/>
      <c r="J491" s="5"/>
      <c r="K491" s="6"/>
    </row>
    <row r="492" spans="1:11" x14ac:dyDescent="0.25">
      <c r="A492" s="4">
        <v>2013</v>
      </c>
      <c r="B492" s="11" t="s">
        <v>391</v>
      </c>
      <c r="C492" s="11" t="s">
        <v>383</v>
      </c>
      <c r="D492" s="11" t="s">
        <v>384</v>
      </c>
      <c r="E492" s="12" t="s">
        <v>386</v>
      </c>
      <c r="F492" s="5">
        <v>12673.65</v>
      </c>
      <c r="G492" s="5">
        <v>0</v>
      </c>
      <c r="H492" s="5">
        <v>551</v>
      </c>
      <c r="I492" s="5">
        <v>32</v>
      </c>
      <c r="J492" s="5">
        <v>120</v>
      </c>
      <c r="K492" s="6">
        <f t="shared" si="8"/>
        <v>13376.65</v>
      </c>
    </row>
    <row r="493" spans="1:11" x14ac:dyDescent="0.25">
      <c r="A493" s="4">
        <v>2013</v>
      </c>
      <c r="B493" s="11" t="s">
        <v>393</v>
      </c>
      <c r="C493" s="11" t="s">
        <v>383</v>
      </c>
      <c r="D493" s="11" t="s">
        <v>384</v>
      </c>
      <c r="E493" s="12" t="s">
        <v>386</v>
      </c>
      <c r="F493" s="5">
        <v>12673.65</v>
      </c>
      <c r="G493" s="5">
        <v>0</v>
      </c>
      <c r="H493" s="5">
        <v>551</v>
      </c>
      <c r="I493" s="5">
        <v>32</v>
      </c>
      <c r="J493" s="5">
        <v>120</v>
      </c>
      <c r="K493" s="6">
        <f t="shared" si="8"/>
        <v>13376.65</v>
      </c>
    </row>
    <row r="494" spans="1:11" x14ac:dyDescent="0.25">
      <c r="A494" s="4">
        <v>2013</v>
      </c>
      <c r="B494" s="11" t="s">
        <v>407</v>
      </c>
      <c r="C494" s="11" t="s">
        <v>383</v>
      </c>
      <c r="D494" s="11" t="s">
        <v>384</v>
      </c>
      <c r="E494" s="12" t="s">
        <v>386</v>
      </c>
      <c r="F494" s="5">
        <v>12673.65</v>
      </c>
      <c r="G494" s="5"/>
      <c r="H494" s="5"/>
      <c r="I494" s="5"/>
      <c r="J494" s="5"/>
      <c r="K494" s="6"/>
    </row>
    <row r="495" spans="1:11" x14ac:dyDescent="0.25">
      <c r="A495" s="4">
        <v>2013</v>
      </c>
      <c r="B495" s="11" t="s">
        <v>409</v>
      </c>
      <c r="C495" s="11" t="s">
        <v>383</v>
      </c>
      <c r="D495" s="11" t="s">
        <v>384</v>
      </c>
      <c r="E495" s="12" t="s">
        <v>386</v>
      </c>
      <c r="F495" s="5">
        <v>12673.65</v>
      </c>
      <c r="G495" s="5"/>
      <c r="H495" s="5"/>
      <c r="I495" s="5"/>
      <c r="J495" s="5"/>
      <c r="K495" s="6"/>
    </row>
    <row r="496" spans="1:11" x14ac:dyDescent="0.25">
      <c r="A496" s="4">
        <v>2013</v>
      </c>
      <c r="B496" s="11" t="s">
        <v>411</v>
      </c>
      <c r="C496" s="11" t="s">
        <v>383</v>
      </c>
      <c r="D496" s="11" t="s">
        <v>384</v>
      </c>
      <c r="E496" s="12" t="s">
        <v>386</v>
      </c>
      <c r="F496" s="5">
        <v>12673.65</v>
      </c>
      <c r="G496" s="5"/>
      <c r="H496" s="5"/>
      <c r="I496" s="5"/>
      <c r="J496" s="5"/>
      <c r="K496" s="6"/>
    </row>
    <row r="497" spans="1:11" x14ac:dyDescent="0.25">
      <c r="A497" s="4">
        <v>2013</v>
      </c>
      <c r="B497" s="11" t="s">
        <v>413</v>
      </c>
      <c r="C497" s="11" t="s">
        <v>383</v>
      </c>
      <c r="D497" s="11" t="s">
        <v>384</v>
      </c>
      <c r="E497" s="12" t="s">
        <v>386</v>
      </c>
      <c r="F497" s="5">
        <v>12673.65</v>
      </c>
      <c r="G497" s="5"/>
      <c r="H497" s="5"/>
      <c r="I497" s="5"/>
      <c r="J497" s="5"/>
      <c r="K497" s="6"/>
    </row>
    <row r="498" spans="1:11" x14ac:dyDescent="0.25">
      <c r="A498" s="4">
        <v>2013</v>
      </c>
      <c r="B498" s="11" t="s">
        <v>415</v>
      </c>
      <c r="C498" s="11" t="s">
        <v>383</v>
      </c>
      <c r="D498" s="11" t="s">
        <v>384</v>
      </c>
      <c r="E498" s="12" t="s">
        <v>386</v>
      </c>
      <c r="F498" s="5">
        <v>12673.65</v>
      </c>
      <c r="G498" s="5"/>
      <c r="H498" s="5"/>
      <c r="I498" s="5"/>
      <c r="J498" s="5"/>
      <c r="K498" s="6"/>
    </row>
    <row r="499" spans="1:11" x14ac:dyDescent="0.25">
      <c r="A499" s="4">
        <v>2013</v>
      </c>
      <c r="B499" s="11" t="s">
        <v>417</v>
      </c>
      <c r="C499" s="11" t="s">
        <v>383</v>
      </c>
      <c r="D499" s="11" t="s">
        <v>384</v>
      </c>
      <c r="E499" s="12" t="s">
        <v>386</v>
      </c>
      <c r="F499" s="5">
        <v>12673.65</v>
      </c>
      <c r="G499" s="5"/>
      <c r="H499" s="5"/>
      <c r="I499" s="5"/>
      <c r="J499" s="5"/>
      <c r="K499" s="6"/>
    </row>
    <row r="500" spans="1:11" x14ac:dyDescent="0.25">
      <c r="A500" s="4">
        <v>2013</v>
      </c>
      <c r="B500" s="11" t="s">
        <v>419</v>
      </c>
      <c r="C500" s="11" t="s">
        <v>383</v>
      </c>
      <c r="D500" s="11" t="s">
        <v>384</v>
      </c>
      <c r="E500" s="12" t="s">
        <v>386</v>
      </c>
      <c r="F500" s="5">
        <v>12673.65</v>
      </c>
      <c r="G500" s="5"/>
      <c r="H500" s="5"/>
      <c r="I500" s="5"/>
      <c r="J500" s="5"/>
      <c r="K500" s="6"/>
    </row>
    <row r="501" spans="1:11" x14ac:dyDescent="0.25">
      <c r="A501" s="4">
        <v>2013</v>
      </c>
      <c r="B501" s="11" t="s">
        <v>421</v>
      </c>
      <c r="C501" s="11" t="s">
        <v>383</v>
      </c>
      <c r="D501" s="11" t="s">
        <v>384</v>
      </c>
      <c r="E501" s="12" t="s">
        <v>386</v>
      </c>
      <c r="F501" s="5">
        <v>12673.65</v>
      </c>
      <c r="G501" s="5"/>
      <c r="H501" s="5"/>
      <c r="I501" s="5"/>
      <c r="J501" s="5"/>
      <c r="K501" s="6"/>
    </row>
    <row r="502" spans="1:11" x14ac:dyDescent="0.25">
      <c r="A502" s="4">
        <v>2013</v>
      </c>
      <c r="B502" s="11" t="s">
        <v>423</v>
      </c>
      <c r="C502" s="11" t="s">
        <v>383</v>
      </c>
      <c r="D502" s="11" t="s">
        <v>384</v>
      </c>
      <c r="E502" s="12" t="s">
        <v>386</v>
      </c>
      <c r="F502" s="5">
        <v>12673.65</v>
      </c>
      <c r="G502" s="5"/>
      <c r="H502" s="5"/>
      <c r="I502" s="5"/>
      <c r="J502" s="5"/>
      <c r="K502" s="6"/>
    </row>
    <row r="503" spans="1:11" x14ac:dyDescent="0.25">
      <c r="A503" s="4">
        <v>2013</v>
      </c>
      <c r="B503" s="11" t="s">
        <v>387</v>
      </c>
      <c r="C503" s="11" t="s">
        <v>383</v>
      </c>
      <c r="D503" s="11" t="s">
        <v>384</v>
      </c>
      <c r="E503" s="12" t="s">
        <v>386</v>
      </c>
      <c r="F503" s="5">
        <v>12673.65</v>
      </c>
      <c r="G503" s="5">
        <v>0</v>
      </c>
      <c r="H503" s="5">
        <v>551</v>
      </c>
      <c r="I503" s="5">
        <v>32</v>
      </c>
      <c r="J503" s="5">
        <v>120</v>
      </c>
      <c r="K503" s="6">
        <f t="shared" si="8"/>
        <v>13376.65</v>
      </c>
    </row>
    <row r="504" spans="1:11" x14ac:dyDescent="0.25">
      <c r="A504" s="4">
        <v>2013</v>
      </c>
      <c r="B504" s="11" t="s">
        <v>382</v>
      </c>
      <c r="C504" s="11" t="s">
        <v>383</v>
      </c>
      <c r="D504" s="11" t="s">
        <v>384</v>
      </c>
      <c r="E504" s="12" t="s">
        <v>386</v>
      </c>
      <c r="F504" s="5">
        <v>12673.65</v>
      </c>
      <c r="G504" s="5">
        <v>0</v>
      </c>
      <c r="H504" s="5">
        <v>551</v>
      </c>
      <c r="I504" s="5">
        <v>32</v>
      </c>
      <c r="J504" s="5">
        <v>120</v>
      </c>
      <c r="K504" s="6">
        <f t="shared" si="8"/>
        <v>13376.65</v>
      </c>
    </row>
    <row r="505" spans="1:11" x14ac:dyDescent="0.25">
      <c r="A505" s="4">
        <v>2013</v>
      </c>
      <c r="B505" s="11" t="s">
        <v>389</v>
      </c>
      <c r="C505" s="11" t="s">
        <v>383</v>
      </c>
      <c r="D505" s="11" t="s">
        <v>384</v>
      </c>
      <c r="E505" s="12" t="s">
        <v>386</v>
      </c>
      <c r="F505" s="5">
        <v>12673.65</v>
      </c>
      <c r="G505" s="5">
        <v>0</v>
      </c>
      <c r="H505" s="5">
        <v>551</v>
      </c>
      <c r="I505" s="5">
        <v>32</v>
      </c>
      <c r="J505" s="5">
        <v>120</v>
      </c>
      <c r="K505" s="6">
        <f t="shared" si="8"/>
        <v>13376.65</v>
      </c>
    </row>
    <row r="506" spans="1:11" x14ac:dyDescent="0.25">
      <c r="A506" s="4">
        <v>2013</v>
      </c>
      <c r="B506" s="11" t="s">
        <v>337</v>
      </c>
      <c r="C506" s="11" t="s">
        <v>331</v>
      </c>
      <c r="D506" s="11" t="s">
        <v>332</v>
      </c>
      <c r="E506" s="12" t="s">
        <v>334</v>
      </c>
      <c r="F506" s="5">
        <v>13291.95</v>
      </c>
      <c r="G506" s="5">
        <v>0</v>
      </c>
      <c r="H506" s="5">
        <v>551</v>
      </c>
      <c r="I506" s="5">
        <v>32</v>
      </c>
      <c r="J506" s="5">
        <v>120</v>
      </c>
      <c r="K506" s="6">
        <f t="shared" si="8"/>
        <v>13994.95</v>
      </c>
    </row>
    <row r="507" spans="1:11" x14ac:dyDescent="0.25">
      <c r="A507" s="4">
        <v>2013</v>
      </c>
      <c r="B507" s="11" t="s">
        <v>447</v>
      </c>
      <c r="C507" s="11" t="s">
        <v>331</v>
      </c>
      <c r="D507" s="11" t="s">
        <v>332</v>
      </c>
      <c r="E507" s="12" t="s">
        <v>334</v>
      </c>
      <c r="F507" s="5">
        <v>13291.95</v>
      </c>
      <c r="G507" s="5"/>
      <c r="H507" s="5"/>
      <c r="I507" s="5"/>
      <c r="J507" s="5"/>
      <c r="K507" s="6"/>
    </row>
    <row r="508" spans="1:11" x14ac:dyDescent="0.25">
      <c r="A508" s="4">
        <v>2013</v>
      </c>
      <c r="B508" s="11" t="s">
        <v>449</v>
      </c>
      <c r="C508" s="11" t="s">
        <v>331</v>
      </c>
      <c r="D508" s="11" t="s">
        <v>332</v>
      </c>
      <c r="E508" s="12" t="s">
        <v>334</v>
      </c>
      <c r="F508" s="5">
        <v>13291.95</v>
      </c>
      <c r="G508" s="5"/>
      <c r="H508" s="5"/>
      <c r="I508" s="5"/>
      <c r="J508" s="5"/>
      <c r="K508" s="6"/>
    </row>
    <row r="509" spans="1:11" x14ac:dyDescent="0.25">
      <c r="A509" s="4">
        <v>2013</v>
      </c>
      <c r="B509" s="11" t="s">
        <v>451</v>
      </c>
      <c r="C509" s="11" t="s">
        <v>331</v>
      </c>
      <c r="D509" s="11" t="s">
        <v>332</v>
      </c>
      <c r="E509" s="12" t="s">
        <v>334</v>
      </c>
      <c r="F509" s="5">
        <v>13291.95</v>
      </c>
      <c r="G509" s="5"/>
      <c r="H509" s="5"/>
      <c r="I509" s="5"/>
      <c r="J509" s="5"/>
      <c r="K509" s="6"/>
    </row>
    <row r="510" spans="1:11" x14ac:dyDescent="0.25">
      <c r="A510" s="4">
        <v>2013</v>
      </c>
      <c r="B510" s="11" t="s">
        <v>453</v>
      </c>
      <c r="C510" s="11" t="s">
        <v>331</v>
      </c>
      <c r="D510" s="11" t="s">
        <v>332</v>
      </c>
      <c r="E510" s="12" t="s">
        <v>334</v>
      </c>
      <c r="F510" s="5">
        <v>13291.95</v>
      </c>
      <c r="G510" s="5"/>
      <c r="H510" s="5"/>
      <c r="I510" s="5"/>
      <c r="J510" s="5"/>
      <c r="K510" s="6"/>
    </row>
    <row r="511" spans="1:11" x14ac:dyDescent="0.25">
      <c r="A511" s="4">
        <v>2013</v>
      </c>
      <c r="B511" s="11" t="s">
        <v>455</v>
      </c>
      <c r="C511" s="11" t="s">
        <v>331</v>
      </c>
      <c r="D511" s="11" t="s">
        <v>332</v>
      </c>
      <c r="E511" s="12" t="s">
        <v>334</v>
      </c>
      <c r="F511" s="5">
        <v>13291.95</v>
      </c>
      <c r="G511" s="5"/>
      <c r="H511" s="5"/>
      <c r="I511" s="5"/>
      <c r="J511" s="5"/>
      <c r="K511" s="6"/>
    </row>
    <row r="512" spans="1:11" x14ac:dyDescent="0.25">
      <c r="A512" s="4">
        <v>2013</v>
      </c>
      <c r="B512" s="11" t="s">
        <v>457</v>
      </c>
      <c r="C512" s="11" t="s">
        <v>331</v>
      </c>
      <c r="D512" s="11" t="s">
        <v>332</v>
      </c>
      <c r="E512" s="12" t="s">
        <v>334</v>
      </c>
      <c r="F512" s="5">
        <v>13291.95</v>
      </c>
      <c r="G512" s="5"/>
      <c r="H512" s="5"/>
      <c r="I512" s="5"/>
      <c r="J512" s="5"/>
      <c r="K512" s="6"/>
    </row>
    <row r="513" spans="1:11" x14ac:dyDescent="0.25">
      <c r="A513" s="4">
        <v>2013</v>
      </c>
      <c r="B513" s="11" t="s">
        <v>345</v>
      </c>
      <c r="C513" s="11" t="s">
        <v>331</v>
      </c>
      <c r="D513" s="11" t="s">
        <v>332</v>
      </c>
      <c r="E513" s="12" t="s">
        <v>334</v>
      </c>
      <c r="F513" s="5">
        <v>13291.95</v>
      </c>
      <c r="G513" s="5">
        <v>0</v>
      </c>
      <c r="H513" s="5">
        <v>551</v>
      </c>
      <c r="I513" s="5">
        <v>32</v>
      </c>
      <c r="J513" s="5">
        <v>120</v>
      </c>
      <c r="K513" s="6">
        <f t="shared" si="8"/>
        <v>13994.95</v>
      </c>
    </row>
    <row r="514" spans="1:11" x14ac:dyDescent="0.25">
      <c r="A514" s="4">
        <v>2013</v>
      </c>
      <c r="B514" s="11" t="s">
        <v>341</v>
      </c>
      <c r="C514" s="11" t="s">
        <v>331</v>
      </c>
      <c r="D514" s="11" t="s">
        <v>332</v>
      </c>
      <c r="E514" s="12" t="s">
        <v>334</v>
      </c>
      <c r="F514" s="5">
        <v>13291.95</v>
      </c>
      <c r="G514" s="5">
        <v>0</v>
      </c>
      <c r="H514" s="5">
        <v>551</v>
      </c>
      <c r="I514" s="5">
        <v>32</v>
      </c>
      <c r="J514" s="5">
        <v>120</v>
      </c>
      <c r="K514" s="6">
        <f t="shared" si="8"/>
        <v>13994.95</v>
      </c>
    </row>
    <row r="515" spans="1:11" x14ac:dyDescent="0.25">
      <c r="A515" s="4">
        <v>2013</v>
      </c>
      <c r="B515" s="11" t="s">
        <v>343</v>
      </c>
      <c r="C515" s="11" t="s">
        <v>331</v>
      </c>
      <c r="D515" s="11" t="s">
        <v>332</v>
      </c>
      <c r="E515" s="12" t="s">
        <v>334</v>
      </c>
      <c r="F515" s="5">
        <v>13291.95</v>
      </c>
      <c r="G515" s="5">
        <v>0</v>
      </c>
      <c r="H515" s="5">
        <v>551</v>
      </c>
      <c r="I515" s="5">
        <v>32</v>
      </c>
      <c r="J515" s="5">
        <v>120</v>
      </c>
      <c r="K515" s="6">
        <f t="shared" si="8"/>
        <v>13994.95</v>
      </c>
    </row>
    <row r="516" spans="1:11" x14ac:dyDescent="0.25">
      <c r="A516" s="4">
        <v>2013</v>
      </c>
      <c r="B516" s="11" t="s">
        <v>347</v>
      </c>
      <c r="C516" s="11" t="s">
        <v>331</v>
      </c>
      <c r="D516" s="11" t="s">
        <v>332</v>
      </c>
      <c r="E516" s="12" t="s">
        <v>334</v>
      </c>
      <c r="F516" s="5">
        <v>13291.95</v>
      </c>
      <c r="G516" s="5">
        <v>0</v>
      </c>
      <c r="H516" s="5">
        <v>551</v>
      </c>
      <c r="I516" s="5">
        <v>32</v>
      </c>
      <c r="J516" s="5">
        <v>120</v>
      </c>
      <c r="K516" s="6">
        <f t="shared" si="8"/>
        <v>13994.95</v>
      </c>
    </row>
    <row r="517" spans="1:11" x14ac:dyDescent="0.25">
      <c r="A517" s="4">
        <v>2013</v>
      </c>
      <c r="B517" s="11" t="s">
        <v>330</v>
      </c>
      <c r="C517" s="11" t="s">
        <v>331</v>
      </c>
      <c r="D517" s="11" t="s">
        <v>332</v>
      </c>
      <c r="E517" s="12" t="s">
        <v>334</v>
      </c>
      <c r="F517" s="5">
        <v>13291.95</v>
      </c>
      <c r="G517" s="5">
        <v>0</v>
      </c>
      <c r="H517" s="5">
        <v>551</v>
      </c>
      <c r="I517" s="5">
        <v>32</v>
      </c>
      <c r="J517" s="5">
        <v>120</v>
      </c>
      <c r="K517" s="6">
        <f t="shared" si="8"/>
        <v>13994.95</v>
      </c>
    </row>
    <row r="518" spans="1:11" x14ac:dyDescent="0.25">
      <c r="A518" s="4">
        <v>2013</v>
      </c>
      <c r="B518" s="11" t="s">
        <v>335</v>
      </c>
      <c r="C518" s="11" t="s">
        <v>331</v>
      </c>
      <c r="D518" s="11" t="s">
        <v>332</v>
      </c>
      <c r="E518" s="12" t="s">
        <v>334</v>
      </c>
      <c r="F518" s="5">
        <v>13291.95</v>
      </c>
      <c r="G518" s="5">
        <v>0</v>
      </c>
      <c r="H518" s="5">
        <v>551</v>
      </c>
      <c r="I518" s="5">
        <v>32</v>
      </c>
      <c r="J518" s="5">
        <v>120</v>
      </c>
      <c r="K518" s="6">
        <f t="shared" si="8"/>
        <v>13994.95</v>
      </c>
    </row>
    <row r="519" spans="1:11" x14ac:dyDescent="0.25">
      <c r="A519" s="4">
        <v>2013</v>
      </c>
      <c r="B519" s="11" t="s">
        <v>403</v>
      </c>
      <c r="C519" s="11" t="s">
        <v>331</v>
      </c>
      <c r="D519" s="11" t="s">
        <v>332</v>
      </c>
      <c r="E519" s="12" t="s">
        <v>334</v>
      </c>
      <c r="F519" s="5">
        <v>13291.95</v>
      </c>
      <c r="G519" s="5"/>
      <c r="H519" s="5"/>
      <c r="I519" s="5"/>
      <c r="J519" s="5"/>
      <c r="K519" s="6"/>
    </row>
    <row r="520" spans="1:11" x14ac:dyDescent="0.25">
      <c r="A520" s="4">
        <v>2013</v>
      </c>
      <c r="B520" s="11" t="s">
        <v>339</v>
      </c>
      <c r="C520" s="11" t="s">
        <v>331</v>
      </c>
      <c r="D520" s="11" t="s">
        <v>332</v>
      </c>
      <c r="E520" s="12" t="s">
        <v>334</v>
      </c>
      <c r="F520" s="5">
        <v>13291.95</v>
      </c>
      <c r="G520" s="5">
        <v>0</v>
      </c>
      <c r="H520" s="5">
        <v>551</v>
      </c>
      <c r="I520" s="5">
        <v>32</v>
      </c>
      <c r="J520" s="5">
        <v>120</v>
      </c>
      <c r="K520" s="6">
        <f t="shared" si="8"/>
        <v>13994.95</v>
      </c>
    </row>
    <row r="521" spans="1:11" x14ac:dyDescent="0.25">
      <c r="A521" s="4">
        <v>2013</v>
      </c>
      <c r="B521" s="11" t="s">
        <v>312</v>
      </c>
      <c r="C521" s="11" t="s">
        <v>304</v>
      </c>
      <c r="D521" s="11" t="s">
        <v>305</v>
      </c>
      <c r="E521" s="12" t="s">
        <v>307</v>
      </c>
      <c r="F521" s="5">
        <v>13910.6</v>
      </c>
      <c r="G521" s="5">
        <v>0</v>
      </c>
      <c r="H521" s="5">
        <v>551</v>
      </c>
      <c r="I521" s="5">
        <v>32</v>
      </c>
      <c r="J521" s="5">
        <v>120</v>
      </c>
      <c r="K521" s="6">
        <f t="shared" si="8"/>
        <v>14613.6</v>
      </c>
    </row>
    <row r="522" spans="1:11" x14ac:dyDescent="0.25">
      <c r="A522" s="4">
        <v>2013</v>
      </c>
      <c r="B522" s="11" t="s">
        <v>443</v>
      </c>
      <c r="C522" s="11" t="s">
        <v>304</v>
      </c>
      <c r="D522" s="11" t="s">
        <v>305</v>
      </c>
      <c r="E522" s="12" t="s">
        <v>496</v>
      </c>
      <c r="F522" s="5">
        <v>13910.6</v>
      </c>
      <c r="G522" s="5"/>
      <c r="H522" s="5"/>
      <c r="I522" s="5"/>
      <c r="J522" s="5"/>
      <c r="K522" s="6"/>
    </row>
    <row r="523" spans="1:11" x14ac:dyDescent="0.25">
      <c r="A523" s="4">
        <v>2013</v>
      </c>
      <c r="B523" s="11" t="s">
        <v>314</v>
      </c>
      <c r="C523" s="11" t="s">
        <v>304</v>
      </c>
      <c r="D523" s="11" t="s">
        <v>305</v>
      </c>
      <c r="E523" s="12" t="s">
        <v>307</v>
      </c>
      <c r="F523" s="5">
        <v>13910.6</v>
      </c>
      <c r="G523" s="5">
        <v>0</v>
      </c>
      <c r="H523" s="5">
        <v>551</v>
      </c>
      <c r="I523" s="5">
        <v>32</v>
      </c>
      <c r="J523" s="5">
        <v>120</v>
      </c>
      <c r="K523" s="6">
        <f t="shared" si="8"/>
        <v>14613.6</v>
      </c>
    </row>
    <row r="524" spans="1:11" x14ac:dyDescent="0.25">
      <c r="A524" s="4">
        <v>2013</v>
      </c>
      <c r="B524" s="11" t="s">
        <v>316</v>
      </c>
      <c r="C524" s="11" t="s">
        <v>304</v>
      </c>
      <c r="D524" s="11" t="s">
        <v>305</v>
      </c>
      <c r="E524" s="12" t="s">
        <v>307</v>
      </c>
      <c r="F524" s="5">
        <v>13910.6</v>
      </c>
      <c r="G524" s="5">
        <v>0</v>
      </c>
      <c r="H524" s="5">
        <v>551</v>
      </c>
      <c r="I524" s="5">
        <v>32</v>
      </c>
      <c r="J524" s="5">
        <v>120</v>
      </c>
      <c r="K524" s="6">
        <f t="shared" si="8"/>
        <v>14613.6</v>
      </c>
    </row>
    <row r="525" spans="1:11" x14ac:dyDescent="0.25">
      <c r="A525" s="4">
        <v>2013</v>
      </c>
      <c r="B525" s="11" t="s">
        <v>318</v>
      </c>
      <c r="C525" s="11" t="s">
        <v>304</v>
      </c>
      <c r="D525" s="11" t="s">
        <v>305</v>
      </c>
      <c r="E525" s="12" t="s">
        <v>307</v>
      </c>
      <c r="F525" s="5">
        <v>13910.6</v>
      </c>
      <c r="G525" s="5"/>
      <c r="H525" s="5"/>
      <c r="I525" s="5"/>
      <c r="J525" s="5"/>
      <c r="K525" s="6"/>
    </row>
    <row r="526" spans="1:11" x14ac:dyDescent="0.25">
      <c r="A526" s="4">
        <v>2013</v>
      </c>
      <c r="B526" s="11" t="s">
        <v>445</v>
      </c>
      <c r="C526" s="11" t="s">
        <v>304</v>
      </c>
      <c r="D526" s="11" t="s">
        <v>305</v>
      </c>
      <c r="E526" s="12" t="s">
        <v>307</v>
      </c>
      <c r="F526" s="5">
        <v>13910.6</v>
      </c>
      <c r="G526" s="5"/>
      <c r="H526" s="5"/>
      <c r="I526" s="5"/>
      <c r="J526" s="5"/>
      <c r="K526" s="6"/>
    </row>
    <row r="527" spans="1:11" x14ac:dyDescent="0.25">
      <c r="A527" s="4">
        <v>2013</v>
      </c>
      <c r="B527" s="11" t="s">
        <v>320</v>
      </c>
      <c r="C527" s="11" t="s">
        <v>304</v>
      </c>
      <c r="D527" s="11" t="s">
        <v>305</v>
      </c>
      <c r="E527" s="12" t="s">
        <v>307</v>
      </c>
      <c r="F527" s="5">
        <v>13910.6</v>
      </c>
      <c r="G527" s="5">
        <v>0</v>
      </c>
      <c r="H527" s="5">
        <v>551</v>
      </c>
      <c r="I527" s="5">
        <v>32</v>
      </c>
      <c r="J527" s="5">
        <v>120</v>
      </c>
      <c r="K527" s="6">
        <f t="shared" si="8"/>
        <v>14613.6</v>
      </c>
    </row>
    <row r="528" spans="1:11" x14ac:dyDescent="0.25">
      <c r="A528" s="4">
        <v>2013</v>
      </c>
      <c r="B528" s="11" t="s">
        <v>322</v>
      </c>
      <c r="C528" s="11" t="s">
        <v>304</v>
      </c>
      <c r="D528" s="11" t="s">
        <v>305</v>
      </c>
      <c r="E528" s="12" t="s">
        <v>307</v>
      </c>
      <c r="F528" s="5">
        <v>13910.6</v>
      </c>
      <c r="G528" s="5"/>
      <c r="H528" s="5"/>
      <c r="I528" s="5"/>
      <c r="J528" s="5"/>
      <c r="K528" s="6"/>
    </row>
    <row r="529" spans="1:11" x14ac:dyDescent="0.25">
      <c r="A529" s="4">
        <v>2013</v>
      </c>
      <c r="B529" s="11" t="s">
        <v>324</v>
      </c>
      <c r="C529" s="11" t="s">
        <v>304</v>
      </c>
      <c r="D529" s="11" t="s">
        <v>305</v>
      </c>
      <c r="E529" s="12" t="s">
        <v>307</v>
      </c>
      <c r="F529" s="5">
        <v>13910.6</v>
      </c>
      <c r="G529" s="5"/>
      <c r="H529" s="5"/>
      <c r="I529" s="5"/>
      <c r="J529" s="5"/>
      <c r="K529" s="6"/>
    </row>
    <row r="530" spans="1:11" x14ac:dyDescent="0.25">
      <c r="A530" s="4">
        <v>2013</v>
      </c>
      <c r="B530" s="11" t="s">
        <v>326</v>
      </c>
      <c r="C530" s="11" t="s">
        <v>304</v>
      </c>
      <c r="D530" s="11" t="s">
        <v>305</v>
      </c>
      <c r="E530" s="12" t="s">
        <v>307</v>
      </c>
      <c r="F530" s="5">
        <v>13910.6</v>
      </c>
      <c r="G530" s="5"/>
      <c r="H530" s="5"/>
      <c r="I530" s="5"/>
      <c r="J530" s="5"/>
      <c r="K530" s="6"/>
    </row>
    <row r="531" spans="1:11" x14ac:dyDescent="0.25">
      <c r="A531" s="4">
        <v>2013</v>
      </c>
      <c r="B531" s="11" t="s">
        <v>328</v>
      </c>
      <c r="C531" s="11" t="s">
        <v>304</v>
      </c>
      <c r="D531" s="11" t="s">
        <v>305</v>
      </c>
      <c r="E531" s="12" t="s">
        <v>307</v>
      </c>
      <c r="F531" s="5">
        <v>13910.6</v>
      </c>
      <c r="G531" s="5"/>
      <c r="H531" s="5"/>
      <c r="I531" s="5"/>
      <c r="J531" s="5"/>
      <c r="K531" s="6"/>
    </row>
    <row r="532" spans="1:11" x14ac:dyDescent="0.25">
      <c r="A532" s="4">
        <v>2013</v>
      </c>
      <c r="B532" s="11" t="s">
        <v>310</v>
      </c>
      <c r="C532" s="11" t="s">
        <v>304</v>
      </c>
      <c r="D532" s="11" t="s">
        <v>305</v>
      </c>
      <c r="E532" s="12" t="s">
        <v>307</v>
      </c>
      <c r="F532" s="5">
        <v>13910.6</v>
      </c>
      <c r="G532" s="5">
        <v>0</v>
      </c>
      <c r="H532" s="5">
        <v>551</v>
      </c>
      <c r="I532" s="5">
        <v>32</v>
      </c>
      <c r="J532" s="5">
        <v>120</v>
      </c>
      <c r="K532" s="6">
        <f t="shared" si="8"/>
        <v>14613.6</v>
      </c>
    </row>
    <row r="533" spans="1:11" x14ac:dyDescent="0.25">
      <c r="A533" s="4">
        <v>2013</v>
      </c>
      <c r="B533" s="11" t="s">
        <v>308</v>
      </c>
      <c r="C533" s="11" t="s">
        <v>304</v>
      </c>
      <c r="D533" s="11" t="s">
        <v>305</v>
      </c>
      <c r="E533" s="12" t="s">
        <v>307</v>
      </c>
      <c r="F533" s="5">
        <v>13910.6</v>
      </c>
      <c r="G533" s="5">
        <v>0</v>
      </c>
      <c r="H533" s="5">
        <v>551</v>
      </c>
      <c r="I533" s="5">
        <v>32</v>
      </c>
      <c r="J533" s="5">
        <v>120</v>
      </c>
      <c r="K533" s="6">
        <f t="shared" si="8"/>
        <v>14613.6</v>
      </c>
    </row>
    <row r="534" spans="1:11" x14ac:dyDescent="0.25">
      <c r="A534" s="4">
        <v>2013</v>
      </c>
      <c r="B534" s="11" t="s">
        <v>303</v>
      </c>
      <c r="C534" s="11" t="s">
        <v>304</v>
      </c>
      <c r="D534" s="11" t="s">
        <v>305</v>
      </c>
      <c r="E534" s="12" t="s">
        <v>307</v>
      </c>
      <c r="F534" s="5">
        <v>13910.6</v>
      </c>
      <c r="G534" s="5">
        <v>0</v>
      </c>
      <c r="H534" s="5">
        <v>551</v>
      </c>
      <c r="I534" s="5">
        <v>32</v>
      </c>
      <c r="J534" s="5">
        <v>120</v>
      </c>
      <c r="K534" s="6">
        <f t="shared" si="8"/>
        <v>14613.6</v>
      </c>
    </row>
    <row r="535" spans="1:11" x14ac:dyDescent="0.25">
      <c r="A535" s="4">
        <v>2013</v>
      </c>
      <c r="B535" s="11" t="s">
        <v>441</v>
      </c>
      <c r="C535" s="11" t="s">
        <v>304</v>
      </c>
      <c r="D535" s="11" t="s">
        <v>305</v>
      </c>
      <c r="E535" s="12" t="s">
        <v>307</v>
      </c>
      <c r="F535" s="5">
        <v>13910.6</v>
      </c>
      <c r="G535" s="5"/>
      <c r="H535" s="5"/>
      <c r="I535" s="5"/>
      <c r="J535" s="5"/>
      <c r="K535" s="6"/>
    </row>
    <row r="536" spans="1:11" x14ac:dyDescent="0.25">
      <c r="A536" s="4">
        <v>2013</v>
      </c>
      <c r="B536" s="11" t="s">
        <v>293</v>
      </c>
      <c r="C536" s="11" t="s">
        <v>289</v>
      </c>
      <c r="D536" s="11"/>
      <c r="E536" s="12" t="s">
        <v>353</v>
      </c>
      <c r="F536" s="5">
        <v>14528.23</v>
      </c>
      <c r="G536" s="5">
        <v>0</v>
      </c>
      <c r="H536" s="5">
        <v>551</v>
      </c>
      <c r="I536" s="5">
        <v>32</v>
      </c>
      <c r="J536" s="5">
        <v>120</v>
      </c>
      <c r="K536" s="6">
        <f t="shared" si="8"/>
        <v>15231.23</v>
      </c>
    </row>
    <row r="537" spans="1:11" x14ac:dyDescent="0.25">
      <c r="A537" s="4">
        <v>2013</v>
      </c>
      <c r="B537" s="11" t="s">
        <v>378</v>
      </c>
      <c r="C537" s="11" t="s">
        <v>350</v>
      </c>
      <c r="D537" s="11" t="s">
        <v>351</v>
      </c>
      <c r="E537" s="12" t="s">
        <v>353</v>
      </c>
      <c r="F537" s="5">
        <v>14528.25</v>
      </c>
      <c r="G537" s="5">
        <v>0</v>
      </c>
      <c r="H537" s="5">
        <v>551</v>
      </c>
      <c r="I537" s="5">
        <v>32</v>
      </c>
      <c r="J537" s="5">
        <v>120</v>
      </c>
      <c r="K537" s="6">
        <f t="shared" si="8"/>
        <v>15231.25</v>
      </c>
    </row>
    <row r="538" spans="1:11" x14ac:dyDescent="0.25">
      <c r="A538" s="4">
        <v>2013</v>
      </c>
      <c r="B538" s="11" t="s">
        <v>380</v>
      </c>
      <c r="C538" s="11" t="s">
        <v>350</v>
      </c>
      <c r="D538" s="11" t="s">
        <v>351</v>
      </c>
      <c r="E538" s="12" t="s">
        <v>353</v>
      </c>
      <c r="F538" s="5">
        <v>14528.25</v>
      </c>
      <c r="G538" s="5">
        <v>0</v>
      </c>
      <c r="H538" s="5">
        <v>551</v>
      </c>
      <c r="I538" s="5">
        <v>32</v>
      </c>
      <c r="J538" s="5">
        <v>120</v>
      </c>
      <c r="K538" s="6">
        <f t="shared" si="8"/>
        <v>15231.25</v>
      </c>
    </row>
    <row r="539" spans="1:11" x14ac:dyDescent="0.25">
      <c r="A539" s="4">
        <v>2013</v>
      </c>
      <c r="B539" s="11" t="s">
        <v>360</v>
      </c>
      <c r="C539" s="11" t="s">
        <v>350</v>
      </c>
      <c r="D539" s="11" t="s">
        <v>351</v>
      </c>
      <c r="E539" s="12" t="s">
        <v>353</v>
      </c>
      <c r="F539" s="5">
        <v>14528.25</v>
      </c>
      <c r="G539" s="5">
        <v>0</v>
      </c>
      <c r="H539" s="5">
        <v>551</v>
      </c>
      <c r="I539" s="5">
        <v>32</v>
      </c>
      <c r="J539" s="5">
        <v>120</v>
      </c>
      <c r="K539" s="6">
        <f t="shared" si="8"/>
        <v>15231.25</v>
      </c>
    </row>
    <row r="540" spans="1:11" x14ac:dyDescent="0.25">
      <c r="A540" s="4">
        <v>2013</v>
      </c>
      <c r="B540" s="11" t="s">
        <v>368</v>
      </c>
      <c r="C540" s="11" t="s">
        <v>350</v>
      </c>
      <c r="D540" s="11" t="s">
        <v>351</v>
      </c>
      <c r="E540" s="12" t="s">
        <v>353</v>
      </c>
      <c r="F540" s="5">
        <v>14528.25</v>
      </c>
      <c r="G540" s="5">
        <v>0</v>
      </c>
      <c r="H540" s="5">
        <v>551</v>
      </c>
      <c r="I540" s="5">
        <v>32</v>
      </c>
      <c r="J540" s="5">
        <v>120</v>
      </c>
      <c r="K540" s="6">
        <f t="shared" si="8"/>
        <v>15231.25</v>
      </c>
    </row>
    <row r="541" spans="1:11" x14ac:dyDescent="0.25">
      <c r="A541" s="4">
        <v>2013</v>
      </c>
      <c r="B541" s="11" t="s">
        <v>358</v>
      </c>
      <c r="C541" s="11" t="s">
        <v>350</v>
      </c>
      <c r="D541" s="11" t="s">
        <v>351</v>
      </c>
      <c r="E541" s="12" t="s">
        <v>353</v>
      </c>
      <c r="F541" s="5">
        <v>14528.25</v>
      </c>
      <c r="G541" s="5">
        <v>0</v>
      </c>
      <c r="H541" s="5">
        <v>551</v>
      </c>
      <c r="I541" s="5">
        <v>32</v>
      </c>
      <c r="J541" s="5">
        <v>120</v>
      </c>
      <c r="K541" s="6">
        <f t="shared" si="8"/>
        <v>15231.25</v>
      </c>
    </row>
    <row r="542" spans="1:11" x14ac:dyDescent="0.25">
      <c r="A542" s="4">
        <v>2013</v>
      </c>
      <c r="B542" s="11" t="s">
        <v>362</v>
      </c>
      <c r="C542" s="11" t="s">
        <v>350</v>
      </c>
      <c r="D542" s="11" t="s">
        <v>351</v>
      </c>
      <c r="E542" s="12" t="s">
        <v>353</v>
      </c>
      <c r="F542" s="5">
        <v>14528.25</v>
      </c>
      <c r="G542" s="5">
        <v>0</v>
      </c>
      <c r="H542" s="5">
        <v>551</v>
      </c>
      <c r="I542" s="5">
        <v>32</v>
      </c>
      <c r="J542" s="5">
        <v>120</v>
      </c>
      <c r="K542" s="6">
        <f t="shared" si="8"/>
        <v>15231.25</v>
      </c>
    </row>
    <row r="543" spans="1:11" x14ac:dyDescent="0.25">
      <c r="A543" s="4">
        <v>2013</v>
      </c>
      <c r="B543" s="11" t="s">
        <v>374</v>
      </c>
      <c r="C543" s="11" t="s">
        <v>350</v>
      </c>
      <c r="D543" s="11" t="s">
        <v>351</v>
      </c>
      <c r="E543" s="12" t="s">
        <v>353</v>
      </c>
      <c r="F543" s="5">
        <v>14528.25</v>
      </c>
      <c r="G543" s="5">
        <v>0</v>
      </c>
      <c r="H543" s="5">
        <v>551</v>
      </c>
      <c r="I543" s="5">
        <v>32</v>
      </c>
      <c r="J543" s="5">
        <v>120</v>
      </c>
      <c r="K543" s="6">
        <f t="shared" si="8"/>
        <v>15231.25</v>
      </c>
    </row>
    <row r="544" spans="1:11" x14ac:dyDescent="0.25">
      <c r="A544" s="4">
        <v>2013</v>
      </c>
      <c r="B544" s="11" t="s">
        <v>376</v>
      </c>
      <c r="C544" s="11" t="s">
        <v>350</v>
      </c>
      <c r="D544" s="11" t="s">
        <v>351</v>
      </c>
      <c r="E544" s="12" t="s">
        <v>353</v>
      </c>
      <c r="F544" s="5">
        <v>14528.25</v>
      </c>
      <c r="G544" s="5">
        <v>0</v>
      </c>
      <c r="H544" s="5"/>
      <c r="I544" s="5"/>
      <c r="J544" s="5"/>
      <c r="K544" s="6"/>
    </row>
    <row r="545" spans="1:11" x14ac:dyDescent="0.25">
      <c r="A545" s="4">
        <v>2013</v>
      </c>
      <c r="B545" s="11" t="s">
        <v>364</v>
      </c>
      <c r="C545" s="11" t="s">
        <v>350</v>
      </c>
      <c r="D545" s="11" t="s">
        <v>351</v>
      </c>
      <c r="E545" s="12" t="s">
        <v>353</v>
      </c>
      <c r="F545" s="5">
        <v>14528.25</v>
      </c>
      <c r="G545" s="5">
        <v>0</v>
      </c>
      <c r="H545" s="5">
        <v>551</v>
      </c>
      <c r="I545" s="5">
        <v>32</v>
      </c>
      <c r="J545" s="5">
        <v>120</v>
      </c>
      <c r="K545" s="6">
        <f t="shared" si="8"/>
        <v>15231.25</v>
      </c>
    </row>
    <row r="546" spans="1:11" x14ac:dyDescent="0.25">
      <c r="A546" s="4">
        <v>2013</v>
      </c>
      <c r="B546" s="11" t="s">
        <v>366</v>
      </c>
      <c r="C546" s="11" t="s">
        <v>350</v>
      </c>
      <c r="D546" s="11" t="s">
        <v>351</v>
      </c>
      <c r="E546" s="12" t="s">
        <v>353</v>
      </c>
      <c r="F546" s="5">
        <v>14528.25</v>
      </c>
      <c r="G546" s="5">
        <v>0</v>
      </c>
      <c r="H546" s="5">
        <v>551</v>
      </c>
      <c r="I546" s="5">
        <v>32</v>
      </c>
      <c r="J546" s="5">
        <v>120</v>
      </c>
      <c r="K546" s="6">
        <f t="shared" si="8"/>
        <v>15231.25</v>
      </c>
    </row>
    <row r="547" spans="1:11" x14ac:dyDescent="0.25">
      <c r="A547" s="4">
        <v>2013</v>
      </c>
      <c r="B547" s="11" t="s">
        <v>372</v>
      </c>
      <c r="C547" s="11" t="s">
        <v>350</v>
      </c>
      <c r="D547" s="11" t="s">
        <v>351</v>
      </c>
      <c r="E547" s="12" t="s">
        <v>353</v>
      </c>
      <c r="F547" s="5">
        <v>14528.25</v>
      </c>
      <c r="G547" s="5">
        <v>0</v>
      </c>
      <c r="H547" s="5">
        <v>551</v>
      </c>
      <c r="I547" s="5">
        <v>32</v>
      </c>
      <c r="J547" s="5">
        <v>120</v>
      </c>
      <c r="K547" s="6">
        <f t="shared" si="8"/>
        <v>15231.25</v>
      </c>
    </row>
    <row r="548" spans="1:11" x14ac:dyDescent="0.25">
      <c r="A548" s="4">
        <v>2013</v>
      </c>
      <c r="B548" s="11" t="s">
        <v>370</v>
      </c>
      <c r="C548" s="11" t="s">
        <v>350</v>
      </c>
      <c r="D548" s="11" t="s">
        <v>351</v>
      </c>
      <c r="E548" s="12" t="s">
        <v>353</v>
      </c>
      <c r="F548" s="5">
        <v>14528.25</v>
      </c>
      <c r="G548" s="5">
        <v>0</v>
      </c>
      <c r="H548" s="5">
        <v>551</v>
      </c>
      <c r="I548" s="5">
        <v>32</v>
      </c>
      <c r="J548" s="5">
        <v>120</v>
      </c>
      <c r="K548" s="6">
        <f t="shared" si="8"/>
        <v>15231.25</v>
      </c>
    </row>
    <row r="549" spans="1:11" x14ac:dyDescent="0.25">
      <c r="A549" s="4">
        <v>2013</v>
      </c>
      <c r="B549" s="11" t="s">
        <v>356</v>
      </c>
      <c r="C549" s="11" t="s">
        <v>350</v>
      </c>
      <c r="D549" s="11" t="s">
        <v>351</v>
      </c>
      <c r="E549" s="12" t="s">
        <v>353</v>
      </c>
      <c r="F549" s="5">
        <v>14528.25</v>
      </c>
      <c r="G549" s="5">
        <v>0</v>
      </c>
      <c r="H549" s="5">
        <v>551</v>
      </c>
      <c r="I549" s="5">
        <v>32</v>
      </c>
      <c r="J549" s="5">
        <v>120</v>
      </c>
      <c r="K549" s="6">
        <f t="shared" si="8"/>
        <v>15231.25</v>
      </c>
    </row>
    <row r="550" spans="1:11" x14ac:dyDescent="0.25">
      <c r="A550" s="4">
        <v>2013</v>
      </c>
      <c r="B550" s="11" t="s">
        <v>354</v>
      </c>
      <c r="C550" s="11" t="s">
        <v>350</v>
      </c>
      <c r="D550" s="11" t="s">
        <v>351</v>
      </c>
      <c r="E550" s="12" t="s">
        <v>353</v>
      </c>
      <c r="F550" s="5">
        <v>14528.25</v>
      </c>
      <c r="G550" s="5">
        <v>0</v>
      </c>
      <c r="H550" s="5">
        <v>551</v>
      </c>
      <c r="I550" s="5">
        <v>32</v>
      </c>
      <c r="J550" s="5">
        <v>120</v>
      </c>
      <c r="K550" s="6">
        <f t="shared" si="8"/>
        <v>15231.25</v>
      </c>
    </row>
    <row r="551" spans="1:11" x14ac:dyDescent="0.25">
      <c r="A551" s="4">
        <v>2013</v>
      </c>
      <c r="B551" s="11" t="s">
        <v>349</v>
      </c>
      <c r="C551" s="11" t="s">
        <v>350</v>
      </c>
      <c r="D551" s="11" t="s">
        <v>351</v>
      </c>
      <c r="E551" s="12" t="s">
        <v>353</v>
      </c>
      <c r="F551" s="5">
        <v>14528.25</v>
      </c>
      <c r="G551" s="5">
        <v>0</v>
      </c>
      <c r="H551" s="5">
        <v>551</v>
      </c>
      <c r="I551" s="5">
        <v>32</v>
      </c>
      <c r="J551" s="5">
        <v>120</v>
      </c>
      <c r="K551" s="6">
        <f t="shared" si="8"/>
        <v>15231.25</v>
      </c>
    </row>
    <row r="552" spans="1:11" x14ac:dyDescent="0.25">
      <c r="A552" s="4">
        <v>2013</v>
      </c>
      <c r="B552" s="11" t="s">
        <v>399</v>
      </c>
      <c r="C552" s="11" t="s">
        <v>400</v>
      </c>
      <c r="D552" s="11" t="s">
        <v>401</v>
      </c>
      <c r="E552" s="12" t="s">
        <v>402</v>
      </c>
      <c r="F552" s="5">
        <v>15146.5</v>
      </c>
      <c r="G552" s="5">
        <v>0</v>
      </c>
      <c r="H552" s="5">
        <v>551</v>
      </c>
      <c r="I552" s="5">
        <v>32</v>
      </c>
      <c r="J552" s="5">
        <v>120</v>
      </c>
      <c r="K552" s="6">
        <f t="shared" si="8"/>
        <v>15849.5</v>
      </c>
    </row>
    <row r="553" spans="1:11" x14ac:dyDescent="0.25">
      <c r="A553" s="4">
        <v>2013</v>
      </c>
      <c r="B553" s="11" t="s">
        <v>395</v>
      </c>
      <c r="C553" s="11" t="s">
        <v>396</v>
      </c>
      <c r="D553" s="11" t="s">
        <v>397</v>
      </c>
      <c r="E553" s="12" t="s">
        <v>398</v>
      </c>
      <c r="F553" s="5">
        <v>15764.95</v>
      </c>
      <c r="G553" s="5">
        <v>0</v>
      </c>
      <c r="H553" s="5">
        <v>551</v>
      </c>
      <c r="I553" s="5">
        <v>32</v>
      </c>
      <c r="J553" s="5">
        <v>120</v>
      </c>
      <c r="K553" s="6">
        <f t="shared" si="8"/>
        <v>16467.95</v>
      </c>
    </row>
    <row r="554" spans="1:11" x14ac:dyDescent="0.25">
      <c r="A554" s="35">
        <v>2012</v>
      </c>
      <c r="B554" s="33" t="s">
        <v>288</v>
      </c>
      <c r="C554" s="33" t="s">
        <v>481</v>
      </c>
      <c r="D554" s="33"/>
      <c r="E554" s="34" t="s">
        <v>436</v>
      </c>
      <c r="F554" s="36">
        <v>12089.85</v>
      </c>
      <c r="G554" s="36">
        <v>0</v>
      </c>
      <c r="H554" s="36">
        <v>551</v>
      </c>
      <c r="I554" s="36">
        <v>32</v>
      </c>
      <c r="J554" s="36">
        <v>120</v>
      </c>
      <c r="K554" s="6">
        <f t="shared" si="8"/>
        <v>12792.85</v>
      </c>
    </row>
    <row r="555" spans="1:11" x14ac:dyDescent="0.25">
      <c r="A555" s="35">
        <v>2012</v>
      </c>
      <c r="B555" s="33" t="s">
        <v>295</v>
      </c>
      <c r="C555" s="33" t="s">
        <v>289</v>
      </c>
      <c r="D555" s="33" t="s">
        <v>290</v>
      </c>
      <c r="E555" s="34" t="s">
        <v>292</v>
      </c>
      <c r="F555" s="36">
        <v>13982.9</v>
      </c>
      <c r="G555" s="36">
        <v>0</v>
      </c>
      <c r="H555" s="36">
        <v>551</v>
      </c>
      <c r="I555" s="36">
        <v>32</v>
      </c>
      <c r="J555" s="36">
        <v>120</v>
      </c>
      <c r="K555" s="6">
        <f t="shared" si="8"/>
        <v>14685.9</v>
      </c>
    </row>
    <row r="556" spans="1:11" x14ac:dyDescent="0.25">
      <c r="A556" s="35">
        <v>2012</v>
      </c>
      <c r="B556" s="33" t="s">
        <v>301</v>
      </c>
      <c r="C556" s="33" t="s">
        <v>289</v>
      </c>
      <c r="D556" s="33" t="s">
        <v>290</v>
      </c>
      <c r="E556" s="34" t="s">
        <v>292</v>
      </c>
      <c r="F556" s="36">
        <v>13982.9</v>
      </c>
      <c r="G556" s="36">
        <v>0</v>
      </c>
      <c r="H556" s="36">
        <v>551</v>
      </c>
      <c r="I556" s="36">
        <v>32</v>
      </c>
      <c r="J556" s="36">
        <v>120</v>
      </c>
      <c r="K556" s="6">
        <f t="shared" si="8"/>
        <v>14685.9</v>
      </c>
    </row>
    <row r="557" spans="1:11" x14ac:dyDescent="0.25">
      <c r="A557" s="35">
        <v>2012</v>
      </c>
      <c r="B557" s="33" t="s">
        <v>299</v>
      </c>
      <c r="C557" s="33" t="s">
        <v>289</v>
      </c>
      <c r="D557" s="33" t="s">
        <v>290</v>
      </c>
      <c r="E557" s="34" t="s">
        <v>292</v>
      </c>
      <c r="F557" s="36">
        <v>13982.9</v>
      </c>
      <c r="G557" s="36">
        <v>0</v>
      </c>
      <c r="H557" s="36">
        <v>551</v>
      </c>
      <c r="I557" s="36">
        <v>32</v>
      </c>
      <c r="J557" s="36">
        <v>120</v>
      </c>
      <c r="K557" s="6">
        <f t="shared" si="8"/>
        <v>14685.9</v>
      </c>
    </row>
    <row r="558" spans="1:11" x14ac:dyDescent="0.25">
      <c r="A558" s="35">
        <v>2012</v>
      </c>
      <c r="B558" s="33" t="s">
        <v>297</v>
      </c>
      <c r="C558" s="33" t="s">
        <v>289</v>
      </c>
      <c r="D558" s="33" t="s">
        <v>290</v>
      </c>
      <c r="E558" s="34" t="s">
        <v>292</v>
      </c>
      <c r="F558" s="36">
        <v>13982.9</v>
      </c>
      <c r="G558" s="36">
        <v>0</v>
      </c>
      <c r="H558" s="36">
        <v>551</v>
      </c>
      <c r="I558" s="36">
        <v>32</v>
      </c>
      <c r="J558" s="36">
        <v>120</v>
      </c>
      <c r="K558" s="6">
        <f t="shared" si="8"/>
        <v>14685.9</v>
      </c>
    </row>
    <row r="559" spans="1:11" x14ac:dyDescent="0.25">
      <c r="A559" s="35">
        <v>2012</v>
      </c>
      <c r="B559" s="33" t="s">
        <v>391</v>
      </c>
      <c r="C559" s="33" t="s">
        <v>383</v>
      </c>
      <c r="D559" s="33" t="s">
        <v>384</v>
      </c>
      <c r="E559" s="34" t="s">
        <v>386</v>
      </c>
      <c r="F559" s="36">
        <v>12197.95</v>
      </c>
      <c r="G559" s="36">
        <v>0</v>
      </c>
      <c r="H559" s="36">
        <v>551</v>
      </c>
      <c r="I559" s="36">
        <v>32</v>
      </c>
      <c r="J559" s="36">
        <v>120</v>
      </c>
      <c r="K559" s="6">
        <f t="shared" si="8"/>
        <v>12900.95</v>
      </c>
    </row>
    <row r="560" spans="1:11" x14ac:dyDescent="0.25">
      <c r="A560" s="35">
        <v>2012</v>
      </c>
      <c r="B560" s="33" t="s">
        <v>475</v>
      </c>
      <c r="C560" s="33" t="s">
        <v>289</v>
      </c>
      <c r="D560" s="33" t="s">
        <v>290</v>
      </c>
      <c r="E560" s="34" t="s">
        <v>292</v>
      </c>
      <c r="F560" s="36">
        <v>13982.9</v>
      </c>
      <c r="G560" s="36">
        <v>0</v>
      </c>
      <c r="H560" s="36"/>
      <c r="I560" s="36"/>
      <c r="J560" s="36"/>
      <c r="K560" s="6"/>
    </row>
    <row r="561" spans="1:11" x14ac:dyDescent="0.25">
      <c r="A561" s="35">
        <v>2012</v>
      </c>
      <c r="B561" s="33" t="s">
        <v>425</v>
      </c>
      <c r="C561" s="33" t="s">
        <v>289</v>
      </c>
      <c r="D561" s="33" t="s">
        <v>290</v>
      </c>
      <c r="E561" s="34" t="s">
        <v>292</v>
      </c>
      <c r="F561" s="36">
        <v>13982.9</v>
      </c>
      <c r="G561" s="36">
        <v>0</v>
      </c>
      <c r="H561" s="36"/>
      <c r="I561" s="36"/>
      <c r="J561" s="36"/>
      <c r="K561" s="6"/>
    </row>
    <row r="562" spans="1:11" x14ac:dyDescent="0.25">
      <c r="A562" s="35">
        <v>2012</v>
      </c>
      <c r="B562" s="33" t="s">
        <v>393</v>
      </c>
      <c r="C562" s="33" t="s">
        <v>383</v>
      </c>
      <c r="D562" s="33" t="s">
        <v>384</v>
      </c>
      <c r="E562" s="34" t="s">
        <v>386</v>
      </c>
      <c r="F562" s="36">
        <v>12197.95</v>
      </c>
      <c r="G562" s="36">
        <v>0</v>
      </c>
      <c r="H562" s="36">
        <v>551</v>
      </c>
      <c r="I562" s="36">
        <v>32</v>
      </c>
      <c r="J562" s="36">
        <v>120</v>
      </c>
      <c r="K562" s="6">
        <f t="shared" si="8"/>
        <v>12900.95</v>
      </c>
    </row>
    <row r="563" spans="1:11" x14ac:dyDescent="0.25">
      <c r="A563" s="35">
        <v>2012</v>
      </c>
      <c r="B563" s="33" t="s">
        <v>387</v>
      </c>
      <c r="C563" s="33" t="s">
        <v>383</v>
      </c>
      <c r="D563" s="33" t="s">
        <v>384</v>
      </c>
      <c r="E563" s="34" t="s">
        <v>386</v>
      </c>
      <c r="F563" s="36">
        <v>12197.95</v>
      </c>
      <c r="G563" s="36">
        <v>0</v>
      </c>
      <c r="H563" s="36">
        <v>551</v>
      </c>
      <c r="I563" s="36">
        <v>32</v>
      </c>
      <c r="J563" s="36">
        <v>120</v>
      </c>
      <c r="K563" s="6">
        <f t="shared" si="8"/>
        <v>12900.95</v>
      </c>
    </row>
    <row r="564" spans="1:11" x14ac:dyDescent="0.25">
      <c r="A564" s="35">
        <v>2012</v>
      </c>
      <c r="B564" s="33" t="s">
        <v>382</v>
      </c>
      <c r="C564" s="33" t="s">
        <v>383</v>
      </c>
      <c r="D564" s="33" t="s">
        <v>384</v>
      </c>
      <c r="E564" s="34" t="s">
        <v>386</v>
      </c>
      <c r="F564" s="36">
        <v>12197.95</v>
      </c>
      <c r="G564" s="36">
        <v>0</v>
      </c>
      <c r="H564" s="36">
        <v>551</v>
      </c>
      <c r="I564" s="36">
        <v>32</v>
      </c>
      <c r="J564" s="36">
        <v>120</v>
      </c>
      <c r="K564" s="6">
        <f t="shared" si="8"/>
        <v>12900.95</v>
      </c>
    </row>
    <row r="565" spans="1:11" x14ac:dyDescent="0.25">
      <c r="A565" s="35">
        <v>2012</v>
      </c>
      <c r="B565" s="33" t="s">
        <v>389</v>
      </c>
      <c r="C565" s="33" t="s">
        <v>383</v>
      </c>
      <c r="D565" s="33" t="s">
        <v>384</v>
      </c>
      <c r="E565" s="34" t="s">
        <v>386</v>
      </c>
      <c r="F565" s="36">
        <v>12197.95</v>
      </c>
      <c r="G565" s="36">
        <v>0</v>
      </c>
      <c r="H565" s="36">
        <v>551</v>
      </c>
      <c r="I565" s="36">
        <v>32</v>
      </c>
      <c r="J565" s="36">
        <v>120</v>
      </c>
      <c r="K565" s="6">
        <f t="shared" si="8"/>
        <v>12900.95</v>
      </c>
    </row>
    <row r="566" spans="1:11" x14ac:dyDescent="0.25">
      <c r="A566" s="35">
        <v>2012</v>
      </c>
      <c r="B566" s="33" t="s">
        <v>405</v>
      </c>
      <c r="C566" s="33" t="s">
        <v>383</v>
      </c>
      <c r="D566" s="33" t="s">
        <v>384</v>
      </c>
      <c r="E566" s="34" t="s">
        <v>386</v>
      </c>
      <c r="F566" s="36">
        <v>12197.95</v>
      </c>
      <c r="G566" s="36">
        <v>0</v>
      </c>
      <c r="H566" s="36"/>
      <c r="I566" s="36"/>
      <c r="J566" s="36"/>
      <c r="K566" s="6"/>
    </row>
    <row r="567" spans="1:11" x14ac:dyDescent="0.25">
      <c r="A567" s="35">
        <v>2012</v>
      </c>
      <c r="B567" s="33" t="s">
        <v>407</v>
      </c>
      <c r="C567" s="33" t="s">
        <v>383</v>
      </c>
      <c r="D567" s="33" t="s">
        <v>384</v>
      </c>
      <c r="E567" s="34" t="s">
        <v>386</v>
      </c>
      <c r="F567" s="36">
        <v>12197.95</v>
      </c>
      <c r="G567" s="36">
        <v>0</v>
      </c>
      <c r="H567" s="36"/>
      <c r="I567" s="36"/>
      <c r="J567" s="36"/>
      <c r="K567" s="6"/>
    </row>
    <row r="568" spans="1:11" x14ac:dyDescent="0.25">
      <c r="A568" s="35">
        <v>2012</v>
      </c>
      <c r="B568" s="33" t="s">
        <v>409</v>
      </c>
      <c r="C568" s="33" t="s">
        <v>383</v>
      </c>
      <c r="D568" s="33" t="s">
        <v>384</v>
      </c>
      <c r="E568" s="34" t="s">
        <v>386</v>
      </c>
      <c r="F568" s="36">
        <v>12197.95</v>
      </c>
      <c r="G568" s="36">
        <v>0</v>
      </c>
      <c r="H568" s="36"/>
      <c r="I568" s="36"/>
      <c r="J568" s="36"/>
      <c r="K568" s="6"/>
    </row>
    <row r="569" spans="1:11" x14ac:dyDescent="0.25">
      <c r="A569" s="35">
        <v>2012</v>
      </c>
      <c r="B569" s="33" t="s">
        <v>411</v>
      </c>
      <c r="C569" s="33" t="s">
        <v>383</v>
      </c>
      <c r="D569" s="33" t="s">
        <v>384</v>
      </c>
      <c r="E569" s="34" t="s">
        <v>386</v>
      </c>
      <c r="F569" s="36">
        <v>12197.95</v>
      </c>
      <c r="G569" s="36">
        <v>0</v>
      </c>
      <c r="H569" s="36"/>
      <c r="I569" s="36"/>
      <c r="J569" s="36"/>
      <c r="K569" s="6"/>
    </row>
    <row r="570" spans="1:11" x14ac:dyDescent="0.25">
      <c r="A570" s="35">
        <v>2012</v>
      </c>
      <c r="B570" s="33" t="s">
        <v>413</v>
      </c>
      <c r="C570" s="33" t="s">
        <v>383</v>
      </c>
      <c r="D570" s="33" t="s">
        <v>384</v>
      </c>
      <c r="E570" s="34" t="s">
        <v>386</v>
      </c>
      <c r="F570" s="36">
        <v>12197.95</v>
      </c>
      <c r="G570" s="36">
        <v>0</v>
      </c>
      <c r="H570" s="36"/>
      <c r="I570" s="36"/>
      <c r="J570" s="36"/>
      <c r="K570" s="6"/>
    </row>
    <row r="571" spans="1:11" x14ac:dyDescent="0.25">
      <c r="A571" s="35">
        <v>2012</v>
      </c>
      <c r="B571" s="33" t="s">
        <v>415</v>
      </c>
      <c r="C571" s="33" t="s">
        <v>383</v>
      </c>
      <c r="D571" s="33" t="s">
        <v>384</v>
      </c>
      <c r="E571" s="34" t="s">
        <v>386</v>
      </c>
      <c r="F571" s="36">
        <v>12197.95</v>
      </c>
      <c r="G571" s="36">
        <v>0</v>
      </c>
      <c r="H571" s="36"/>
      <c r="I571" s="36"/>
      <c r="J571" s="36"/>
      <c r="K571" s="6"/>
    </row>
    <row r="572" spans="1:11" x14ac:dyDescent="0.25">
      <c r="A572" s="35">
        <v>2012</v>
      </c>
      <c r="B572" s="33" t="s">
        <v>417</v>
      </c>
      <c r="C572" s="33" t="s">
        <v>383</v>
      </c>
      <c r="D572" s="33" t="s">
        <v>384</v>
      </c>
      <c r="E572" s="34" t="s">
        <v>386</v>
      </c>
      <c r="F572" s="36">
        <v>12197.95</v>
      </c>
      <c r="G572" s="36">
        <v>0</v>
      </c>
      <c r="H572" s="36"/>
      <c r="I572" s="36"/>
      <c r="J572" s="36"/>
      <c r="K572" s="6"/>
    </row>
    <row r="573" spans="1:11" x14ac:dyDescent="0.25">
      <c r="A573" s="35">
        <v>2012</v>
      </c>
      <c r="B573" s="33" t="s">
        <v>419</v>
      </c>
      <c r="C573" s="33" t="s">
        <v>383</v>
      </c>
      <c r="D573" s="33" t="s">
        <v>384</v>
      </c>
      <c r="E573" s="34" t="s">
        <v>386</v>
      </c>
      <c r="F573" s="36">
        <v>12197.95</v>
      </c>
      <c r="G573" s="36">
        <v>0</v>
      </c>
      <c r="H573" s="36"/>
      <c r="I573" s="36"/>
      <c r="J573" s="36"/>
      <c r="K573" s="6"/>
    </row>
    <row r="574" spans="1:11" x14ac:dyDescent="0.25">
      <c r="A574" s="35">
        <v>2012</v>
      </c>
      <c r="B574" s="33" t="s">
        <v>421</v>
      </c>
      <c r="C574" s="33" t="s">
        <v>383</v>
      </c>
      <c r="D574" s="33" t="s">
        <v>384</v>
      </c>
      <c r="E574" s="34" t="s">
        <v>386</v>
      </c>
      <c r="F574" s="36">
        <v>12197.95</v>
      </c>
      <c r="G574" s="36">
        <v>0</v>
      </c>
      <c r="H574" s="36"/>
      <c r="I574" s="36"/>
      <c r="J574" s="36"/>
      <c r="K574" s="6"/>
    </row>
    <row r="575" spans="1:11" x14ac:dyDescent="0.25">
      <c r="A575" s="35">
        <v>2012</v>
      </c>
      <c r="B575" s="33" t="s">
        <v>423</v>
      </c>
      <c r="C575" s="33" t="s">
        <v>383</v>
      </c>
      <c r="D575" s="33" t="s">
        <v>384</v>
      </c>
      <c r="E575" s="34" t="s">
        <v>386</v>
      </c>
      <c r="F575" s="36">
        <v>12197.95</v>
      </c>
      <c r="G575" s="36">
        <v>0</v>
      </c>
      <c r="H575" s="36"/>
      <c r="I575" s="36"/>
      <c r="J575" s="36"/>
      <c r="K575" s="6"/>
    </row>
    <row r="576" spans="1:11" x14ac:dyDescent="0.25">
      <c r="A576" s="35">
        <v>2012</v>
      </c>
      <c r="B576" s="33" t="s">
        <v>337</v>
      </c>
      <c r="C576" s="33" t="s">
        <v>331</v>
      </c>
      <c r="D576" s="33" t="s">
        <v>332</v>
      </c>
      <c r="E576" s="34" t="s">
        <v>334</v>
      </c>
      <c r="F576" s="36">
        <v>12793</v>
      </c>
      <c r="G576" s="36">
        <v>0</v>
      </c>
      <c r="H576" s="36">
        <v>551</v>
      </c>
      <c r="I576" s="36">
        <v>32</v>
      </c>
      <c r="J576" s="36">
        <v>120</v>
      </c>
      <c r="K576" s="6">
        <f t="shared" si="8"/>
        <v>13496</v>
      </c>
    </row>
    <row r="577" spans="1:11" x14ac:dyDescent="0.25">
      <c r="A577" s="35">
        <v>2012</v>
      </c>
      <c r="B577" s="33" t="s">
        <v>403</v>
      </c>
      <c r="C577" s="33" t="s">
        <v>331</v>
      </c>
      <c r="D577" s="33" t="s">
        <v>332</v>
      </c>
      <c r="E577" s="34" t="s">
        <v>334</v>
      </c>
      <c r="F577" s="36">
        <v>12793</v>
      </c>
      <c r="G577" s="36">
        <v>0</v>
      </c>
      <c r="H577" s="36"/>
      <c r="I577" s="36"/>
      <c r="J577" s="36"/>
      <c r="K577" s="6"/>
    </row>
    <row r="578" spans="1:11" x14ac:dyDescent="0.25">
      <c r="A578" s="35">
        <v>2012</v>
      </c>
      <c r="B578" s="33" t="s">
        <v>339</v>
      </c>
      <c r="C578" s="33" t="s">
        <v>331</v>
      </c>
      <c r="D578" s="33" t="s">
        <v>332</v>
      </c>
      <c r="E578" s="34" t="s">
        <v>334</v>
      </c>
      <c r="F578" s="36">
        <v>12793</v>
      </c>
      <c r="G578" s="36">
        <v>0</v>
      </c>
      <c r="H578" s="36"/>
      <c r="I578" s="36"/>
      <c r="J578" s="36"/>
      <c r="K578" s="6"/>
    </row>
    <row r="579" spans="1:11" x14ac:dyDescent="0.25">
      <c r="A579" s="35">
        <v>2012</v>
      </c>
      <c r="B579" s="33" t="s">
        <v>345</v>
      </c>
      <c r="C579" s="33" t="s">
        <v>331</v>
      </c>
      <c r="D579" s="33" t="s">
        <v>332</v>
      </c>
      <c r="E579" s="34" t="s">
        <v>334</v>
      </c>
      <c r="F579" s="36">
        <v>12793</v>
      </c>
      <c r="G579" s="36">
        <v>0</v>
      </c>
      <c r="H579" s="36">
        <v>551</v>
      </c>
      <c r="I579" s="36">
        <v>32</v>
      </c>
      <c r="J579" s="36">
        <v>120</v>
      </c>
      <c r="K579" s="6">
        <f t="shared" si="8"/>
        <v>13496</v>
      </c>
    </row>
    <row r="580" spans="1:11" x14ac:dyDescent="0.25">
      <c r="A580" s="35">
        <v>2012</v>
      </c>
      <c r="B580" s="33" t="s">
        <v>341</v>
      </c>
      <c r="C580" s="33" t="s">
        <v>331</v>
      </c>
      <c r="D580" s="33" t="s">
        <v>332</v>
      </c>
      <c r="E580" s="34" t="s">
        <v>334</v>
      </c>
      <c r="F580" s="36">
        <v>12793</v>
      </c>
      <c r="G580" s="36">
        <v>0</v>
      </c>
      <c r="H580" s="36">
        <v>551</v>
      </c>
      <c r="I580" s="36">
        <v>32</v>
      </c>
      <c r="J580" s="36">
        <v>120</v>
      </c>
      <c r="K580" s="6">
        <f>SUM(F580:J580)</f>
        <v>13496</v>
      </c>
    </row>
    <row r="581" spans="1:11" x14ac:dyDescent="0.25">
      <c r="A581" s="35">
        <v>2012</v>
      </c>
      <c r="B581" s="33" t="s">
        <v>343</v>
      </c>
      <c r="C581" s="33" t="s">
        <v>331</v>
      </c>
      <c r="D581" s="33" t="s">
        <v>332</v>
      </c>
      <c r="E581" s="34" t="s">
        <v>334</v>
      </c>
      <c r="F581" s="36">
        <v>12793</v>
      </c>
      <c r="G581" s="36">
        <v>0</v>
      </c>
      <c r="H581" s="36">
        <v>551</v>
      </c>
      <c r="I581" s="36">
        <v>32</v>
      </c>
      <c r="J581" s="36">
        <v>120</v>
      </c>
      <c r="K581" s="6">
        <f t="shared" ref="K581:K584" si="9">SUM(F581:J581)</f>
        <v>13496</v>
      </c>
    </row>
    <row r="582" spans="1:11" x14ac:dyDescent="0.25">
      <c r="A582" s="35">
        <v>2012</v>
      </c>
      <c r="B582" s="33" t="s">
        <v>347</v>
      </c>
      <c r="C582" s="33" t="s">
        <v>331</v>
      </c>
      <c r="D582" s="33" t="s">
        <v>332</v>
      </c>
      <c r="E582" s="34" t="s">
        <v>334</v>
      </c>
      <c r="F582" s="36">
        <v>12793</v>
      </c>
      <c r="G582" s="36">
        <v>0</v>
      </c>
      <c r="H582" s="36">
        <v>551</v>
      </c>
      <c r="I582" s="36">
        <v>32</v>
      </c>
      <c r="J582" s="36">
        <v>120</v>
      </c>
      <c r="K582" s="6">
        <f t="shared" si="9"/>
        <v>13496</v>
      </c>
    </row>
    <row r="583" spans="1:11" x14ac:dyDescent="0.25">
      <c r="A583" s="35">
        <v>2012</v>
      </c>
      <c r="B583" s="33" t="s">
        <v>457</v>
      </c>
      <c r="C583" s="33" t="s">
        <v>331</v>
      </c>
      <c r="D583" s="33" t="s">
        <v>332</v>
      </c>
      <c r="E583" s="34" t="s">
        <v>334</v>
      </c>
      <c r="F583" s="36">
        <v>12793</v>
      </c>
      <c r="G583" s="36">
        <v>0</v>
      </c>
      <c r="H583" s="36">
        <v>551</v>
      </c>
      <c r="I583" s="36">
        <v>32</v>
      </c>
      <c r="J583" s="36">
        <v>120</v>
      </c>
      <c r="K583" s="6">
        <f t="shared" si="9"/>
        <v>13496</v>
      </c>
    </row>
    <row r="584" spans="1:11" x14ac:dyDescent="0.25">
      <c r="A584" s="35">
        <v>2012</v>
      </c>
      <c r="B584" s="33" t="s">
        <v>330</v>
      </c>
      <c r="C584" s="33" t="s">
        <v>331</v>
      </c>
      <c r="D584" s="33" t="s">
        <v>332</v>
      </c>
      <c r="E584" s="34" t="s">
        <v>334</v>
      </c>
      <c r="F584" s="36">
        <v>12793</v>
      </c>
      <c r="G584" s="36">
        <v>0</v>
      </c>
      <c r="H584" s="36">
        <v>551</v>
      </c>
      <c r="I584" s="36">
        <v>32</v>
      </c>
      <c r="J584" s="36">
        <v>120</v>
      </c>
      <c r="K584" s="6">
        <f t="shared" si="9"/>
        <v>13496</v>
      </c>
    </row>
    <row r="585" spans="1:11" x14ac:dyDescent="0.25">
      <c r="A585" s="35">
        <v>2012</v>
      </c>
      <c r="B585" s="33" t="s">
        <v>335</v>
      </c>
      <c r="C585" s="33" t="s">
        <v>331</v>
      </c>
      <c r="D585" s="33" t="s">
        <v>332</v>
      </c>
      <c r="E585" s="34" t="s">
        <v>334</v>
      </c>
      <c r="F585" s="36">
        <v>12793</v>
      </c>
      <c r="G585" s="36">
        <v>0</v>
      </c>
      <c r="H585" s="36">
        <v>551</v>
      </c>
      <c r="I585" s="36">
        <v>32</v>
      </c>
      <c r="J585" s="36">
        <v>120</v>
      </c>
      <c r="K585" s="6">
        <f>SUM(F585:J585)</f>
        <v>13496</v>
      </c>
    </row>
    <row r="586" spans="1:11" x14ac:dyDescent="0.25">
      <c r="A586" s="35">
        <v>2012</v>
      </c>
      <c r="B586" s="33" t="s">
        <v>339</v>
      </c>
      <c r="C586" s="33" t="s">
        <v>331</v>
      </c>
      <c r="D586" s="33" t="s">
        <v>332</v>
      </c>
      <c r="E586" s="34" t="s">
        <v>334</v>
      </c>
      <c r="F586" s="36">
        <v>12793</v>
      </c>
      <c r="G586" s="36">
        <v>0</v>
      </c>
      <c r="H586" s="36">
        <v>551</v>
      </c>
      <c r="I586" s="36">
        <v>32</v>
      </c>
      <c r="J586" s="36">
        <v>120</v>
      </c>
      <c r="K586" s="6">
        <f t="shared" ref="K586:K663" si="10">SUM(F586:J586)</f>
        <v>13496</v>
      </c>
    </row>
    <row r="587" spans="1:11" x14ac:dyDescent="0.25">
      <c r="A587" s="35">
        <v>2012</v>
      </c>
      <c r="B587" s="33" t="s">
        <v>318</v>
      </c>
      <c r="C587" s="33" t="s">
        <v>304</v>
      </c>
      <c r="D587" s="33" t="s">
        <v>305</v>
      </c>
      <c r="E587" s="34" t="s">
        <v>307</v>
      </c>
      <c r="F587" s="36">
        <v>13388.45</v>
      </c>
      <c r="G587" s="36">
        <v>0</v>
      </c>
      <c r="H587" s="36">
        <v>551</v>
      </c>
      <c r="I587" s="36">
        <v>32</v>
      </c>
      <c r="J587" s="36">
        <v>120</v>
      </c>
      <c r="K587" s="6">
        <f t="shared" si="10"/>
        <v>14091.45</v>
      </c>
    </row>
    <row r="588" spans="1:11" x14ac:dyDescent="0.25">
      <c r="A588" s="35">
        <v>2012</v>
      </c>
      <c r="B588" s="33" t="s">
        <v>312</v>
      </c>
      <c r="C588" s="33" t="s">
        <v>304</v>
      </c>
      <c r="D588" s="33" t="s">
        <v>305</v>
      </c>
      <c r="E588" s="34" t="s">
        <v>307</v>
      </c>
      <c r="F588" s="36">
        <v>13388.45</v>
      </c>
      <c r="G588" s="36">
        <v>0</v>
      </c>
      <c r="H588" s="36">
        <v>551</v>
      </c>
      <c r="I588" s="36">
        <v>32</v>
      </c>
      <c r="J588" s="36">
        <v>120</v>
      </c>
      <c r="K588" s="6">
        <f t="shared" si="10"/>
        <v>14091.45</v>
      </c>
    </row>
    <row r="589" spans="1:11" x14ac:dyDescent="0.25">
      <c r="A589" s="35">
        <v>2012</v>
      </c>
      <c r="B589" s="33" t="s">
        <v>326</v>
      </c>
      <c r="C589" s="33" t="s">
        <v>304</v>
      </c>
      <c r="D589" s="33" t="s">
        <v>305</v>
      </c>
      <c r="E589" s="34" t="s">
        <v>327</v>
      </c>
      <c r="F589" s="36">
        <v>13388.45</v>
      </c>
      <c r="G589" s="36">
        <v>0</v>
      </c>
      <c r="H589" s="36">
        <v>551</v>
      </c>
      <c r="I589" s="36">
        <v>32</v>
      </c>
      <c r="J589" s="36">
        <v>120</v>
      </c>
      <c r="K589" s="6">
        <f t="shared" si="10"/>
        <v>14091.45</v>
      </c>
    </row>
    <row r="590" spans="1:11" x14ac:dyDescent="0.25">
      <c r="A590" s="35">
        <v>2012</v>
      </c>
      <c r="B590" s="33" t="s">
        <v>322</v>
      </c>
      <c r="C590" s="33" t="s">
        <v>304</v>
      </c>
      <c r="D590" s="33" t="s">
        <v>305</v>
      </c>
      <c r="E590" s="34" t="s">
        <v>307</v>
      </c>
      <c r="F590" s="36">
        <v>13388.45</v>
      </c>
      <c r="G590" s="36">
        <v>0</v>
      </c>
      <c r="H590" s="36">
        <v>551</v>
      </c>
      <c r="I590" s="36">
        <v>32</v>
      </c>
      <c r="J590" s="36">
        <v>120</v>
      </c>
      <c r="K590" s="6">
        <f t="shared" si="10"/>
        <v>14091.45</v>
      </c>
    </row>
    <row r="591" spans="1:11" x14ac:dyDescent="0.25">
      <c r="A591" s="35">
        <v>2012</v>
      </c>
      <c r="B591" s="33" t="s">
        <v>324</v>
      </c>
      <c r="C591" s="33" t="s">
        <v>304</v>
      </c>
      <c r="D591" s="33" t="s">
        <v>305</v>
      </c>
      <c r="E591" s="34" t="s">
        <v>307</v>
      </c>
      <c r="F591" s="36">
        <v>13388.45</v>
      </c>
      <c r="G591" s="36">
        <v>0</v>
      </c>
      <c r="H591" s="36">
        <v>551</v>
      </c>
      <c r="I591" s="36">
        <v>32</v>
      </c>
      <c r="J591" s="36">
        <v>120</v>
      </c>
      <c r="K591" s="6">
        <f t="shared" si="10"/>
        <v>14091.45</v>
      </c>
    </row>
    <row r="592" spans="1:11" x14ac:dyDescent="0.25">
      <c r="A592" s="35">
        <v>2012</v>
      </c>
      <c r="B592" s="33" t="s">
        <v>328</v>
      </c>
      <c r="C592" s="33" t="s">
        <v>304</v>
      </c>
      <c r="D592" s="33" t="s">
        <v>305</v>
      </c>
      <c r="E592" s="34" t="s">
        <v>329</v>
      </c>
      <c r="F592" s="36">
        <v>13388.45</v>
      </c>
      <c r="G592" s="36">
        <v>0</v>
      </c>
      <c r="H592" s="36">
        <v>551</v>
      </c>
      <c r="I592" s="36">
        <v>32</v>
      </c>
      <c r="J592" s="36">
        <v>120</v>
      </c>
      <c r="K592" s="6">
        <f t="shared" si="10"/>
        <v>14091.45</v>
      </c>
    </row>
    <row r="593" spans="1:11" x14ac:dyDescent="0.25">
      <c r="A593" s="35">
        <v>2012</v>
      </c>
      <c r="B593" s="33" t="s">
        <v>314</v>
      </c>
      <c r="C593" s="33" t="s">
        <v>304</v>
      </c>
      <c r="D593" s="33" t="s">
        <v>305</v>
      </c>
      <c r="E593" s="34" t="s">
        <v>307</v>
      </c>
      <c r="F593" s="36">
        <v>13388.45</v>
      </c>
      <c r="G593" s="36">
        <v>0</v>
      </c>
      <c r="H593" s="36">
        <v>551</v>
      </c>
      <c r="I593" s="36">
        <v>32</v>
      </c>
      <c r="J593" s="36">
        <v>120</v>
      </c>
      <c r="K593" s="6">
        <f t="shared" si="10"/>
        <v>14091.45</v>
      </c>
    </row>
    <row r="594" spans="1:11" x14ac:dyDescent="0.25">
      <c r="A594" s="35">
        <v>2012</v>
      </c>
      <c r="B594" s="33" t="s">
        <v>316</v>
      </c>
      <c r="C594" s="33" t="s">
        <v>304</v>
      </c>
      <c r="D594" s="33" t="s">
        <v>305</v>
      </c>
      <c r="E594" s="34" t="s">
        <v>307</v>
      </c>
      <c r="F594" s="36">
        <v>13388.45</v>
      </c>
      <c r="G594" s="36">
        <v>0</v>
      </c>
      <c r="H594" s="36">
        <v>551</v>
      </c>
      <c r="I594" s="36">
        <v>32</v>
      </c>
      <c r="J594" s="36">
        <v>120</v>
      </c>
      <c r="K594" s="6">
        <f t="shared" si="10"/>
        <v>14091.45</v>
      </c>
    </row>
    <row r="595" spans="1:11" x14ac:dyDescent="0.25">
      <c r="A595" s="35">
        <v>2012</v>
      </c>
      <c r="B595" s="33" t="s">
        <v>320</v>
      </c>
      <c r="C595" s="33" t="s">
        <v>304</v>
      </c>
      <c r="D595" s="33" t="s">
        <v>305</v>
      </c>
      <c r="E595" s="34" t="s">
        <v>307</v>
      </c>
      <c r="F595" s="36">
        <v>13388.45</v>
      </c>
      <c r="G595" s="36">
        <v>0</v>
      </c>
      <c r="H595" s="36">
        <v>551</v>
      </c>
      <c r="I595" s="36">
        <v>32</v>
      </c>
      <c r="J595" s="36">
        <v>120</v>
      </c>
      <c r="K595" s="6">
        <f t="shared" si="10"/>
        <v>14091.45</v>
      </c>
    </row>
    <row r="596" spans="1:11" x14ac:dyDescent="0.25">
      <c r="A596" s="35">
        <v>2012</v>
      </c>
      <c r="B596" s="33" t="s">
        <v>310</v>
      </c>
      <c r="C596" s="33" t="s">
        <v>304</v>
      </c>
      <c r="D596" s="33" t="s">
        <v>305</v>
      </c>
      <c r="E596" s="34" t="s">
        <v>307</v>
      </c>
      <c r="F596" s="36">
        <v>13388.45</v>
      </c>
      <c r="G596" s="36">
        <v>0</v>
      </c>
      <c r="H596" s="36">
        <v>551</v>
      </c>
      <c r="I596" s="36">
        <v>32</v>
      </c>
      <c r="J596" s="36">
        <v>120</v>
      </c>
      <c r="K596" s="6">
        <f t="shared" si="10"/>
        <v>14091.45</v>
      </c>
    </row>
    <row r="597" spans="1:11" x14ac:dyDescent="0.25">
      <c r="A597" s="35">
        <v>2012</v>
      </c>
      <c r="B597" s="33" t="s">
        <v>308</v>
      </c>
      <c r="C597" s="33" t="s">
        <v>304</v>
      </c>
      <c r="D597" s="33" t="s">
        <v>305</v>
      </c>
      <c r="E597" s="34" t="s">
        <v>307</v>
      </c>
      <c r="F597" s="36">
        <v>13388.45</v>
      </c>
      <c r="G597" s="36">
        <v>0</v>
      </c>
      <c r="H597" s="36">
        <v>551</v>
      </c>
      <c r="I597" s="36">
        <v>32</v>
      </c>
      <c r="J597" s="36">
        <v>120</v>
      </c>
      <c r="K597" s="6">
        <f t="shared" si="10"/>
        <v>14091.45</v>
      </c>
    </row>
    <row r="598" spans="1:11" x14ac:dyDescent="0.25">
      <c r="A598" s="35">
        <v>2012</v>
      </c>
      <c r="B598" s="33" t="s">
        <v>303</v>
      </c>
      <c r="C598" s="33" t="s">
        <v>304</v>
      </c>
      <c r="D598" s="33" t="s">
        <v>305</v>
      </c>
      <c r="E598" s="34" t="s">
        <v>307</v>
      </c>
      <c r="F598" s="36">
        <v>13388.45</v>
      </c>
      <c r="G598" s="36">
        <v>0</v>
      </c>
      <c r="H598" s="36">
        <v>551</v>
      </c>
      <c r="I598" s="36">
        <v>32</v>
      </c>
      <c r="J598" s="36">
        <v>120</v>
      </c>
      <c r="K598" s="6">
        <f t="shared" si="10"/>
        <v>14091.45</v>
      </c>
    </row>
    <row r="599" spans="1:11" x14ac:dyDescent="0.25">
      <c r="A599" s="35">
        <v>2012</v>
      </c>
      <c r="B599" s="33" t="s">
        <v>293</v>
      </c>
      <c r="C599" s="33" t="s">
        <v>289</v>
      </c>
      <c r="D599" s="33" t="s">
        <v>290</v>
      </c>
      <c r="E599" s="34" t="s">
        <v>353</v>
      </c>
      <c r="F599" s="36">
        <v>13982.9</v>
      </c>
      <c r="G599" s="36">
        <v>0</v>
      </c>
      <c r="H599" s="36">
        <v>551</v>
      </c>
      <c r="I599" s="36">
        <v>32</v>
      </c>
      <c r="J599" s="36">
        <v>120</v>
      </c>
      <c r="K599" s="6">
        <f t="shared" si="10"/>
        <v>14685.9</v>
      </c>
    </row>
    <row r="600" spans="1:11" x14ac:dyDescent="0.25">
      <c r="A600" s="35">
        <v>2012</v>
      </c>
      <c r="B600" s="33" t="s">
        <v>378</v>
      </c>
      <c r="C600" s="33" t="s">
        <v>350</v>
      </c>
      <c r="D600" s="33" t="s">
        <v>351</v>
      </c>
      <c r="E600" s="34" t="s">
        <v>353</v>
      </c>
      <c r="F600" s="36">
        <v>13982.9</v>
      </c>
      <c r="G600" s="36">
        <v>0</v>
      </c>
      <c r="H600" s="36">
        <v>551</v>
      </c>
      <c r="I600" s="36">
        <v>32</v>
      </c>
      <c r="J600" s="36">
        <v>120</v>
      </c>
      <c r="K600" s="6">
        <f t="shared" si="10"/>
        <v>14685.9</v>
      </c>
    </row>
    <row r="601" spans="1:11" x14ac:dyDescent="0.25">
      <c r="A601" s="35">
        <v>2012</v>
      </c>
      <c r="B601" s="33" t="s">
        <v>376</v>
      </c>
      <c r="C601" s="33" t="s">
        <v>350</v>
      </c>
      <c r="D601" s="33" t="s">
        <v>351</v>
      </c>
      <c r="E601" s="34" t="s">
        <v>353</v>
      </c>
      <c r="F601" s="36">
        <v>13982.9</v>
      </c>
      <c r="G601" s="36">
        <v>0</v>
      </c>
      <c r="H601" s="36">
        <v>551</v>
      </c>
      <c r="I601" s="36">
        <v>32</v>
      </c>
      <c r="J601" s="36">
        <v>120</v>
      </c>
      <c r="K601" s="6">
        <f t="shared" si="10"/>
        <v>14685.9</v>
      </c>
    </row>
    <row r="602" spans="1:11" x14ac:dyDescent="0.25">
      <c r="A602" s="35">
        <v>2012</v>
      </c>
      <c r="B602" s="33" t="s">
        <v>380</v>
      </c>
      <c r="C602" s="33" t="s">
        <v>350</v>
      </c>
      <c r="D602" s="33" t="s">
        <v>351</v>
      </c>
      <c r="E602" s="34" t="s">
        <v>353</v>
      </c>
      <c r="F602" s="36">
        <v>13982.9</v>
      </c>
      <c r="G602" s="36">
        <v>0</v>
      </c>
      <c r="H602" s="36">
        <v>551</v>
      </c>
      <c r="I602" s="36">
        <v>32</v>
      </c>
      <c r="J602" s="36">
        <v>120</v>
      </c>
      <c r="K602" s="6">
        <f t="shared" si="10"/>
        <v>14685.9</v>
      </c>
    </row>
    <row r="603" spans="1:11" x14ac:dyDescent="0.25">
      <c r="A603" s="35">
        <v>2012</v>
      </c>
      <c r="B603" s="33" t="s">
        <v>360</v>
      </c>
      <c r="C603" s="33" t="s">
        <v>350</v>
      </c>
      <c r="D603" s="33" t="s">
        <v>351</v>
      </c>
      <c r="E603" s="34" t="s">
        <v>353</v>
      </c>
      <c r="F603" s="36">
        <v>13982.9</v>
      </c>
      <c r="G603" s="36">
        <v>0</v>
      </c>
      <c r="H603" s="36">
        <v>551</v>
      </c>
      <c r="I603" s="36">
        <v>32</v>
      </c>
      <c r="J603" s="36">
        <v>120</v>
      </c>
      <c r="K603" s="6">
        <f t="shared" si="10"/>
        <v>14685.9</v>
      </c>
    </row>
    <row r="604" spans="1:11" x14ac:dyDescent="0.25">
      <c r="A604" s="35">
        <v>2012</v>
      </c>
      <c r="B604" s="33" t="s">
        <v>368</v>
      </c>
      <c r="C604" s="33" t="s">
        <v>350</v>
      </c>
      <c r="D604" s="33" t="s">
        <v>351</v>
      </c>
      <c r="E604" s="34" t="s">
        <v>353</v>
      </c>
      <c r="F604" s="36">
        <v>13982.9</v>
      </c>
      <c r="G604" s="36">
        <v>0</v>
      </c>
      <c r="H604" s="36">
        <v>551</v>
      </c>
      <c r="I604" s="36">
        <v>32</v>
      </c>
      <c r="J604" s="36">
        <v>120</v>
      </c>
      <c r="K604" s="6">
        <f t="shared" si="10"/>
        <v>14685.9</v>
      </c>
    </row>
    <row r="605" spans="1:11" x14ac:dyDescent="0.25">
      <c r="A605" s="35">
        <v>2012</v>
      </c>
      <c r="B605" s="33" t="s">
        <v>358</v>
      </c>
      <c r="C605" s="33" t="s">
        <v>350</v>
      </c>
      <c r="D605" s="33" t="s">
        <v>351</v>
      </c>
      <c r="E605" s="34" t="s">
        <v>353</v>
      </c>
      <c r="F605" s="36">
        <v>13982.9</v>
      </c>
      <c r="G605" s="36">
        <v>0</v>
      </c>
      <c r="H605" s="36">
        <v>551</v>
      </c>
      <c r="I605" s="36">
        <v>32</v>
      </c>
      <c r="J605" s="36">
        <v>120</v>
      </c>
      <c r="K605" s="6">
        <f t="shared" si="10"/>
        <v>14685.9</v>
      </c>
    </row>
    <row r="606" spans="1:11" x14ac:dyDescent="0.25">
      <c r="A606" s="35">
        <v>2012</v>
      </c>
      <c r="B606" s="33" t="s">
        <v>362</v>
      </c>
      <c r="C606" s="33" t="s">
        <v>350</v>
      </c>
      <c r="D606" s="33" t="s">
        <v>351</v>
      </c>
      <c r="E606" s="34" t="s">
        <v>353</v>
      </c>
      <c r="F606" s="36">
        <v>13982.9</v>
      </c>
      <c r="G606" s="36">
        <v>0</v>
      </c>
      <c r="H606" s="36">
        <v>551</v>
      </c>
      <c r="I606" s="36">
        <v>32</v>
      </c>
      <c r="J606" s="36">
        <v>120</v>
      </c>
      <c r="K606" s="6">
        <f t="shared" si="10"/>
        <v>14685.9</v>
      </c>
    </row>
    <row r="607" spans="1:11" x14ac:dyDescent="0.25">
      <c r="A607" s="35">
        <v>2012</v>
      </c>
      <c r="B607" s="33" t="s">
        <v>374</v>
      </c>
      <c r="C607" s="33" t="s">
        <v>350</v>
      </c>
      <c r="D607" s="33" t="s">
        <v>351</v>
      </c>
      <c r="E607" s="34" t="s">
        <v>353</v>
      </c>
      <c r="F607" s="36">
        <v>13982.9</v>
      </c>
      <c r="G607" s="36">
        <v>0</v>
      </c>
      <c r="H607" s="36">
        <v>551</v>
      </c>
      <c r="I607" s="36">
        <v>32</v>
      </c>
      <c r="J607" s="36">
        <v>120</v>
      </c>
      <c r="K607" s="6">
        <f t="shared" si="10"/>
        <v>14685.9</v>
      </c>
    </row>
    <row r="608" spans="1:11" x14ac:dyDescent="0.25">
      <c r="A608" s="35">
        <v>2012</v>
      </c>
      <c r="B608" s="33" t="s">
        <v>364</v>
      </c>
      <c r="C608" s="33" t="s">
        <v>350</v>
      </c>
      <c r="D608" s="33" t="s">
        <v>351</v>
      </c>
      <c r="E608" s="34" t="s">
        <v>353</v>
      </c>
      <c r="F608" s="36">
        <v>13982.9</v>
      </c>
      <c r="G608" s="36">
        <v>0</v>
      </c>
      <c r="H608" s="36">
        <v>551</v>
      </c>
      <c r="I608" s="36">
        <v>32</v>
      </c>
      <c r="J608" s="36">
        <v>120</v>
      </c>
      <c r="K608" s="6">
        <f t="shared" si="10"/>
        <v>14685.9</v>
      </c>
    </row>
    <row r="609" spans="1:11" x14ac:dyDescent="0.25">
      <c r="A609" s="35">
        <v>2012</v>
      </c>
      <c r="B609" s="33" t="s">
        <v>366</v>
      </c>
      <c r="C609" s="33" t="s">
        <v>350</v>
      </c>
      <c r="D609" s="33" t="s">
        <v>351</v>
      </c>
      <c r="E609" s="34" t="s">
        <v>353</v>
      </c>
      <c r="F609" s="36">
        <v>13982.9</v>
      </c>
      <c r="G609" s="36">
        <v>0</v>
      </c>
      <c r="H609" s="36">
        <v>551</v>
      </c>
      <c r="I609" s="36">
        <v>32</v>
      </c>
      <c r="J609" s="36">
        <v>120</v>
      </c>
      <c r="K609" s="6">
        <f t="shared" si="10"/>
        <v>14685.9</v>
      </c>
    </row>
    <row r="610" spans="1:11" x14ac:dyDescent="0.25">
      <c r="A610" s="35">
        <v>2012</v>
      </c>
      <c r="B610" s="33" t="s">
        <v>372</v>
      </c>
      <c r="C610" s="33" t="s">
        <v>350</v>
      </c>
      <c r="D610" s="33" t="s">
        <v>351</v>
      </c>
      <c r="E610" s="34" t="s">
        <v>353</v>
      </c>
      <c r="F610" s="36">
        <v>13982.9</v>
      </c>
      <c r="G610" s="36">
        <v>0</v>
      </c>
      <c r="H610" s="36">
        <v>551</v>
      </c>
      <c r="I610" s="36">
        <v>32</v>
      </c>
      <c r="J610" s="36">
        <v>120</v>
      </c>
      <c r="K610" s="6">
        <f t="shared" si="10"/>
        <v>14685.9</v>
      </c>
    </row>
    <row r="611" spans="1:11" x14ac:dyDescent="0.25">
      <c r="A611" s="35">
        <v>2012</v>
      </c>
      <c r="B611" s="33" t="s">
        <v>370</v>
      </c>
      <c r="C611" s="33" t="s">
        <v>350</v>
      </c>
      <c r="D611" s="33" t="s">
        <v>351</v>
      </c>
      <c r="E611" s="34" t="s">
        <v>353</v>
      </c>
      <c r="F611" s="36">
        <v>13982.9</v>
      </c>
      <c r="G611" s="36">
        <v>0</v>
      </c>
      <c r="H611" s="36">
        <v>551</v>
      </c>
      <c r="I611" s="36">
        <v>32</v>
      </c>
      <c r="J611" s="36">
        <v>120</v>
      </c>
      <c r="K611" s="6">
        <f t="shared" si="10"/>
        <v>14685.9</v>
      </c>
    </row>
    <row r="612" spans="1:11" x14ac:dyDescent="0.25">
      <c r="A612" s="35">
        <v>2012</v>
      </c>
      <c r="B612" s="33" t="s">
        <v>356</v>
      </c>
      <c r="C612" s="33" t="s">
        <v>350</v>
      </c>
      <c r="D612" s="33" t="s">
        <v>351</v>
      </c>
      <c r="E612" s="34" t="s">
        <v>353</v>
      </c>
      <c r="F612" s="36">
        <v>13982.9</v>
      </c>
      <c r="G612" s="36">
        <v>0</v>
      </c>
      <c r="H612" s="36">
        <v>551</v>
      </c>
      <c r="I612" s="36">
        <v>32</v>
      </c>
      <c r="J612" s="36">
        <v>120</v>
      </c>
      <c r="K612" s="6">
        <f t="shared" si="10"/>
        <v>14685.9</v>
      </c>
    </row>
    <row r="613" spans="1:11" x14ac:dyDescent="0.25">
      <c r="A613" s="35">
        <v>2012</v>
      </c>
      <c r="B613" s="33" t="s">
        <v>354</v>
      </c>
      <c r="C613" s="33" t="s">
        <v>350</v>
      </c>
      <c r="D613" s="33" t="s">
        <v>351</v>
      </c>
      <c r="E613" s="34" t="s">
        <v>353</v>
      </c>
      <c r="F613" s="36">
        <v>13982.9</v>
      </c>
      <c r="G613" s="36">
        <v>0</v>
      </c>
      <c r="H613" s="36">
        <v>551</v>
      </c>
      <c r="I613" s="36">
        <v>32</v>
      </c>
      <c r="J613" s="36">
        <v>120</v>
      </c>
      <c r="K613" s="6">
        <f t="shared" si="10"/>
        <v>14685.9</v>
      </c>
    </row>
    <row r="614" spans="1:11" x14ac:dyDescent="0.25">
      <c r="A614" s="35">
        <v>2012</v>
      </c>
      <c r="B614" s="33" t="s">
        <v>349</v>
      </c>
      <c r="C614" s="33" t="s">
        <v>350</v>
      </c>
      <c r="D614" s="33" t="s">
        <v>351</v>
      </c>
      <c r="E614" s="34" t="s">
        <v>353</v>
      </c>
      <c r="F614" s="36">
        <v>13982.9</v>
      </c>
      <c r="G614" s="36">
        <v>0</v>
      </c>
      <c r="H614" s="36">
        <v>551</v>
      </c>
      <c r="I614" s="36">
        <v>32</v>
      </c>
      <c r="J614" s="36">
        <v>120</v>
      </c>
      <c r="K614" s="6">
        <f t="shared" si="10"/>
        <v>14685.9</v>
      </c>
    </row>
    <row r="615" spans="1:11" x14ac:dyDescent="0.25">
      <c r="A615" s="35">
        <v>2012</v>
      </c>
      <c r="B615" s="33" t="s">
        <v>399</v>
      </c>
      <c r="C615" s="33" t="s">
        <v>400</v>
      </c>
      <c r="D615" s="33" t="s">
        <v>401</v>
      </c>
      <c r="E615" s="34" t="s">
        <v>402</v>
      </c>
      <c r="F615" s="36">
        <v>14577.95</v>
      </c>
      <c r="G615" s="36">
        <v>0</v>
      </c>
      <c r="H615" s="36">
        <v>551</v>
      </c>
      <c r="I615" s="36">
        <v>32</v>
      </c>
      <c r="J615" s="36">
        <v>120</v>
      </c>
      <c r="K615" s="6">
        <f t="shared" si="10"/>
        <v>15280.95</v>
      </c>
    </row>
    <row r="616" spans="1:11" x14ac:dyDescent="0.25">
      <c r="A616" s="35">
        <v>2012</v>
      </c>
      <c r="B616" s="33" t="s">
        <v>395</v>
      </c>
      <c r="C616" s="33" t="s">
        <v>396</v>
      </c>
      <c r="D616" s="33" t="s">
        <v>397</v>
      </c>
      <c r="E616" s="34" t="s">
        <v>398</v>
      </c>
      <c r="F616" s="36">
        <v>15173.2</v>
      </c>
      <c r="G616" s="36">
        <v>0</v>
      </c>
      <c r="H616" s="36">
        <v>551</v>
      </c>
      <c r="I616" s="36">
        <v>32</v>
      </c>
      <c r="J616" s="36">
        <v>120</v>
      </c>
      <c r="K616" s="6">
        <f t="shared" si="10"/>
        <v>15876.2</v>
      </c>
    </row>
    <row r="617" spans="1:11" x14ac:dyDescent="0.25">
      <c r="A617" s="35">
        <v>2012</v>
      </c>
      <c r="B617" s="33" t="s">
        <v>427</v>
      </c>
      <c r="C617" s="33" t="s">
        <v>482</v>
      </c>
      <c r="D617" s="33"/>
      <c r="E617" s="34" t="s">
        <v>483</v>
      </c>
      <c r="F617" s="36">
        <v>20483.25</v>
      </c>
      <c r="G617" s="36">
        <v>0</v>
      </c>
      <c r="H617" s="36"/>
      <c r="I617" s="36"/>
      <c r="J617" s="36"/>
      <c r="K617" s="6"/>
    </row>
    <row r="618" spans="1:11" x14ac:dyDescent="0.25">
      <c r="A618" s="35">
        <v>2012</v>
      </c>
      <c r="B618" s="33" t="s">
        <v>429</v>
      </c>
      <c r="C618" s="33" t="s">
        <v>484</v>
      </c>
      <c r="D618" s="33"/>
      <c r="E618" s="34" t="s">
        <v>430</v>
      </c>
      <c r="F618" s="36">
        <v>17206.099999999999</v>
      </c>
      <c r="G618" s="36">
        <v>0</v>
      </c>
      <c r="H618" s="36"/>
      <c r="I618" s="36"/>
      <c r="J618" s="36"/>
      <c r="K618" s="6"/>
    </row>
    <row r="619" spans="1:11" x14ac:dyDescent="0.25">
      <c r="A619" s="35">
        <v>2012</v>
      </c>
      <c r="B619" s="33" t="s">
        <v>431</v>
      </c>
      <c r="C619" s="33" t="s">
        <v>485</v>
      </c>
      <c r="D619" s="33"/>
      <c r="E619" s="34" t="s">
        <v>486</v>
      </c>
      <c r="F619" s="36">
        <v>14698.7</v>
      </c>
      <c r="G619" s="36">
        <v>0</v>
      </c>
      <c r="H619" s="36"/>
      <c r="I619" s="36"/>
      <c r="J619" s="36"/>
      <c r="K619" s="6"/>
    </row>
    <row r="620" spans="1:11" x14ac:dyDescent="0.25">
      <c r="A620" s="35">
        <v>2012</v>
      </c>
      <c r="B620" s="33" t="s">
        <v>433</v>
      </c>
      <c r="C620" s="33" t="s">
        <v>487</v>
      </c>
      <c r="D620" s="33"/>
      <c r="E620" s="34" t="s">
        <v>488</v>
      </c>
      <c r="F620" s="36">
        <v>12861.15</v>
      </c>
      <c r="G620" s="36">
        <v>0</v>
      </c>
      <c r="H620" s="36"/>
      <c r="I620" s="36"/>
      <c r="J620" s="36"/>
      <c r="K620" s="6"/>
    </row>
    <row r="621" spans="1:11" x14ac:dyDescent="0.25">
      <c r="A621" s="35">
        <v>2012</v>
      </c>
      <c r="B621" s="33" t="s">
        <v>435</v>
      </c>
      <c r="C621" s="33" t="s">
        <v>489</v>
      </c>
      <c r="D621" s="33"/>
      <c r="E621" s="34" t="s">
        <v>490</v>
      </c>
      <c r="F621" s="36">
        <v>12089.85</v>
      </c>
      <c r="G621" s="36">
        <v>0</v>
      </c>
      <c r="H621" s="36"/>
      <c r="I621" s="36"/>
      <c r="J621" s="36"/>
      <c r="K621" s="6"/>
    </row>
    <row r="622" spans="1:11" x14ac:dyDescent="0.25">
      <c r="A622" s="35">
        <v>2012</v>
      </c>
      <c r="B622" s="33" t="s">
        <v>437</v>
      </c>
      <c r="C622" s="33" t="s">
        <v>491</v>
      </c>
      <c r="D622" s="33"/>
      <c r="E622" s="34" t="s">
        <v>492</v>
      </c>
      <c r="F622" s="36">
        <v>10794.05</v>
      </c>
      <c r="G622" s="36">
        <v>0</v>
      </c>
      <c r="H622" s="36"/>
      <c r="I622" s="36"/>
      <c r="J622" s="36"/>
      <c r="K622" s="6"/>
    </row>
    <row r="623" spans="1:11" x14ac:dyDescent="0.25">
      <c r="A623" s="35">
        <v>2012</v>
      </c>
      <c r="B623" s="33" t="s">
        <v>439</v>
      </c>
      <c r="C623" s="33" t="s">
        <v>493</v>
      </c>
      <c r="D623" s="33"/>
      <c r="E623" s="34" t="s">
        <v>494</v>
      </c>
      <c r="F623" s="36">
        <v>9233.7999999999993</v>
      </c>
      <c r="G623" s="36">
        <v>0</v>
      </c>
      <c r="H623" s="36"/>
      <c r="I623" s="36"/>
      <c r="J623" s="36"/>
      <c r="K623" s="6"/>
    </row>
    <row r="624" spans="1:11" x14ac:dyDescent="0.25">
      <c r="A624" s="35">
        <v>2012</v>
      </c>
      <c r="B624" s="33" t="s">
        <v>441</v>
      </c>
      <c r="C624" s="33" t="s">
        <v>304</v>
      </c>
      <c r="D624" s="33"/>
      <c r="E624" s="34" t="s">
        <v>307</v>
      </c>
      <c r="F624" s="36">
        <v>13388.45</v>
      </c>
      <c r="G624" s="36">
        <v>0</v>
      </c>
      <c r="H624" s="36"/>
      <c r="I624" s="36"/>
      <c r="J624" s="36"/>
      <c r="K624" s="6"/>
    </row>
    <row r="625" spans="1:11" x14ac:dyDescent="0.25">
      <c r="A625" s="35">
        <v>2012</v>
      </c>
      <c r="B625" s="33" t="s">
        <v>443</v>
      </c>
      <c r="C625" s="33" t="s">
        <v>304</v>
      </c>
      <c r="D625" s="33"/>
      <c r="E625" s="34" t="s">
        <v>307</v>
      </c>
      <c r="F625" s="36">
        <v>13388.45</v>
      </c>
      <c r="G625" s="36">
        <v>0</v>
      </c>
      <c r="H625" s="36"/>
      <c r="I625" s="36"/>
      <c r="J625" s="36"/>
      <c r="K625" s="6"/>
    </row>
    <row r="626" spans="1:11" x14ac:dyDescent="0.25">
      <c r="A626" s="35">
        <v>2012</v>
      </c>
      <c r="B626" s="33" t="s">
        <v>445</v>
      </c>
      <c r="C626" s="33" t="s">
        <v>304</v>
      </c>
      <c r="D626" s="33"/>
      <c r="E626" s="34" t="s">
        <v>307</v>
      </c>
      <c r="F626" s="36">
        <v>13388.45</v>
      </c>
      <c r="G626" s="36">
        <v>0</v>
      </c>
      <c r="H626" s="36"/>
      <c r="I626" s="36"/>
      <c r="J626" s="36"/>
      <c r="K626" s="6"/>
    </row>
    <row r="627" spans="1:11" x14ac:dyDescent="0.25">
      <c r="A627" s="35">
        <v>2012</v>
      </c>
      <c r="B627" s="33" t="s">
        <v>447</v>
      </c>
      <c r="C627" s="33" t="s">
        <v>331</v>
      </c>
      <c r="D627" s="33"/>
      <c r="E627" s="34" t="s">
        <v>334</v>
      </c>
      <c r="F627" s="36">
        <v>12793</v>
      </c>
      <c r="G627" s="36">
        <v>0</v>
      </c>
      <c r="H627" s="36"/>
      <c r="I627" s="36"/>
      <c r="J627" s="36"/>
      <c r="K627" s="6"/>
    </row>
    <row r="628" spans="1:11" x14ac:dyDescent="0.25">
      <c r="A628" s="35">
        <v>2012</v>
      </c>
      <c r="B628" s="33" t="s">
        <v>449</v>
      </c>
      <c r="C628" s="33" t="s">
        <v>331</v>
      </c>
      <c r="D628" s="33"/>
      <c r="E628" s="34" t="s">
        <v>334</v>
      </c>
      <c r="F628" s="36">
        <v>12793</v>
      </c>
      <c r="G628" s="36">
        <v>0</v>
      </c>
      <c r="H628" s="36"/>
      <c r="I628" s="36"/>
      <c r="J628" s="36"/>
      <c r="K628" s="6"/>
    </row>
    <row r="629" spans="1:11" x14ac:dyDescent="0.25">
      <c r="A629" s="35">
        <v>2012</v>
      </c>
      <c r="B629" s="33" t="s">
        <v>451</v>
      </c>
      <c r="C629" s="33" t="s">
        <v>331</v>
      </c>
      <c r="D629" s="33"/>
      <c r="E629" s="34" t="s">
        <v>334</v>
      </c>
      <c r="F629" s="36">
        <v>12793</v>
      </c>
      <c r="G629" s="36">
        <v>0</v>
      </c>
      <c r="H629" s="36"/>
      <c r="I629" s="36"/>
      <c r="J629" s="36"/>
      <c r="K629" s="6"/>
    </row>
    <row r="630" spans="1:11" x14ac:dyDescent="0.25">
      <c r="A630" s="35">
        <v>2012</v>
      </c>
      <c r="B630" s="33" t="s">
        <v>453</v>
      </c>
      <c r="C630" s="33" t="s">
        <v>331</v>
      </c>
      <c r="D630" s="33"/>
      <c r="E630" s="34" t="s">
        <v>334</v>
      </c>
      <c r="F630" s="36">
        <v>12793</v>
      </c>
      <c r="G630" s="36">
        <v>0</v>
      </c>
      <c r="H630" s="36"/>
      <c r="I630" s="36"/>
      <c r="J630" s="36"/>
      <c r="K630" s="6"/>
    </row>
    <row r="631" spans="1:11" x14ac:dyDescent="0.25">
      <c r="A631" s="35">
        <v>2012</v>
      </c>
      <c r="B631" s="33" t="s">
        <v>455</v>
      </c>
      <c r="C631" s="33" t="s">
        <v>331</v>
      </c>
      <c r="D631" s="33"/>
      <c r="E631" s="34" t="s">
        <v>334</v>
      </c>
      <c r="F631" s="36">
        <v>12793</v>
      </c>
      <c r="G631" s="36">
        <v>0</v>
      </c>
      <c r="H631" s="36"/>
      <c r="I631" s="36"/>
      <c r="J631" s="36"/>
      <c r="K631" s="6"/>
    </row>
    <row r="632" spans="1:11" x14ac:dyDescent="0.25">
      <c r="A632" s="4">
        <v>2011</v>
      </c>
      <c r="B632" s="11" t="s">
        <v>288</v>
      </c>
      <c r="C632" s="11" t="s">
        <v>289</v>
      </c>
      <c r="D632" s="11" t="s">
        <v>290</v>
      </c>
      <c r="E632" s="12" t="s">
        <v>291</v>
      </c>
      <c r="F632" s="5" t="s">
        <v>495</v>
      </c>
      <c r="G632" s="5">
        <v>0</v>
      </c>
      <c r="H632" s="5">
        <v>551</v>
      </c>
      <c r="I632" s="5">
        <v>32</v>
      </c>
      <c r="J632" s="5">
        <v>120</v>
      </c>
      <c r="K632" s="6">
        <f t="shared" si="10"/>
        <v>703</v>
      </c>
    </row>
    <row r="633" spans="1:11" x14ac:dyDescent="0.25">
      <c r="A633" s="4">
        <v>2011</v>
      </c>
      <c r="B633" s="11" t="s">
        <v>295</v>
      </c>
      <c r="C633" s="11" t="s">
        <v>289</v>
      </c>
      <c r="D633" s="11" t="s">
        <v>290</v>
      </c>
      <c r="E633" s="12" t="s">
        <v>296</v>
      </c>
      <c r="F633" s="5">
        <v>11449.86</v>
      </c>
      <c r="G633" s="5">
        <v>0</v>
      </c>
      <c r="H633" s="5">
        <v>551</v>
      </c>
      <c r="I633" s="5">
        <v>32</v>
      </c>
      <c r="J633" s="5">
        <v>120</v>
      </c>
      <c r="K633" s="6">
        <f t="shared" si="10"/>
        <v>12152.86</v>
      </c>
    </row>
    <row r="634" spans="1:11" x14ac:dyDescent="0.25">
      <c r="A634" s="4">
        <v>2011</v>
      </c>
      <c r="B634" s="11" t="s">
        <v>301</v>
      </c>
      <c r="C634" s="11" t="s">
        <v>289</v>
      </c>
      <c r="D634" s="11" t="s">
        <v>290</v>
      </c>
      <c r="E634" s="12" t="s">
        <v>302</v>
      </c>
      <c r="F634" s="5">
        <v>11449.86</v>
      </c>
      <c r="G634" s="5">
        <v>0</v>
      </c>
      <c r="H634" s="5">
        <v>551</v>
      </c>
      <c r="I634" s="5">
        <v>32</v>
      </c>
      <c r="J634" s="5">
        <v>120</v>
      </c>
      <c r="K634" s="6">
        <f t="shared" si="10"/>
        <v>12152.86</v>
      </c>
    </row>
    <row r="635" spans="1:11" x14ac:dyDescent="0.25">
      <c r="A635" s="4">
        <v>2011</v>
      </c>
      <c r="B635" s="11" t="s">
        <v>299</v>
      </c>
      <c r="C635" s="11" t="s">
        <v>289</v>
      </c>
      <c r="D635" s="11" t="s">
        <v>290</v>
      </c>
      <c r="E635" s="12" t="s">
        <v>300</v>
      </c>
      <c r="F635" s="5">
        <v>11449.86</v>
      </c>
      <c r="G635" s="5">
        <v>0</v>
      </c>
      <c r="H635" s="5">
        <v>551</v>
      </c>
      <c r="I635" s="5">
        <v>32</v>
      </c>
      <c r="J635" s="5">
        <v>120</v>
      </c>
      <c r="K635" s="6">
        <f t="shared" si="10"/>
        <v>12152.86</v>
      </c>
    </row>
    <row r="636" spans="1:11" x14ac:dyDescent="0.25">
      <c r="A636" s="4">
        <v>2011</v>
      </c>
      <c r="B636" s="11" t="s">
        <v>297</v>
      </c>
      <c r="C636" s="11" t="s">
        <v>289</v>
      </c>
      <c r="D636" s="11" t="s">
        <v>290</v>
      </c>
      <c r="E636" s="12" t="s">
        <v>298</v>
      </c>
      <c r="F636" s="5">
        <v>11449.86</v>
      </c>
      <c r="G636" s="5">
        <v>0</v>
      </c>
      <c r="H636" s="5">
        <v>551</v>
      </c>
      <c r="I636" s="5">
        <v>32</v>
      </c>
      <c r="J636" s="5">
        <v>120</v>
      </c>
      <c r="K636" s="6">
        <f t="shared" si="10"/>
        <v>12152.86</v>
      </c>
    </row>
    <row r="637" spans="1:11" x14ac:dyDescent="0.25">
      <c r="A637" s="4">
        <v>2011</v>
      </c>
      <c r="B637" s="11" t="s">
        <v>391</v>
      </c>
      <c r="C637" s="11" t="s">
        <v>383</v>
      </c>
      <c r="D637" s="11" t="s">
        <v>384</v>
      </c>
      <c r="E637" s="12" t="s">
        <v>392</v>
      </c>
      <c r="F637" s="5">
        <v>11449.86</v>
      </c>
      <c r="G637" s="5">
        <v>0</v>
      </c>
      <c r="H637" s="5">
        <v>551</v>
      </c>
      <c r="I637" s="5">
        <v>32</v>
      </c>
      <c r="J637" s="5">
        <v>120</v>
      </c>
      <c r="K637" s="6">
        <f t="shared" si="10"/>
        <v>12152.86</v>
      </c>
    </row>
    <row r="638" spans="1:11" x14ac:dyDescent="0.25">
      <c r="A638" s="4">
        <v>2011</v>
      </c>
      <c r="B638" s="11" t="s">
        <v>393</v>
      </c>
      <c r="C638" s="11" t="s">
        <v>383</v>
      </c>
      <c r="D638" s="11" t="s">
        <v>384</v>
      </c>
      <c r="E638" s="12" t="s">
        <v>394</v>
      </c>
      <c r="F638" s="5">
        <v>11449.86</v>
      </c>
      <c r="G638" s="5">
        <v>0</v>
      </c>
      <c r="H638" s="5">
        <v>551</v>
      </c>
      <c r="I638" s="5">
        <v>32</v>
      </c>
      <c r="J638" s="5">
        <v>120</v>
      </c>
      <c r="K638" s="6">
        <f t="shared" si="10"/>
        <v>12152.86</v>
      </c>
    </row>
    <row r="639" spans="1:11" x14ac:dyDescent="0.25">
      <c r="A639" s="4">
        <v>2011</v>
      </c>
      <c r="B639" s="11" t="s">
        <v>387</v>
      </c>
      <c r="C639" s="11" t="s">
        <v>383</v>
      </c>
      <c r="D639" s="11" t="s">
        <v>384</v>
      </c>
      <c r="E639" s="12" t="s">
        <v>388</v>
      </c>
      <c r="F639" s="5">
        <v>11449.86</v>
      </c>
      <c r="G639" s="5">
        <v>0</v>
      </c>
      <c r="H639" s="5">
        <v>551</v>
      </c>
      <c r="I639" s="5">
        <v>32</v>
      </c>
      <c r="J639" s="5">
        <v>120</v>
      </c>
      <c r="K639" s="6">
        <f t="shared" si="10"/>
        <v>12152.86</v>
      </c>
    </row>
    <row r="640" spans="1:11" x14ac:dyDescent="0.25">
      <c r="A640" s="4">
        <v>2011</v>
      </c>
      <c r="B640" s="11" t="s">
        <v>382</v>
      </c>
      <c r="C640" s="11" t="s">
        <v>383</v>
      </c>
      <c r="D640" s="11" t="s">
        <v>384</v>
      </c>
      <c r="E640" s="12" t="s">
        <v>385</v>
      </c>
      <c r="F640" s="5">
        <v>11449.86</v>
      </c>
      <c r="G640" s="5">
        <v>0</v>
      </c>
      <c r="H640" s="5">
        <v>551</v>
      </c>
      <c r="I640" s="5">
        <v>32</v>
      </c>
      <c r="J640" s="5">
        <v>120</v>
      </c>
      <c r="K640" s="6">
        <f t="shared" si="10"/>
        <v>12152.86</v>
      </c>
    </row>
    <row r="641" spans="1:11" x14ac:dyDescent="0.25">
      <c r="A641" s="4">
        <v>2011</v>
      </c>
      <c r="B641" s="11" t="s">
        <v>389</v>
      </c>
      <c r="C641" s="11" t="s">
        <v>383</v>
      </c>
      <c r="D641" s="11" t="s">
        <v>384</v>
      </c>
      <c r="E641" s="12" t="s">
        <v>390</v>
      </c>
      <c r="F641" s="5">
        <v>11449.86</v>
      </c>
      <c r="G641" s="5">
        <v>0</v>
      </c>
      <c r="H641" s="5">
        <v>551</v>
      </c>
      <c r="I641" s="5">
        <v>32</v>
      </c>
      <c r="J641" s="5">
        <v>120</v>
      </c>
      <c r="K641" s="6">
        <f t="shared" si="10"/>
        <v>12152.86</v>
      </c>
    </row>
    <row r="642" spans="1:11" x14ac:dyDescent="0.25">
      <c r="A642" s="4">
        <v>2011</v>
      </c>
      <c r="B642" s="11" t="s">
        <v>337</v>
      </c>
      <c r="C642" s="11" t="s">
        <v>331</v>
      </c>
      <c r="D642" s="11" t="s">
        <v>332</v>
      </c>
      <c r="E642" s="12" t="s">
        <v>338</v>
      </c>
      <c r="F642" s="5">
        <v>12000.5</v>
      </c>
      <c r="G642" s="5">
        <v>0</v>
      </c>
      <c r="H642" s="5">
        <v>551</v>
      </c>
      <c r="I642" s="5">
        <v>32</v>
      </c>
      <c r="J642" s="5">
        <v>120</v>
      </c>
      <c r="K642" s="6">
        <f t="shared" si="10"/>
        <v>12703.5</v>
      </c>
    </row>
    <row r="643" spans="1:11" x14ac:dyDescent="0.25">
      <c r="A643" s="4">
        <v>2011</v>
      </c>
      <c r="B643" s="11" t="s">
        <v>345</v>
      </c>
      <c r="C643" s="11" t="s">
        <v>331</v>
      </c>
      <c r="D643" s="11" t="s">
        <v>332</v>
      </c>
      <c r="E643" s="12" t="s">
        <v>346</v>
      </c>
      <c r="F643" s="5">
        <v>12000.5</v>
      </c>
      <c r="G643" s="5">
        <v>0</v>
      </c>
      <c r="H643" s="5">
        <v>551</v>
      </c>
      <c r="I643" s="5">
        <v>32</v>
      </c>
      <c r="J643" s="5">
        <v>120</v>
      </c>
      <c r="K643" s="6">
        <f t="shared" si="10"/>
        <v>12703.5</v>
      </c>
    </row>
    <row r="644" spans="1:11" x14ac:dyDescent="0.25">
      <c r="A644" s="4">
        <v>2011</v>
      </c>
      <c r="B644" s="11" t="s">
        <v>341</v>
      </c>
      <c r="C644" s="11" t="s">
        <v>331</v>
      </c>
      <c r="D644" s="11" t="s">
        <v>332</v>
      </c>
      <c r="E644" s="12" t="s">
        <v>342</v>
      </c>
      <c r="F644" s="5">
        <v>12000.5</v>
      </c>
      <c r="G644" s="5">
        <v>0</v>
      </c>
      <c r="H644" s="5">
        <v>551</v>
      </c>
      <c r="I644" s="5">
        <v>32</v>
      </c>
      <c r="J644" s="5">
        <v>120</v>
      </c>
      <c r="K644" s="6">
        <f t="shared" si="10"/>
        <v>12703.5</v>
      </c>
    </row>
    <row r="645" spans="1:11" x14ac:dyDescent="0.25">
      <c r="A645" s="4">
        <v>2011</v>
      </c>
      <c r="B645" s="11" t="s">
        <v>343</v>
      </c>
      <c r="C645" s="11" t="s">
        <v>331</v>
      </c>
      <c r="D645" s="11" t="s">
        <v>332</v>
      </c>
      <c r="E645" s="12" t="s">
        <v>344</v>
      </c>
      <c r="F645" s="5">
        <v>12000.5</v>
      </c>
      <c r="G645" s="5">
        <v>0</v>
      </c>
      <c r="H645" s="5">
        <v>551</v>
      </c>
      <c r="I645" s="5">
        <v>32</v>
      </c>
      <c r="J645" s="5">
        <v>120</v>
      </c>
      <c r="K645" s="6">
        <f t="shared" si="10"/>
        <v>12703.5</v>
      </c>
    </row>
    <row r="646" spans="1:11" x14ac:dyDescent="0.25">
      <c r="A646" s="4">
        <v>2011</v>
      </c>
      <c r="B646" s="11" t="s">
        <v>347</v>
      </c>
      <c r="C646" s="11" t="s">
        <v>331</v>
      </c>
      <c r="D646" s="11" t="s">
        <v>332</v>
      </c>
      <c r="E646" s="12" t="s">
        <v>348</v>
      </c>
      <c r="F646" s="5">
        <v>12000.5</v>
      </c>
      <c r="G646" s="5">
        <v>0</v>
      </c>
      <c r="H646" s="5">
        <v>551</v>
      </c>
      <c r="I646" s="5">
        <v>32</v>
      </c>
      <c r="J646" s="5">
        <v>120</v>
      </c>
      <c r="K646" s="6">
        <f t="shared" si="10"/>
        <v>12703.5</v>
      </c>
    </row>
    <row r="647" spans="1:11" x14ac:dyDescent="0.25">
      <c r="A647" s="4">
        <v>2011</v>
      </c>
      <c r="B647" s="11" t="s">
        <v>330</v>
      </c>
      <c r="C647" s="11" t="s">
        <v>331</v>
      </c>
      <c r="D647" s="11" t="s">
        <v>332</v>
      </c>
      <c r="E647" s="12" t="s">
        <v>333</v>
      </c>
      <c r="F647" s="5">
        <v>12000.5</v>
      </c>
      <c r="G647" s="5">
        <v>0</v>
      </c>
      <c r="H647" s="5">
        <v>551</v>
      </c>
      <c r="I647" s="5">
        <v>32</v>
      </c>
      <c r="J647" s="5">
        <v>120</v>
      </c>
      <c r="K647" s="6">
        <f t="shared" si="10"/>
        <v>12703.5</v>
      </c>
    </row>
    <row r="648" spans="1:11" x14ac:dyDescent="0.25">
      <c r="A648" s="4">
        <v>2011</v>
      </c>
      <c r="B648" s="11" t="s">
        <v>335</v>
      </c>
      <c r="C648" s="11" t="s">
        <v>331</v>
      </c>
      <c r="D648" s="11" t="s">
        <v>332</v>
      </c>
      <c r="E648" s="12" t="s">
        <v>336</v>
      </c>
      <c r="F648" s="5">
        <v>12000.5</v>
      </c>
      <c r="G648" s="5">
        <v>0</v>
      </c>
      <c r="H648" s="5">
        <v>551</v>
      </c>
      <c r="I648" s="5">
        <v>32</v>
      </c>
      <c r="J648" s="5">
        <v>120</v>
      </c>
      <c r="K648" s="6">
        <f t="shared" si="10"/>
        <v>12703.5</v>
      </c>
    </row>
    <row r="649" spans="1:11" x14ac:dyDescent="0.25">
      <c r="A649" s="4">
        <v>2011</v>
      </c>
      <c r="B649" s="11" t="s">
        <v>339</v>
      </c>
      <c r="C649" s="11" t="s">
        <v>331</v>
      </c>
      <c r="D649" s="11" t="s">
        <v>332</v>
      </c>
      <c r="E649" s="12" t="s">
        <v>340</v>
      </c>
      <c r="F649" s="5">
        <v>12000.5</v>
      </c>
      <c r="G649" s="5">
        <v>0</v>
      </c>
      <c r="H649" s="5">
        <v>551</v>
      </c>
      <c r="I649" s="5">
        <v>32</v>
      </c>
      <c r="J649" s="5">
        <v>120</v>
      </c>
      <c r="K649" s="6">
        <f t="shared" si="10"/>
        <v>12703.5</v>
      </c>
    </row>
    <row r="650" spans="1:11" x14ac:dyDescent="0.25">
      <c r="A650" s="4">
        <v>2011</v>
      </c>
      <c r="B650" s="11" t="s">
        <v>318</v>
      </c>
      <c r="C650" s="11" t="s">
        <v>304</v>
      </c>
      <c r="D650" s="11" t="s">
        <v>305</v>
      </c>
      <c r="E650" s="12" t="s">
        <v>319</v>
      </c>
      <c r="F650" s="5">
        <v>12551.3</v>
      </c>
      <c r="G650" s="5">
        <v>0</v>
      </c>
      <c r="H650" s="5">
        <v>551</v>
      </c>
      <c r="I650" s="5">
        <v>32</v>
      </c>
      <c r="J650" s="5">
        <v>120</v>
      </c>
      <c r="K650" s="6">
        <f t="shared" si="10"/>
        <v>13254.3</v>
      </c>
    </row>
    <row r="651" spans="1:11" x14ac:dyDescent="0.25">
      <c r="A651" s="4">
        <v>2011</v>
      </c>
      <c r="B651" s="11" t="s">
        <v>312</v>
      </c>
      <c r="C651" s="11" t="s">
        <v>304</v>
      </c>
      <c r="D651" s="11" t="s">
        <v>305</v>
      </c>
      <c r="E651" s="12" t="s">
        <v>313</v>
      </c>
      <c r="F651" s="5">
        <v>12551.3</v>
      </c>
      <c r="G651" s="5">
        <v>0</v>
      </c>
      <c r="H651" s="5">
        <v>551</v>
      </c>
      <c r="I651" s="5">
        <v>32</v>
      </c>
      <c r="J651" s="5">
        <v>120</v>
      </c>
      <c r="K651" s="6">
        <f t="shared" si="10"/>
        <v>13254.3</v>
      </c>
    </row>
    <row r="652" spans="1:11" x14ac:dyDescent="0.25">
      <c r="A652" s="4">
        <v>2011</v>
      </c>
      <c r="B652" s="11" t="s">
        <v>326</v>
      </c>
      <c r="C652" s="11" t="s">
        <v>304</v>
      </c>
      <c r="D652" s="11" t="s">
        <v>305</v>
      </c>
      <c r="E652" s="12" t="s">
        <v>327</v>
      </c>
      <c r="F652" s="5">
        <v>12551.3</v>
      </c>
      <c r="G652" s="5">
        <v>0</v>
      </c>
      <c r="H652" s="5">
        <v>551</v>
      </c>
      <c r="I652" s="5">
        <v>32</v>
      </c>
      <c r="J652" s="5">
        <v>120</v>
      </c>
      <c r="K652" s="6">
        <f t="shared" si="10"/>
        <v>13254.3</v>
      </c>
    </row>
    <row r="653" spans="1:11" x14ac:dyDescent="0.25">
      <c r="A653" s="4">
        <v>2011</v>
      </c>
      <c r="B653" s="11" t="s">
        <v>322</v>
      </c>
      <c r="C653" s="11" t="s">
        <v>304</v>
      </c>
      <c r="D653" s="11" t="s">
        <v>305</v>
      </c>
      <c r="E653" s="12" t="s">
        <v>323</v>
      </c>
      <c r="F653" s="5">
        <v>12551.3</v>
      </c>
      <c r="G653" s="5">
        <v>0</v>
      </c>
      <c r="H653" s="5">
        <v>551</v>
      </c>
      <c r="I653" s="5">
        <v>32</v>
      </c>
      <c r="J653" s="5">
        <v>120</v>
      </c>
      <c r="K653" s="6">
        <f t="shared" si="10"/>
        <v>13254.3</v>
      </c>
    </row>
    <row r="654" spans="1:11" x14ac:dyDescent="0.25">
      <c r="A654" s="4">
        <v>2011</v>
      </c>
      <c r="B654" s="11" t="s">
        <v>324</v>
      </c>
      <c r="C654" s="11" t="s">
        <v>304</v>
      </c>
      <c r="D654" s="11" t="s">
        <v>305</v>
      </c>
      <c r="E654" s="12" t="s">
        <v>325</v>
      </c>
      <c r="F654" s="5">
        <v>12551.3</v>
      </c>
      <c r="G654" s="5">
        <v>0</v>
      </c>
      <c r="H654" s="5">
        <v>551</v>
      </c>
      <c r="I654" s="5">
        <v>32</v>
      </c>
      <c r="J654" s="5">
        <v>120</v>
      </c>
      <c r="K654" s="6">
        <f t="shared" si="10"/>
        <v>13254.3</v>
      </c>
    </row>
    <row r="655" spans="1:11" x14ac:dyDescent="0.25">
      <c r="A655" s="4">
        <v>2011</v>
      </c>
      <c r="B655" s="11" t="s">
        <v>328</v>
      </c>
      <c r="C655" s="11" t="s">
        <v>304</v>
      </c>
      <c r="D655" s="11" t="s">
        <v>305</v>
      </c>
      <c r="E655" s="12" t="s">
        <v>329</v>
      </c>
      <c r="F655" s="5">
        <v>12551.3</v>
      </c>
      <c r="G655" s="5">
        <v>0</v>
      </c>
      <c r="H655" s="5">
        <v>551</v>
      </c>
      <c r="I655" s="5">
        <v>32</v>
      </c>
      <c r="J655" s="5">
        <v>120</v>
      </c>
      <c r="K655" s="6">
        <f t="shared" si="10"/>
        <v>13254.3</v>
      </c>
    </row>
    <row r="656" spans="1:11" x14ac:dyDescent="0.25">
      <c r="A656" s="4">
        <v>2011</v>
      </c>
      <c r="B656" s="11" t="s">
        <v>314</v>
      </c>
      <c r="C656" s="11" t="s">
        <v>304</v>
      </c>
      <c r="D656" s="11" t="s">
        <v>305</v>
      </c>
      <c r="E656" s="12" t="s">
        <v>315</v>
      </c>
      <c r="F656" s="5">
        <v>12551.3</v>
      </c>
      <c r="G656" s="5">
        <v>0</v>
      </c>
      <c r="H656" s="5">
        <v>551</v>
      </c>
      <c r="I656" s="5">
        <v>32</v>
      </c>
      <c r="J656" s="5">
        <v>120</v>
      </c>
      <c r="K656" s="6">
        <f t="shared" si="10"/>
        <v>13254.3</v>
      </c>
    </row>
    <row r="657" spans="1:11" x14ac:dyDescent="0.25">
      <c r="A657" s="4">
        <v>2011</v>
      </c>
      <c r="B657" s="11" t="s">
        <v>316</v>
      </c>
      <c r="C657" s="11" t="s">
        <v>304</v>
      </c>
      <c r="D657" s="11" t="s">
        <v>305</v>
      </c>
      <c r="E657" s="12" t="s">
        <v>317</v>
      </c>
      <c r="F657" s="5">
        <v>12551.3</v>
      </c>
      <c r="G657" s="5">
        <v>0</v>
      </c>
      <c r="H657" s="5">
        <v>551</v>
      </c>
      <c r="I657" s="5">
        <v>32</v>
      </c>
      <c r="J657" s="5">
        <v>120</v>
      </c>
      <c r="K657" s="6">
        <f t="shared" si="10"/>
        <v>13254.3</v>
      </c>
    </row>
    <row r="658" spans="1:11" x14ac:dyDescent="0.25">
      <c r="A658" s="4">
        <v>2011</v>
      </c>
      <c r="B658" s="11" t="s">
        <v>320</v>
      </c>
      <c r="C658" s="11" t="s">
        <v>304</v>
      </c>
      <c r="D658" s="11" t="s">
        <v>305</v>
      </c>
      <c r="E658" s="12" t="s">
        <v>321</v>
      </c>
      <c r="F658" s="5">
        <v>12551.3</v>
      </c>
      <c r="G658" s="5">
        <v>0</v>
      </c>
      <c r="H658" s="5">
        <v>551</v>
      </c>
      <c r="I658" s="5">
        <v>32</v>
      </c>
      <c r="J658" s="5">
        <v>120</v>
      </c>
      <c r="K658" s="6">
        <f t="shared" si="10"/>
        <v>13254.3</v>
      </c>
    </row>
    <row r="659" spans="1:11" x14ac:dyDescent="0.25">
      <c r="A659" s="4">
        <v>2011</v>
      </c>
      <c r="B659" s="11" t="s">
        <v>310</v>
      </c>
      <c r="C659" s="11" t="s">
        <v>304</v>
      </c>
      <c r="D659" s="11" t="s">
        <v>305</v>
      </c>
      <c r="E659" s="12" t="s">
        <v>311</v>
      </c>
      <c r="F659" s="5">
        <v>12551.3</v>
      </c>
      <c r="G659" s="5">
        <v>0</v>
      </c>
      <c r="H659" s="5">
        <v>551</v>
      </c>
      <c r="I659" s="5">
        <v>32</v>
      </c>
      <c r="J659" s="5">
        <v>120</v>
      </c>
      <c r="K659" s="6">
        <f t="shared" si="10"/>
        <v>13254.3</v>
      </c>
    </row>
    <row r="660" spans="1:11" x14ac:dyDescent="0.25">
      <c r="A660" s="4">
        <v>2011</v>
      </c>
      <c r="B660" s="11" t="s">
        <v>308</v>
      </c>
      <c r="C660" s="11" t="s">
        <v>304</v>
      </c>
      <c r="D660" s="11" t="s">
        <v>305</v>
      </c>
      <c r="E660" s="12" t="s">
        <v>309</v>
      </c>
      <c r="F660" s="5">
        <v>12551.3</v>
      </c>
      <c r="G660" s="5">
        <v>0</v>
      </c>
      <c r="H660" s="5">
        <v>551</v>
      </c>
      <c r="I660" s="5">
        <v>32</v>
      </c>
      <c r="J660" s="5">
        <v>120</v>
      </c>
      <c r="K660" s="6">
        <f t="shared" si="10"/>
        <v>13254.3</v>
      </c>
    </row>
    <row r="661" spans="1:11" x14ac:dyDescent="0.25">
      <c r="A661" s="4">
        <v>2011</v>
      </c>
      <c r="B661" s="11" t="s">
        <v>303</v>
      </c>
      <c r="C661" s="11" t="s">
        <v>304</v>
      </c>
      <c r="D661" s="11" t="s">
        <v>305</v>
      </c>
      <c r="E661" s="12" t="s">
        <v>306</v>
      </c>
      <c r="F661" s="5">
        <v>12551.3</v>
      </c>
      <c r="G661" s="5">
        <v>0</v>
      </c>
      <c r="H661" s="5">
        <v>551</v>
      </c>
      <c r="I661" s="5">
        <v>32</v>
      </c>
      <c r="J661" s="5">
        <v>120</v>
      </c>
      <c r="K661" s="6">
        <f t="shared" si="10"/>
        <v>13254.3</v>
      </c>
    </row>
    <row r="662" spans="1:11" x14ac:dyDescent="0.25">
      <c r="A662" s="4">
        <v>2011</v>
      </c>
      <c r="B662" s="11" t="s">
        <v>293</v>
      </c>
      <c r="C662" s="11" t="s">
        <v>289</v>
      </c>
      <c r="D662" s="11" t="s">
        <v>290</v>
      </c>
      <c r="E662" s="12" t="s">
        <v>294</v>
      </c>
      <c r="F662" s="5">
        <v>13101.42</v>
      </c>
      <c r="G662" s="5">
        <v>0</v>
      </c>
      <c r="H662" s="5">
        <v>551</v>
      </c>
      <c r="I662" s="5">
        <v>32</v>
      </c>
      <c r="J662" s="5">
        <v>120</v>
      </c>
      <c r="K662" s="6">
        <f t="shared" si="10"/>
        <v>13804.42</v>
      </c>
    </row>
    <row r="663" spans="1:11" x14ac:dyDescent="0.25">
      <c r="A663" s="4">
        <v>2011</v>
      </c>
      <c r="B663" s="11" t="s">
        <v>378</v>
      </c>
      <c r="C663" s="11" t="s">
        <v>350</v>
      </c>
      <c r="D663" s="11" t="s">
        <v>351</v>
      </c>
      <c r="E663" s="12" t="s">
        <v>379</v>
      </c>
      <c r="F663" s="5">
        <v>13101.42</v>
      </c>
      <c r="G663" s="5">
        <v>0</v>
      </c>
      <c r="H663" s="5">
        <v>551</v>
      </c>
      <c r="I663" s="5">
        <v>32</v>
      </c>
      <c r="J663" s="5">
        <v>120</v>
      </c>
      <c r="K663" s="6">
        <f t="shared" si="10"/>
        <v>13804.42</v>
      </c>
    </row>
    <row r="664" spans="1:11" x14ac:dyDescent="0.25">
      <c r="A664" s="4">
        <v>2011</v>
      </c>
      <c r="B664" s="11" t="s">
        <v>376</v>
      </c>
      <c r="C664" s="11" t="s">
        <v>350</v>
      </c>
      <c r="D664" s="11" t="s">
        <v>351</v>
      </c>
      <c r="E664" s="12" t="s">
        <v>377</v>
      </c>
      <c r="F664" s="5">
        <v>13101.42</v>
      </c>
      <c r="G664" s="5">
        <v>0</v>
      </c>
      <c r="H664" s="5">
        <v>551</v>
      </c>
      <c r="I664" s="5">
        <v>32</v>
      </c>
      <c r="J664" s="5">
        <v>120</v>
      </c>
      <c r="K664" s="6">
        <f>SUM(F664:J664)</f>
        <v>13804.42</v>
      </c>
    </row>
    <row r="665" spans="1:11" x14ac:dyDescent="0.25">
      <c r="A665" s="4">
        <v>2011</v>
      </c>
      <c r="B665" s="11" t="s">
        <v>380</v>
      </c>
      <c r="C665" s="11" t="s">
        <v>350</v>
      </c>
      <c r="D665" s="11" t="s">
        <v>351</v>
      </c>
      <c r="E665" s="12" t="s">
        <v>381</v>
      </c>
      <c r="F665" s="5">
        <v>13101.42</v>
      </c>
      <c r="G665" s="5">
        <v>0</v>
      </c>
      <c r="H665" s="5">
        <v>551</v>
      </c>
      <c r="I665" s="5">
        <v>32</v>
      </c>
      <c r="J665" s="5">
        <v>120</v>
      </c>
      <c r="K665" s="6">
        <f t="shared" ref="K665:K733" si="11">SUM(F665:J665)</f>
        <v>13804.42</v>
      </c>
    </row>
    <row r="666" spans="1:11" x14ac:dyDescent="0.25">
      <c r="A666" s="4">
        <v>2011</v>
      </c>
      <c r="B666" s="11" t="s">
        <v>360</v>
      </c>
      <c r="C666" s="11" t="s">
        <v>350</v>
      </c>
      <c r="D666" s="11" t="s">
        <v>351</v>
      </c>
      <c r="E666" s="12" t="s">
        <v>361</v>
      </c>
      <c r="F666" s="5">
        <v>13101.42</v>
      </c>
      <c r="G666" s="5">
        <v>0</v>
      </c>
      <c r="H666" s="5">
        <v>551</v>
      </c>
      <c r="I666" s="5">
        <v>32</v>
      </c>
      <c r="J666" s="5">
        <v>120</v>
      </c>
      <c r="K666" s="6">
        <f t="shared" si="11"/>
        <v>13804.42</v>
      </c>
    </row>
    <row r="667" spans="1:11" x14ac:dyDescent="0.25">
      <c r="A667" s="4">
        <v>2011</v>
      </c>
      <c r="B667" s="11" t="s">
        <v>368</v>
      </c>
      <c r="C667" s="11" t="s">
        <v>350</v>
      </c>
      <c r="D667" s="11" t="s">
        <v>351</v>
      </c>
      <c r="E667" s="12" t="s">
        <v>369</v>
      </c>
      <c r="F667" s="5">
        <v>13101.42</v>
      </c>
      <c r="G667" s="5">
        <v>0</v>
      </c>
      <c r="H667" s="5">
        <v>551</v>
      </c>
      <c r="I667" s="5">
        <v>32</v>
      </c>
      <c r="J667" s="5">
        <v>120</v>
      </c>
      <c r="K667" s="6">
        <f t="shared" si="11"/>
        <v>13804.42</v>
      </c>
    </row>
    <row r="668" spans="1:11" x14ac:dyDescent="0.25">
      <c r="A668" s="4">
        <v>2011</v>
      </c>
      <c r="B668" s="11" t="s">
        <v>358</v>
      </c>
      <c r="C668" s="11" t="s">
        <v>350</v>
      </c>
      <c r="D668" s="11" t="s">
        <v>351</v>
      </c>
      <c r="E668" s="12" t="s">
        <v>359</v>
      </c>
      <c r="F668" s="5">
        <v>13101.42</v>
      </c>
      <c r="G668" s="5">
        <v>0</v>
      </c>
      <c r="H668" s="5">
        <v>551</v>
      </c>
      <c r="I668" s="5">
        <v>32</v>
      </c>
      <c r="J668" s="5">
        <v>120</v>
      </c>
      <c r="K668" s="6">
        <f t="shared" si="11"/>
        <v>13804.42</v>
      </c>
    </row>
    <row r="669" spans="1:11" x14ac:dyDescent="0.25">
      <c r="A669" s="4">
        <v>2011</v>
      </c>
      <c r="B669" s="11" t="s">
        <v>362</v>
      </c>
      <c r="C669" s="11" t="s">
        <v>350</v>
      </c>
      <c r="D669" s="11" t="s">
        <v>351</v>
      </c>
      <c r="E669" s="12" t="s">
        <v>363</v>
      </c>
      <c r="F669" s="5">
        <v>13101.42</v>
      </c>
      <c r="G669" s="5">
        <v>0</v>
      </c>
      <c r="H669" s="5">
        <v>551</v>
      </c>
      <c r="I669" s="5">
        <v>32</v>
      </c>
      <c r="J669" s="5">
        <v>120</v>
      </c>
      <c r="K669" s="6">
        <f t="shared" si="11"/>
        <v>13804.42</v>
      </c>
    </row>
    <row r="670" spans="1:11" x14ac:dyDescent="0.25">
      <c r="A670" s="4">
        <v>2011</v>
      </c>
      <c r="B670" s="11" t="s">
        <v>374</v>
      </c>
      <c r="C670" s="11" t="s">
        <v>350</v>
      </c>
      <c r="D670" s="11" t="s">
        <v>351</v>
      </c>
      <c r="E670" s="12" t="s">
        <v>375</v>
      </c>
      <c r="F670" s="5">
        <v>13101.42</v>
      </c>
      <c r="G670" s="5">
        <v>0</v>
      </c>
      <c r="H670" s="5">
        <v>551</v>
      </c>
      <c r="I670" s="5">
        <v>32</v>
      </c>
      <c r="J670" s="5">
        <v>120</v>
      </c>
      <c r="K670" s="6">
        <f t="shared" si="11"/>
        <v>13804.42</v>
      </c>
    </row>
    <row r="671" spans="1:11" x14ac:dyDescent="0.25">
      <c r="A671" s="4">
        <v>2011</v>
      </c>
      <c r="B671" s="11" t="s">
        <v>364</v>
      </c>
      <c r="C671" s="11" t="s">
        <v>350</v>
      </c>
      <c r="D671" s="11" t="s">
        <v>351</v>
      </c>
      <c r="E671" s="12" t="s">
        <v>365</v>
      </c>
      <c r="F671" s="5">
        <v>13101.42</v>
      </c>
      <c r="G671" s="5">
        <v>0</v>
      </c>
      <c r="H671" s="5">
        <v>551</v>
      </c>
      <c r="I671" s="5">
        <v>32</v>
      </c>
      <c r="J671" s="5">
        <v>120</v>
      </c>
      <c r="K671" s="6">
        <f t="shared" si="11"/>
        <v>13804.42</v>
      </c>
    </row>
    <row r="672" spans="1:11" x14ac:dyDescent="0.25">
      <c r="A672" s="4">
        <v>2011</v>
      </c>
      <c r="B672" s="11" t="s">
        <v>366</v>
      </c>
      <c r="C672" s="11" t="s">
        <v>350</v>
      </c>
      <c r="D672" s="11" t="s">
        <v>351</v>
      </c>
      <c r="E672" s="12" t="s">
        <v>367</v>
      </c>
      <c r="F672" s="5">
        <v>13101.42</v>
      </c>
      <c r="G672" s="5">
        <v>0</v>
      </c>
      <c r="H672" s="5">
        <v>551</v>
      </c>
      <c r="I672" s="5">
        <v>32</v>
      </c>
      <c r="J672" s="5">
        <v>120</v>
      </c>
      <c r="K672" s="6">
        <f t="shared" si="11"/>
        <v>13804.42</v>
      </c>
    </row>
    <row r="673" spans="1:11" x14ac:dyDescent="0.25">
      <c r="A673" s="4">
        <v>2011</v>
      </c>
      <c r="B673" s="11" t="s">
        <v>372</v>
      </c>
      <c r="C673" s="11" t="s">
        <v>350</v>
      </c>
      <c r="D673" s="11" t="s">
        <v>351</v>
      </c>
      <c r="E673" s="12" t="s">
        <v>373</v>
      </c>
      <c r="F673" s="5">
        <v>13101.42</v>
      </c>
      <c r="G673" s="5">
        <v>0</v>
      </c>
      <c r="H673" s="5">
        <v>551</v>
      </c>
      <c r="I673" s="5">
        <v>32</v>
      </c>
      <c r="J673" s="5">
        <v>120</v>
      </c>
      <c r="K673" s="6">
        <f t="shared" si="11"/>
        <v>13804.42</v>
      </c>
    </row>
    <row r="674" spans="1:11" x14ac:dyDescent="0.25">
      <c r="A674" s="4">
        <v>2011</v>
      </c>
      <c r="B674" s="11" t="s">
        <v>370</v>
      </c>
      <c r="C674" s="11" t="s">
        <v>350</v>
      </c>
      <c r="D674" s="11" t="s">
        <v>351</v>
      </c>
      <c r="E674" s="12" t="s">
        <v>371</v>
      </c>
      <c r="F674" s="5">
        <v>13101.42</v>
      </c>
      <c r="G674" s="5">
        <v>0</v>
      </c>
      <c r="H674" s="5">
        <v>551</v>
      </c>
      <c r="I674" s="5">
        <v>32</v>
      </c>
      <c r="J674" s="5">
        <v>120</v>
      </c>
      <c r="K674" s="6">
        <f t="shared" si="11"/>
        <v>13804.42</v>
      </c>
    </row>
    <row r="675" spans="1:11" x14ac:dyDescent="0.25">
      <c r="A675" s="4">
        <v>2011</v>
      </c>
      <c r="B675" s="11" t="s">
        <v>356</v>
      </c>
      <c r="C675" s="11" t="s">
        <v>350</v>
      </c>
      <c r="D675" s="11" t="s">
        <v>351</v>
      </c>
      <c r="E675" s="12" t="s">
        <v>357</v>
      </c>
      <c r="F675" s="5">
        <v>13101.42</v>
      </c>
      <c r="G675" s="5">
        <v>0</v>
      </c>
      <c r="H675" s="5">
        <v>551</v>
      </c>
      <c r="I675" s="5">
        <v>32</v>
      </c>
      <c r="J675" s="5">
        <v>120</v>
      </c>
      <c r="K675" s="6">
        <f t="shared" si="11"/>
        <v>13804.42</v>
      </c>
    </row>
    <row r="676" spans="1:11" x14ac:dyDescent="0.25">
      <c r="A676" s="4">
        <v>2011</v>
      </c>
      <c r="B676" s="11" t="s">
        <v>354</v>
      </c>
      <c r="C676" s="11" t="s">
        <v>350</v>
      </c>
      <c r="D676" s="11" t="s">
        <v>351</v>
      </c>
      <c r="E676" s="12" t="s">
        <v>355</v>
      </c>
      <c r="F676" s="5">
        <v>13101.42</v>
      </c>
      <c r="G676" s="5">
        <v>0</v>
      </c>
      <c r="H676" s="5">
        <v>551</v>
      </c>
      <c r="I676" s="5">
        <v>32</v>
      </c>
      <c r="J676" s="5">
        <v>120</v>
      </c>
      <c r="K676" s="6">
        <f t="shared" si="11"/>
        <v>13804.42</v>
      </c>
    </row>
    <row r="677" spans="1:11" x14ac:dyDescent="0.25">
      <c r="A677" s="4">
        <v>2011</v>
      </c>
      <c r="B677" s="11" t="s">
        <v>349</v>
      </c>
      <c r="C677" s="11" t="s">
        <v>350</v>
      </c>
      <c r="D677" s="11" t="s">
        <v>351</v>
      </c>
      <c r="E677" s="12" t="s">
        <v>352</v>
      </c>
      <c r="F677" s="5">
        <v>13101.42</v>
      </c>
      <c r="G677" s="5">
        <v>0</v>
      </c>
      <c r="H677" s="5">
        <v>551</v>
      </c>
      <c r="I677" s="5">
        <v>32</v>
      </c>
      <c r="J677" s="5">
        <v>120</v>
      </c>
      <c r="K677" s="6">
        <f t="shared" si="11"/>
        <v>13804.42</v>
      </c>
    </row>
    <row r="678" spans="1:11" x14ac:dyDescent="0.25">
      <c r="A678" s="4">
        <v>2011</v>
      </c>
      <c r="B678" s="11" t="s">
        <v>399</v>
      </c>
      <c r="C678" s="11" t="s">
        <v>400</v>
      </c>
      <c r="D678" s="11" t="s">
        <v>401</v>
      </c>
      <c r="E678" s="12" t="s">
        <v>402</v>
      </c>
      <c r="F678" s="5">
        <v>13651.85</v>
      </c>
      <c r="G678" s="5">
        <v>0</v>
      </c>
      <c r="H678" s="5">
        <v>551</v>
      </c>
      <c r="I678" s="5">
        <v>32</v>
      </c>
      <c r="J678" s="5">
        <v>120</v>
      </c>
      <c r="K678" s="6">
        <f t="shared" si="11"/>
        <v>14354.85</v>
      </c>
    </row>
    <row r="679" spans="1:11" x14ac:dyDescent="0.25">
      <c r="A679" s="4">
        <v>2011</v>
      </c>
      <c r="B679" s="11" t="s">
        <v>395</v>
      </c>
      <c r="C679" s="11" t="s">
        <v>396</v>
      </c>
      <c r="D679" s="11" t="s">
        <v>397</v>
      </c>
      <c r="E679" s="12" t="s">
        <v>398</v>
      </c>
      <c r="F679" s="5">
        <v>14202.63</v>
      </c>
      <c r="G679" s="5">
        <v>0</v>
      </c>
      <c r="H679" s="5">
        <v>551</v>
      </c>
      <c r="I679" s="5">
        <v>32</v>
      </c>
      <c r="J679" s="5">
        <v>120</v>
      </c>
      <c r="K679" s="6">
        <f t="shared" si="11"/>
        <v>14905.63</v>
      </c>
    </row>
    <row r="680" spans="1:11" x14ac:dyDescent="0.25">
      <c r="A680" s="4">
        <v>2011</v>
      </c>
      <c r="B680" s="11" t="s">
        <v>441</v>
      </c>
      <c r="C680" s="11"/>
      <c r="D680" s="11"/>
      <c r="E680" s="12" t="s">
        <v>442</v>
      </c>
      <c r="F680" s="5">
        <v>12551.3</v>
      </c>
      <c r="G680" s="5"/>
      <c r="H680" s="5"/>
      <c r="I680" s="5"/>
      <c r="J680" s="5"/>
      <c r="K680" s="6"/>
    </row>
    <row r="681" spans="1:11" x14ac:dyDescent="0.25">
      <c r="A681" s="4">
        <v>2011</v>
      </c>
      <c r="B681" s="11" t="s">
        <v>443</v>
      </c>
      <c r="C681" s="11"/>
      <c r="D681" s="11"/>
      <c r="E681" s="12" t="s">
        <v>444</v>
      </c>
      <c r="F681" s="5">
        <v>12551.3</v>
      </c>
      <c r="G681" s="5"/>
      <c r="H681" s="5"/>
      <c r="I681" s="5"/>
      <c r="J681" s="5"/>
      <c r="K681" s="6"/>
    </row>
    <row r="682" spans="1:11" x14ac:dyDescent="0.25">
      <c r="A682" s="4">
        <v>2011</v>
      </c>
      <c r="B682" s="11" t="s">
        <v>445</v>
      </c>
      <c r="C682" s="11"/>
      <c r="D682" s="11"/>
      <c r="E682" s="12" t="s">
        <v>446</v>
      </c>
      <c r="F682" s="5">
        <v>12551.3</v>
      </c>
      <c r="G682" s="5"/>
      <c r="H682" s="5"/>
      <c r="I682" s="5"/>
      <c r="J682" s="5"/>
      <c r="K682" s="6"/>
    </row>
    <row r="683" spans="1:11" x14ac:dyDescent="0.25">
      <c r="A683" s="4">
        <v>2011</v>
      </c>
      <c r="B683" s="11" t="s">
        <v>447</v>
      </c>
      <c r="C683" s="11"/>
      <c r="D683" s="11"/>
      <c r="E683" s="12" t="s">
        <v>448</v>
      </c>
      <c r="F683" s="5">
        <v>12000.5</v>
      </c>
      <c r="G683" s="5"/>
      <c r="H683" s="5"/>
      <c r="I683" s="5"/>
      <c r="J683" s="5"/>
      <c r="K683" s="6"/>
    </row>
    <row r="684" spans="1:11" x14ac:dyDescent="0.25">
      <c r="A684" s="4">
        <v>2011</v>
      </c>
      <c r="B684" s="11" t="s">
        <v>449</v>
      </c>
      <c r="C684" s="11"/>
      <c r="D684" s="11"/>
      <c r="E684" s="12" t="s">
        <v>450</v>
      </c>
      <c r="F684" s="5">
        <v>12000.5</v>
      </c>
      <c r="G684" s="5"/>
      <c r="H684" s="5"/>
      <c r="I684" s="5"/>
      <c r="J684" s="5"/>
      <c r="K684" s="6"/>
    </row>
    <row r="685" spans="1:11" x14ac:dyDescent="0.25">
      <c r="A685" s="4">
        <v>2011</v>
      </c>
      <c r="B685" s="11" t="s">
        <v>451</v>
      </c>
      <c r="C685" s="11"/>
      <c r="D685" s="11"/>
      <c r="E685" s="12" t="s">
        <v>452</v>
      </c>
      <c r="F685" s="5">
        <v>12000.5</v>
      </c>
      <c r="G685" s="5"/>
      <c r="H685" s="5"/>
      <c r="I685" s="5"/>
      <c r="J685" s="5"/>
      <c r="K685" s="6"/>
    </row>
    <row r="686" spans="1:11" x14ac:dyDescent="0.25">
      <c r="A686" s="4">
        <v>2011</v>
      </c>
      <c r="B686" s="11" t="s">
        <v>453</v>
      </c>
      <c r="C686" s="11"/>
      <c r="D686" s="11"/>
      <c r="E686" s="12" t="s">
        <v>454</v>
      </c>
      <c r="F686" s="5">
        <v>12000.5</v>
      </c>
      <c r="G686" s="5"/>
      <c r="H686" s="5"/>
      <c r="I686" s="5"/>
      <c r="J686" s="5"/>
      <c r="K686" s="6"/>
    </row>
    <row r="687" spans="1:11" x14ac:dyDescent="0.25">
      <c r="A687" s="4">
        <v>2011</v>
      </c>
      <c r="B687" s="11" t="s">
        <v>455</v>
      </c>
      <c r="C687" s="11"/>
      <c r="D687" s="11"/>
      <c r="E687" s="12" t="s">
        <v>456</v>
      </c>
      <c r="F687" s="5">
        <v>12000.5</v>
      </c>
      <c r="G687" s="5"/>
      <c r="H687" s="5"/>
      <c r="I687" s="5"/>
      <c r="J687" s="5"/>
      <c r="K687" s="6"/>
    </row>
    <row r="688" spans="1:11" x14ac:dyDescent="0.25">
      <c r="A688" s="4">
        <v>2011</v>
      </c>
      <c r="B688" s="11" t="s">
        <v>457</v>
      </c>
      <c r="C688" s="11"/>
      <c r="D688" s="11"/>
      <c r="E688" s="12" t="s">
        <v>458</v>
      </c>
      <c r="F688" s="5">
        <v>12000.5</v>
      </c>
      <c r="G688" s="5"/>
      <c r="H688" s="5"/>
      <c r="I688" s="5"/>
      <c r="J688" s="5"/>
      <c r="K688" s="6"/>
    </row>
    <row r="689" spans="1:11" x14ac:dyDescent="0.25">
      <c r="A689" s="4">
        <v>2011</v>
      </c>
      <c r="B689" s="11" t="s">
        <v>403</v>
      </c>
      <c r="C689" s="11"/>
      <c r="D689" s="11"/>
      <c r="E689" s="12" t="s">
        <v>404</v>
      </c>
      <c r="F689" s="5">
        <v>12000.5</v>
      </c>
      <c r="G689" s="5"/>
      <c r="H689" s="5"/>
      <c r="I689" s="5"/>
      <c r="J689" s="5"/>
      <c r="K689" s="6"/>
    </row>
    <row r="690" spans="1:11" x14ac:dyDescent="0.25">
      <c r="A690" s="4">
        <v>2011</v>
      </c>
      <c r="B690" s="11" t="s">
        <v>405</v>
      </c>
      <c r="C690" s="11"/>
      <c r="D690" s="11"/>
      <c r="E690" s="12" t="s">
        <v>406</v>
      </c>
      <c r="F690" s="5">
        <v>11449.86</v>
      </c>
      <c r="G690" s="5"/>
      <c r="H690" s="5"/>
      <c r="I690" s="5"/>
      <c r="J690" s="5"/>
      <c r="K690" s="6"/>
    </row>
    <row r="691" spans="1:11" x14ac:dyDescent="0.25">
      <c r="A691" s="4">
        <v>2011</v>
      </c>
      <c r="B691" s="11" t="s">
        <v>407</v>
      </c>
      <c r="C691" s="11"/>
      <c r="D691" s="11"/>
      <c r="E691" s="12" t="s">
        <v>408</v>
      </c>
      <c r="F691" s="5">
        <v>11449.86</v>
      </c>
      <c r="G691" s="5"/>
      <c r="H691" s="5"/>
      <c r="I691" s="5"/>
      <c r="J691" s="5"/>
      <c r="K691" s="6"/>
    </row>
    <row r="692" spans="1:11" x14ac:dyDescent="0.25">
      <c r="A692" s="4">
        <v>2011</v>
      </c>
      <c r="B692" s="11" t="s">
        <v>409</v>
      </c>
      <c r="C692" s="11"/>
      <c r="D692" s="11"/>
      <c r="E692" s="12" t="s">
        <v>410</v>
      </c>
      <c r="F692" s="5">
        <v>11449.86</v>
      </c>
      <c r="G692" s="5"/>
      <c r="H692" s="5"/>
      <c r="I692" s="5"/>
      <c r="J692" s="5"/>
      <c r="K692" s="6"/>
    </row>
    <row r="693" spans="1:11" x14ac:dyDescent="0.25">
      <c r="A693" s="4">
        <v>2011</v>
      </c>
      <c r="B693" s="11" t="s">
        <v>411</v>
      </c>
      <c r="C693" s="11"/>
      <c r="D693" s="11"/>
      <c r="E693" s="12" t="s">
        <v>412</v>
      </c>
      <c r="F693" s="5">
        <v>11449.86</v>
      </c>
      <c r="G693" s="5"/>
      <c r="H693" s="5"/>
      <c r="I693" s="5"/>
      <c r="J693" s="5"/>
      <c r="K693" s="6"/>
    </row>
    <row r="694" spans="1:11" x14ac:dyDescent="0.25">
      <c r="A694" s="4">
        <v>2011</v>
      </c>
      <c r="B694" s="11" t="s">
        <v>413</v>
      </c>
      <c r="C694" s="11"/>
      <c r="D694" s="11"/>
      <c r="E694" s="12" t="s">
        <v>414</v>
      </c>
      <c r="F694" s="5">
        <v>11449.86</v>
      </c>
      <c r="G694" s="5"/>
      <c r="H694" s="5"/>
      <c r="I694" s="5"/>
      <c r="J694" s="5"/>
      <c r="K694" s="6"/>
    </row>
    <row r="695" spans="1:11" x14ac:dyDescent="0.25">
      <c r="A695" s="4">
        <v>2011</v>
      </c>
      <c r="B695" s="11" t="s">
        <v>480</v>
      </c>
      <c r="C695" s="11"/>
      <c r="D695" s="11"/>
      <c r="E695" s="12" t="s">
        <v>416</v>
      </c>
      <c r="F695" s="5">
        <v>11449.86</v>
      </c>
      <c r="G695" s="5"/>
      <c r="H695" s="5"/>
      <c r="I695" s="5"/>
      <c r="J695" s="5"/>
      <c r="K695" s="6"/>
    </row>
    <row r="696" spans="1:11" x14ac:dyDescent="0.25">
      <c r="A696" s="4">
        <v>2011</v>
      </c>
      <c r="B696" s="11" t="s">
        <v>417</v>
      </c>
      <c r="C696" s="11"/>
      <c r="D696" s="11"/>
      <c r="E696" s="12" t="s">
        <v>418</v>
      </c>
      <c r="F696" s="5">
        <v>11449.86</v>
      </c>
      <c r="G696" s="5"/>
      <c r="H696" s="5"/>
      <c r="I696" s="5"/>
      <c r="J696" s="5"/>
      <c r="K696" s="6"/>
    </row>
    <row r="697" spans="1:11" x14ac:dyDescent="0.25">
      <c r="A697" s="4">
        <v>2011</v>
      </c>
      <c r="B697" s="11" t="s">
        <v>419</v>
      </c>
      <c r="C697" s="11"/>
      <c r="D697" s="11"/>
      <c r="E697" s="12" t="s">
        <v>420</v>
      </c>
      <c r="F697" s="5">
        <v>11449.86</v>
      </c>
      <c r="G697" s="5"/>
      <c r="H697" s="5"/>
      <c r="I697" s="5"/>
      <c r="J697" s="5"/>
      <c r="K697" s="6"/>
    </row>
    <row r="698" spans="1:11" x14ac:dyDescent="0.25">
      <c r="A698" s="4">
        <v>2011</v>
      </c>
      <c r="B698" s="11" t="s">
        <v>421</v>
      </c>
      <c r="C698" s="11"/>
      <c r="D698" s="11"/>
      <c r="E698" s="12" t="s">
        <v>422</v>
      </c>
      <c r="F698" s="5">
        <v>11449.86</v>
      </c>
      <c r="G698" s="5"/>
      <c r="H698" s="5"/>
      <c r="I698" s="5"/>
      <c r="J698" s="5"/>
      <c r="K698" s="6"/>
    </row>
    <row r="699" spans="1:11" x14ac:dyDescent="0.25">
      <c r="A699" s="4">
        <v>2011</v>
      </c>
      <c r="B699" s="11" t="s">
        <v>423</v>
      </c>
      <c r="C699" s="11"/>
      <c r="D699" s="11"/>
      <c r="E699" s="12" t="s">
        <v>424</v>
      </c>
      <c r="F699" s="5">
        <v>11449.86</v>
      </c>
      <c r="G699" s="5"/>
      <c r="H699" s="5"/>
      <c r="I699" s="5"/>
      <c r="J699" s="5"/>
      <c r="K699" s="6"/>
    </row>
    <row r="700" spans="1:11" x14ac:dyDescent="0.25">
      <c r="A700" s="4">
        <v>2011</v>
      </c>
      <c r="B700" s="11" t="s">
        <v>425</v>
      </c>
      <c r="C700" s="11"/>
      <c r="D700" s="11"/>
      <c r="E700" s="12" t="s">
        <v>426</v>
      </c>
      <c r="F700" s="5">
        <v>11449.86</v>
      </c>
      <c r="G700" s="5"/>
      <c r="H700" s="5"/>
      <c r="I700" s="5"/>
      <c r="J700" s="5"/>
      <c r="K700" s="6"/>
    </row>
    <row r="701" spans="1:11" x14ac:dyDescent="0.25">
      <c r="A701" s="4">
        <v>2011</v>
      </c>
      <c r="B701" s="11" t="s">
        <v>475</v>
      </c>
      <c r="C701" s="11"/>
      <c r="D701" s="11"/>
      <c r="E701" s="12" t="s">
        <v>292</v>
      </c>
      <c r="F701" s="5">
        <v>11449.86</v>
      </c>
      <c r="G701" s="5"/>
      <c r="H701" s="5"/>
      <c r="I701" s="5"/>
      <c r="J701" s="5"/>
      <c r="K701" s="6"/>
    </row>
    <row r="702" spans="1:11" x14ac:dyDescent="0.25">
      <c r="A702" s="4">
        <v>2011</v>
      </c>
      <c r="B702" s="11" t="s">
        <v>427</v>
      </c>
      <c r="C702" s="11"/>
      <c r="D702" s="11"/>
      <c r="E702" s="12" t="s">
        <v>428</v>
      </c>
      <c r="F702" s="5">
        <v>19115.330000000002</v>
      </c>
      <c r="G702" s="5"/>
      <c r="H702" s="5"/>
      <c r="I702" s="5"/>
      <c r="J702" s="5"/>
      <c r="K702" s="6"/>
    </row>
    <row r="703" spans="1:11" x14ac:dyDescent="0.25">
      <c r="A703" s="4">
        <v>2011</v>
      </c>
      <c r="B703" s="11" t="s">
        <v>429</v>
      </c>
      <c r="C703" s="11"/>
      <c r="D703" s="11"/>
      <c r="E703" s="12" t="s">
        <v>430</v>
      </c>
      <c r="F703" s="5">
        <v>16083.41</v>
      </c>
      <c r="G703" s="5"/>
      <c r="H703" s="5"/>
      <c r="I703" s="5"/>
      <c r="J703" s="5"/>
      <c r="K703" s="6"/>
    </row>
    <row r="704" spans="1:11" x14ac:dyDescent="0.25">
      <c r="A704" s="4">
        <v>2011</v>
      </c>
      <c r="B704" s="11" t="s">
        <v>431</v>
      </c>
      <c r="C704" s="11"/>
      <c r="D704" s="11"/>
      <c r="E704" s="12" t="s">
        <v>432</v>
      </c>
      <c r="F704" s="5">
        <v>13763.71</v>
      </c>
      <c r="G704" s="5"/>
      <c r="H704" s="5"/>
      <c r="I704" s="5"/>
      <c r="J704" s="5"/>
      <c r="K704" s="6"/>
    </row>
    <row r="705" spans="1:11" x14ac:dyDescent="0.25">
      <c r="A705" s="4">
        <v>2011</v>
      </c>
      <c r="B705" s="11" t="s">
        <v>433</v>
      </c>
      <c r="C705" s="11"/>
      <c r="D705" s="11"/>
      <c r="E705" s="12" t="s">
        <v>434</v>
      </c>
      <c r="F705" s="5">
        <v>12063.72</v>
      </c>
      <c r="G705" s="5"/>
      <c r="H705" s="5"/>
      <c r="I705" s="5"/>
      <c r="J705" s="5"/>
      <c r="K705" s="6"/>
    </row>
    <row r="706" spans="1:11" x14ac:dyDescent="0.25">
      <c r="A706" s="4">
        <v>2011</v>
      </c>
      <c r="B706" s="11" t="s">
        <v>435</v>
      </c>
      <c r="C706" s="11"/>
      <c r="D706" s="11"/>
      <c r="E706" s="12" t="s">
        <v>436</v>
      </c>
      <c r="F706" s="5">
        <v>10792.03</v>
      </c>
      <c r="G706" s="5"/>
      <c r="H706" s="5"/>
      <c r="I706" s="5"/>
      <c r="J706" s="5"/>
      <c r="K706" s="6"/>
    </row>
    <row r="707" spans="1:11" x14ac:dyDescent="0.25">
      <c r="A707" s="4">
        <v>2011</v>
      </c>
      <c r="B707" s="11" t="s">
        <v>437</v>
      </c>
      <c r="C707" s="11"/>
      <c r="D707" s="11"/>
      <c r="E707" s="12" t="s">
        <v>438</v>
      </c>
      <c r="F707" s="5">
        <v>10151.129999999999</v>
      </c>
      <c r="G707" s="5"/>
      <c r="H707" s="5"/>
      <c r="I707" s="5"/>
      <c r="J707" s="5"/>
      <c r="K707" s="6"/>
    </row>
    <row r="708" spans="1:11" x14ac:dyDescent="0.25">
      <c r="A708" s="4">
        <v>2011</v>
      </c>
      <c r="B708" s="11" t="s">
        <v>439</v>
      </c>
      <c r="C708" s="11"/>
      <c r="D708" s="11"/>
      <c r="E708" s="12" t="s">
        <v>440</v>
      </c>
      <c r="F708" s="5">
        <v>8707.65</v>
      </c>
      <c r="G708" s="5"/>
      <c r="H708" s="5"/>
      <c r="I708" s="5"/>
      <c r="J708" s="5"/>
      <c r="K708" s="6"/>
    </row>
    <row r="709" spans="1:11" x14ac:dyDescent="0.25">
      <c r="A709" s="4">
        <v>2011</v>
      </c>
      <c r="B709" s="11" t="s">
        <v>459</v>
      </c>
      <c r="C709" s="11"/>
      <c r="D709" s="11"/>
      <c r="E709" s="12" t="s">
        <v>460</v>
      </c>
      <c r="F709" s="5">
        <v>33051.9</v>
      </c>
      <c r="G709" s="5"/>
      <c r="H709" s="5"/>
      <c r="I709" s="5"/>
      <c r="J709" s="5"/>
      <c r="K709" s="6"/>
    </row>
    <row r="710" spans="1:11" x14ac:dyDescent="0.25">
      <c r="A710" s="4">
        <v>2011</v>
      </c>
      <c r="B710" s="11" t="s">
        <v>461</v>
      </c>
      <c r="C710" s="11"/>
      <c r="D710" s="11"/>
      <c r="E710" s="12" t="s">
        <v>462</v>
      </c>
      <c r="F710" s="5">
        <v>11755.65</v>
      </c>
      <c r="G710" s="5"/>
      <c r="H710" s="5"/>
      <c r="I710" s="5"/>
      <c r="J710" s="5"/>
      <c r="K710" s="6"/>
    </row>
    <row r="711" spans="1:11" x14ac:dyDescent="0.25">
      <c r="A711" s="4">
        <v>2011</v>
      </c>
      <c r="B711" s="11" t="s">
        <v>463</v>
      </c>
      <c r="C711" s="11"/>
      <c r="D711" s="11"/>
      <c r="E711" s="12" t="s">
        <v>464</v>
      </c>
      <c r="F711" s="5">
        <v>12278.06</v>
      </c>
      <c r="G711" s="5"/>
      <c r="H711" s="5"/>
      <c r="I711" s="5"/>
      <c r="J711" s="5"/>
      <c r="K711" s="6"/>
    </row>
    <row r="712" spans="1:11" x14ac:dyDescent="0.25">
      <c r="A712" s="4">
        <v>2011</v>
      </c>
      <c r="B712" s="11" t="s">
        <v>465</v>
      </c>
      <c r="C712" s="11"/>
      <c r="D712" s="11"/>
      <c r="E712" s="12" t="s">
        <v>466</v>
      </c>
      <c r="F712" s="5">
        <v>12929.55</v>
      </c>
      <c r="G712" s="5"/>
      <c r="H712" s="5"/>
      <c r="I712" s="5"/>
      <c r="J712" s="5"/>
      <c r="K712" s="6"/>
    </row>
    <row r="713" spans="1:11" x14ac:dyDescent="0.25">
      <c r="A713" s="4">
        <v>2011</v>
      </c>
      <c r="B713" s="11" t="s">
        <v>467</v>
      </c>
      <c r="C713" s="11"/>
      <c r="D713" s="11"/>
      <c r="E713" s="12" t="s">
        <v>468</v>
      </c>
      <c r="F713" s="5">
        <v>8176.54</v>
      </c>
      <c r="G713" s="5"/>
      <c r="H713" s="5"/>
      <c r="I713" s="5"/>
      <c r="J713" s="5"/>
      <c r="K713" s="6"/>
    </row>
    <row r="714" spans="1:11" x14ac:dyDescent="0.25">
      <c r="A714" s="4">
        <v>2011</v>
      </c>
      <c r="B714" s="11" t="s">
        <v>469</v>
      </c>
      <c r="C714" s="11"/>
      <c r="D714" s="11"/>
      <c r="E714" s="12" t="s">
        <v>470</v>
      </c>
      <c r="F714" s="5">
        <v>7468.34</v>
      </c>
      <c r="G714" s="5"/>
      <c r="H714" s="5"/>
      <c r="I714" s="5"/>
      <c r="J714" s="5"/>
      <c r="K714" s="6"/>
    </row>
    <row r="715" spans="1:11" x14ac:dyDescent="0.25">
      <c r="A715" s="4">
        <v>2011</v>
      </c>
      <c r="B715" s="11" t="s">
        <v>471</v>
      </c>
      <c r="C715" s="11"/>
      <c r="D715" s="11"/>
      <c r="E715" s="12" t="s">
        <v>472</v>
      </c>
      <c r="F715" s="5">
        <v>8726.2900000000009</v>
      </c>
      <c r="G715" s="5"/>
      <c r="H715" s="5"/>
      <c r="I715" s="5"/>
      <c r="J715" s="5"/>
      <c r="K715" s="6"/>
    </row>
    <row r="716" spans="1:11" x14ac:dyDescent="0.25">
      <c r="A716" s="4">
        <v>2011</v>
      </c>
      <c r="B716" s="11" t="s">
        <v>473</v>
      </c>
      <c r="C716" s="11"/>
      <c r="D716" s="11"/>
      <c r="E716" s="12" t="s">
        <v>474</v>
      </c>
      <c r="F716" s="5">
        <v>6871.02</v>
      </c>
      <c r="G716" s="5"/>
      <c r="H716" s="5"/>
      <c r="I716" s="5"/>
      <c r="J716" s="5"/>
      <c r="K716" s="6"/>
    </row>
    <row r="717" spans="1:11" x14ac:dyDescent="0.25">
      <c r="A717" s="35">
        <v>2010</v>
      </c>
      <c r="B717" s="33" t="s">
        <v>288</v>
      </c>
      <c r="C717" s="33" t="s">
        <v>289</v>
      </c>
      <c r="D717" s="33" t="s">
        <v>290</v>
      </c>
      <c r="E717" s="34" t="s">
        <v>291</v>
      </c>
      <c r="F717" s="36">
        <v>9961.85</v>
      </c>
      <c r="G717" s="36">
        <v>0</v>
      </c>
      <c r="H717" s="36">
        <v>551</v>
      </c>
      <c r="I717" s="36">
        <v>32</v>
      </c>
      <c r="J717" s="36">
        <v>120</v>
      </c>
      <c r="K717" s="6">
        <f t="shared" si="11"/>
        <v>10664.85</v>
      </c>
    </row>
    <row r="718" spans="1:11" x14ac:dyDescent="0.25">
      <c r="A718" s="35">
        <v>2010</v>
      </c>
      <c r="B718" s="33" t="s">
        <v>301</v>
      </c>
      <c r="C718" s="33" t="s">
        <v>289</v>
      </c>
      <c r="D718" s="33" t="s">
        <v>290</v>
      </c>
      <c r="E718" s="34" t="s">
        <v>302</v>
      </c>
      <c r="F718" s="36">
        <v>11020.08</v>
      </c>
      <c r="G718" s="36">
        <v>0</v>
      </c>
      <c r="H718" s="36">
        <v>551</v>
      </c>
      <c r="I718" s="36">
        <v>32</v>
      </c>
      <c r="J718" s="36">
        <v>120</v>
      </c>
      <c r="K718" s="6">
        <f t="shared" si="11"/>
        <v>11723.08</v>
      </c>
    </row>
    <row r="719" spans="1:11" x14ac:dyDescent="0.25">
      <c r="A719" s="35">
        <v>2010</v>
      </c>
      <c r="B719" s="33" t="s">
        <v>391</v>
      </c>
      <c r="C719" s="33" t="s">
        <v>383</v>
      </c>
      <c r="D719" s="33" t="s">
        <v>384</v>
      </c>
      <c r="E719" s="34" t="s">
        <v>392</v>
      </c>
      <c r="F719" s="36">
        <v>11020.08</v>
      </c>
      <c r="G719" s="36">
        <v>0</v>
      </c>
      <c r="H719" s="36">
        <v>551</v>
      </c>
      <c r="I719" s="36">
        <v>32</v>
      </c>
      <c r="J719" s="36">
        <v>120</v>
      </c>
      <c r="K719" s="6">
        <f t="shared" si="11"/>
        <v>11723.08</v>
      </c>
    </row>
    <row r="720" spans="1:11" x14ac:dyDescent="0.25">
      <c r="A720" s="35">
        <v>2010</v>
      </c>
      <c r="B720" s="33" t="s">
        <v>387</v>
      </c>
      <c r="C720" s="33" t="s">
        <v>383</v>
      </c>
      <c r="D720" s="33" t="s">
        <v>384</v>
      </c>
      <c r="E720" s="34" t="s">
        <v>388</v>
      </c>
      <c r="F720" s="36">
        <v>11020.08</v>
      </c>
      <c r="G720" s="36">
        <v>0</v>
      </c>
      <c r="H720" s="36">
        <v>551</v>
      </c>
      <c r="I720" s="36">
        <v>32</v>
      </c>
      <c r="J720" s="36">
        <v>120</v>
      </c>
      <c r="K720" s="6">
        <f t="shared" si="11"/>
        <v>11723.08</v>
      </c>
    </row>
    <row r="721" spans="1:11" x14ac:dyDescent="0.25">
      <c r="A721" s="35">
        <v>2010</v>
      </c>
      <c r="B721" s="33" t="s">
        <v>382</v>
      </c>
      <c r="C721" s="33" t="s">
        <v>383</v>
      </c>
      <c r="D721" s="33" t="s">
        <v>384</v>
      </c>
      <c r="E721" s="34" t="s">
        <v>385</v>
      </c>
      <c r="F721" s="36">
        <v>11020.08</v>
      </c>
      <c r="G721" s="36">
        <v>0</v>
      </c>
      <c r="H721" s="36">
        <v>551</v>
      </c>
      <c r="I721" s="36">
        <v>32</v>
      </c>
      <c r="J721" s="36">
        <v>120</v>
      </c>
      <c r="K721" s="6">
        <f t="shared" si="11"/>
        <v>11723.08</v>
      </c>
    </row>
    <row r="722" spans="1:11" x14ac:dyDescent="0.25">
      <c r="A722" s="35">
        <v>2010</v>
      </c>
      <c r="B722" s="33" t="s">
        <v>389</v>
      </c>
      <c r="C722" s="33" t="s">
        <v>383</v>
      </c>
      <c r="D722" s="33" t="s">
        <v>384</v>
      </c>
      <c r="E722" s="34" t="s">
        <v>390</v>
      </c>
      <c r="F722" s="36">
        <v>11020.08</v>
      </c>
      <c r="G722" s="36">
        <v>0</v>
      </c>
      <c r="H722" s="36">
        <v>551</v>
      </c>
      <c r="I722" s="36">
        <v>32</v>
      </c>
      <c r="J722" s="36">
        <v>120</v>
      </c>
      <c r="K722" s="6">
        <f t="shared" si="11"/>
        <v>11723.08</v>
      </c>
    </row>
    <row r="723" spans="1:11" x14ac:dyDescent="0.25">
      <c r="A723" s="35">
        <v>2010</v>
      </c>
      <c r="B723" s="33" t="s">
        <v>345</v>
      </c>
      <c r="C723" s="33" t="s">
        <v>331</v>
      </c>
      <c r="D723" s="33" t="s">
        <v>332</v>
      </c>
      <c r="E723" s="34" t="s">
        <v>346</v>
      </c>
      <c r="F723" s="36">
        <v>11550.05</v>
      </c>
      <c r="G723" s="36">
        <v>0</v>
      </c>
      <c r="H723" s="36">
        <v>551</v>
      </c>
      <c r="I723" s="36">
        <v>32</v>
      </c>
      <c r="J723" s="36">
        <v>120</v>
      </c>
      <c r="K723" s="6">
        <f t="shared" si="11"/>
        <v>12253.05</v>
      </c>
    </row>
    <row r="724" spans="1:11" x14ac:dyDescent="0.25">
      <c r="A724" s="35">
        <v>2010</v>
      </c>
      <c r="B724" s="33" t="s">
        <v>341</v>
      </c>
      <c r="C724" s="33" t="s">
        <v>331</v>
      </c>
      <c r="D724" s="33" t="s">
        <v>332</v>
      </c>
      <c r="E724" s="34" t="s">
        <v>342</v>
      </c>
      <c r="F724" s="36">
        <v>11550.05</v>
      </c>
      <c r="G724" s="36">
        <v>0</v>
      </c>
      <c r="H724" s="36">
        <v>551</v>
      </c>
      <c r="I724" s="36">
        <v>32</v>
      </c>
      <c r="J724" s="36">
        <v>120</v>
      </c>
      <c r="K724" s="6">
        <f t="shared" si="11"/>
        <v>12253.05</v>
      </c>
    </row>
    <row r="725" spans="1:11" x14ac:dyDescent="0.25">
      <c r="A725" s="35">
        <v>2010</v>
      </c>
      <c r="B725" s="33" t="s">
        <v>343</v>
      </c>
      <c r="C725" s="33" t="s">
        <v>331</v>
      </c>
      <c r="D725" s="33" t="s">
        <v>332</v>
      </c>
      <c r="E725" s="34" t="s">
        <v>344</v>
      </c>
      <c r="F725" s="36">
        <v>11550.05</v>
      </c>
      <c r="G725" s="36">
        <v>0</v>
      </c>
      <c r="H725" s="36">
        <v>551</v>
      </c>
      <c r="I725" s="36">
        <v>32</v>
      </c>
      <c r="J725" s="36">
        <v>120</v>
      </c>
      <c r="K725" s="6">
        <f t="shared" si="11"/>
        <v>12253.05</v>
      </c>
    </row>
    <row r="726" spans="1:11" x14ac:dyDescent="0.25">
      <c r="A726" s="35">
        <v>2010</v>
      </c>
      <c r="B726" s="33" t="s">
        <v>347</v>
      </c>
      <c r="C726" s="33" t="s">
        <v>331</v>
      </c>
      <c r="D726" s="33" t="s">
        <v>332</v>
      </c>
      <c r="E726" s="34" t="s">
        <v>348</v>
      </c>
      <c r="F726" s="36">
        <v>11550.05</v>
      </c>
      <c r="G726" s="36">
        <v>0</v>
      </c>
      <c r="H726" s="36">
        <v>551</v>
      </c>
      <c r="I726" s="36">
        <v>32</v>
      </c>
      <c r="J726" s="36">
        <v>120</v>
      </c>
      <c r="K726" s="6">
        <f t="shared" si="11"/>
        <v>12253.05</v>
      </c>
    </row>
    <row r="727" spans="1:11" x14ac:dyDescent="0.25">
      <c r="A727" s="35">
        <v>2010</v>
      </c>
      <c r="B727" s="33" t="s">
        <v>339</v>
      </c>
      <c r="C727" s="33" t="s">
        <v>331</v>
      </c>
      <c r="D727" s="33" t="s">
        <v>332</v>
      </c>
      <c r="E727" s="34" t="s">
        <v>340</v>
      </c>
      <c r="F727" s="36">
        <v>11550.05</v>
      </c>
      <c r="G727" s="36">
        <v>0</v>
      </c>
      <c r="H727" s="36">
        <v>551</v>
      </c>
      <c r="I727" s="36">
        <v>32</v>
      </c>
      <c r="J727" s="36">
        <v>120</v>
      </c>
      <c r="K727" s="6">
        <f t="shared" si="11"/>
        <v>12253.05</v>
      </c>
    </row>
    <row r="728" spans="1:11" x14ac:dyDescent="0.25">
      <c r="A728" s="35">
        <v>2010</v>
      </c>
      <c r="B728" s="33" t="s">
        <v>326</v>
      </c>
      <c r="C728" s="33" t="s">
        <v>304</v>
      </c>
      <c r="D728" s="33" t="s">
        <v>305</v>
      </c>
      <c r="E728" s="34" t="s">
        <v>327</v>
      </c>
      <c r="F728" s="36">
        <v>12080.17</v>
      </c>
      <c r="G728" s="36">
        <v>0</v>
      </c>
      <c r="H728" s="36">
        <v>551</v>
      </c>
      <c r="I728" s="36">
        <v>32</v>
      </c>
      <c r="J728" s="36">
        <v>120</v>
      </c>
      <c r="K728" s="6">
        <f t="shared" si="11"/>
        <v>12783.17</v>
      </c>
    </row>
    <row r="729" spans="1:11" x14ac:dyDescent="0.25">
      <c r="A729" s="35">
        <v>2010</v>
      </c>
      <c r="B729" s="33" t="s">
        <v>324</v>
      </c>
      <c r="C729" s="33" t="s">
        <v>304</v>
      </c>
      <c r="D729" s="33" t="s">
        <v>305</v>
      </c>
      <c r="E729" s="34" t="s">
        <v>325</v>
      </c>
      <c r="F729" s="36">
        <v>12080.17</v>
      </c>
      <c r="G729" s="36">
        <v>0</v>
      </c>
      <c r="H729" s="36">
        <v>551</v>
      </c>
      <c r="I729" s="36">
        <v>32</v>
      </c>
      <c r="J729" s="36">
        <v>120</v>
      </c>
      <c r="K729" s="6">
        <f t="shared" si="11"/>
        <v>12783.17</v>
      </c>
    </row>
    <row r="730" spans="1:11" x14ac:dyDescent="0.25">
      <c r="A730" s="35">
        <v>2010</v>
      </c>
      <c r="B730" s="33" t="s">
        <v>328</v>
      </c>
      <c r="C730" s="33" t="s">
        <v>304</v>
      </c>
      <c r="D730" s="33" t="s">
        <v>305</v>
      </c>
      <c r="E730" s="34" t="s">
        <v>329</v>
      </c>
      <c r="F730" s="36">
        <v>12080.17</v>
      </c>
      <c r="G730" s="36">
        <v>0</v>
      </c>
      <c r="H730" s="36">
        <v>551</v>
      </c>
      <c r="I730" s="36">
        <v>32</v>
      </c>
      <c r="J730" s="36">
        <v>120</v>
      </c>
      <c r="K730" s="6">
        <f t="shared" si="11"/>
        <v>12783.17</v>
      </c>
    </row>
    <row r="731" spans="1:11" x14ac:dyDescent="0.25">
      <c r="A731" s="35">
        <v>2010</v>
      </c>
      <c r="B731" s="33" t="s">
        <v>293</v>
      </c>
      <c r="C731" s="33" t="s">
        <v>289</v>
      </c>
      <c r="D731" s="33" t="s">
        <v>290</v>
      </c>
      <c r="E731" s="34" t="s">
        <v>294</v>
      </c>
      <c r="F731" s="36">
        <v>12609.65</v>
      </c>
      <c r="G731" s="36">
        <v>0</v>
      </c>
      <c r="H731" s="36">
        <v>551</v>
      </c>
      <c r="I731" s="36">
        <v>32</v>
      </c>
      <c r="J731" s="36">
        <v>120</v>
      </c>
      <c r="K731" s="6">
        <f t="shared" si="11"/>
        <v>13312.65</v>
      </c>
    </row>
    <row r="732" spans="1:11" x14ac:dyDescent="0.25">
      <c r="A732" s="35">
        <v>2010</v>
      </c>
      <c r="B732" s="33" t="s">
        <v>360</v>
      </c>
      <c r="C732" s="33" t="s">
        <v>350</v>
      </c>
      <c r="D732" s="33" t="s">
        <v>351</v>
      </c>
      <c r="E732" s="34" t="s">
        <v>361</v>
      </c>
      <c r="F732" s="36">
        <v>12609.65</v>
      </c>
      <c r="G732" s="36">
        <v>0</v>
      </c>
      <c r="H732" s="36">
        <v>551</v>
      </c>
      <c r="I732" s="36">
        <v>32</v>
      </c>
      <c r="J732" s="36">
        <v>120</v>
      </c>
      <c r="K732" s="6">
        <f t="shared" si="11"/>
        <v>13312.65</v>
      </c>
    </row>
    <row r="733" spans="1:11" x14ac:dyDescent="0.25">
      <c r="A733" s="35">
        <v>2010</v>
      </c>
      <c r="B733" s="33" t="s">
        <v>356</v>
      </c>
      <c r="C733" s="33" t="s">
        <v>350</v>
      </c>
      <c r="D733" s="33" t="s">
        <v>351</v>
      </c>
      <c r="E733" s="34" t="s">
        <v>357</v>
      </c>
      <c r="F733" s="36">
        <v>12609.65</v>
      </c>
      <c r="G733" s="36">
        <v>0</v>
      </c>
      <c r="H733" s="36">
        <v>551</v>
      </c>
      <c r="I733" s="36">
        <v>32</v>
      </c>
      <c r="J733" s="36">
        <v>120</v>
      </c>
      <c r="K733" s="6">
        <f t="shared" si="11"/>
        <v>13312.65</v>
      </c>
    </row>
    <row r="734" spans="1:11" x14ac:dyDescent="0.25">
      <c r="A734" s="35">
        <v>2010</v>
      </c>
      <c r="B734" s="33" t="s">
        <v>354</v>
      </c>
      <c r="C734" s="33" t="s">
        <v>350</v>
      </c>
      <c r="D734" s="33" t="s">
        <v>351</v>
      </c>
      <c r="E734" s="34" t="s">
        <v>355</v>
      </c>
      <c r="F734" s="36">
        <v>12609.65</v>
      </c>
      <c r="G734" s="36">
        <v>0</v>
      </c>
      <c r="H734" s="36">
        <v>551</v>
      </c>
      <c r="I734" s="36">
        <v>32</v>
      </c>
      <c r="J734" s="36">
        <v>120</v>
      </c>
      <c r="K734" s="6">
        <f>SUM(F734:J734)</f>
        <v>13312.65</v>
      </c>
    </row>
    <row r="735" spans="1:11" x14ac:dyDescent="0.25">
      <c r="A735" s="35">
        <v>2010</v>
      </c>
      <c r="B735" s="33" t="s">
        <v>349</v>
      </c>
      <c r="C735" s="33" t="s">
        <v>350</v>
      </c>
      <c r="D735" s="33" t="s">
        <v>351</v>
      </c>
      <c r="E735" s="34" t="s">
        <v>352</v>
      </c>
      <c r="F735" s="36">
        <v>12609.65</v>
      </c>
      <c r="G735" s="36">
        <v>0</v>
      </c>
      <c r="H735" s="36">
        <v>551</v>
      </c>
      <c r="I735" s="36">
        <v>32</v>
      </c>
      <c r="J735" s="36">
        <v>120</v>
      </c>
      <c r="K735" s="6">
        <f t="shared" ref="K735:K737" si="12">SUM(F735:J735)</f>
        <v>13312.65</v>
      </c>
    </row>
    <row r="736" spans="1:11" x14ac:dyDescent="0.25">
      <c r="A736" s="35">
        <v>2010</v>
      </c>
      <c r="B736" s="33" t="s">
        <v>399</v>
      </c>
      <c r="C736" s="33" t="s">
        <v>400</v>
      </c>
      <c r="D736" s="33" t="s">
        <v>401</v>
      </c>
      <c r="E736" s="34" t="s">
        <v>402</v>
      </c>
      <c r="F736" s="36">
        <v>13139.41</v>
      </c>
      <c r="G736" s="36">
        <v>0</v>
      </c>
      <c r="H736" s="36">
        <v>551</v>
      </c>
      <c r="I736" s="36">
        <v>32</v>
      </c>
      <c r="J736" s="36">
        <v>120</v>
      </c>
      <c r="K736" s="6">
        <f t="shared" si="12"/>
        <v>13842.41</v>
      </c>
    </row>
    <row r="737" spans="1:11" x14ac:dyDescent="0.25">
      <c r="A737" s="35">
        <v>2010</v>
      </c>
      <c r="B737" s="33" t="s">
        <v>395</v>
      </c>
      <c r="C737" s="33" t="s">
        <v>396</v>
      </c>
      <c r="D737" s="33" t="s">
        <v>397</v>
      </c>
      <c r="E737" s="34" t="s">
        <v>398</v>
      </c>
      <c r="F737" s="36">
        <v>13669.52</v>
      </c>
      <c r="G737" s="36">
        <v>0</v>
      </c>
      <c r="H737" s="36">
        <v>551</v>
      </c>
      <c r="I737" s="36">
        <v>32</v>
      </c>
      <c r="J737" s="36">
        <v>120</v>
      </c>
      <c r="K737" s="6">
        <f t="shared" si="12"/>
        <v>14372.52</v>
      </c>
    </row>
    <row r="738" spans="1:11" x14ac:dyDescent="0.25">
      <c r="A738" s="35">
        <v>2010</v>
      </c>
      <c r="B738" s="33" t="s">
        <v>295</v>
      </c>
      <c r="C738" s="33" t="s">
        <v>289</v>
      </c>
      <c r="D738" s="33" t="s">
        <v>290</v>
      </c>
      <c r="E738" s="34" t="s">
        <v>296</v>
      </c>
      <c r="F738" s="36">
        <v>11020.08</v>
      </c>
      <c r="G738" s="36">
        <v>0</v>
      </c>
      <c r="H738" s="36">
        <v>551</v>
      </c>
      <c r="I738" s="36">
        <v>32</v>
      </c>
      <c r="J738" s="36">
        <v>120</v>
      </c>
      <c r="K738" s="6">
        <f t="shared" ref="K738:K784" si="13">SUM(F738:J738)</f>
        <v>11723.08</v>
      </c>
    </row>
    <row r="739" spans="1:11" x14ac:dyDescent="0.25">
      <c r="A739" s="35">
        <v>2010</v>
      </c>
      <c r="B739" s="33" t="s">
        <v>299</v>
      </c>
      <c r="C739" s="33" t="s">
        <v>289</v>
      </c>
      <c r="D739" s="33" t="s">
        <v>290</v>
      </c>
      <c r="E739" s="34" t="s">
        <v>300</v>
      </c>
      <c r="F739" s="36">
        <v>11020.08</v>
      </c>
      <c r="G739" s="36">
        <v>0</v>
      </c>
      <c r="H739" s="36">
        <v>551</v>
      </c>
      <c r="I739" s="36">
        <v>32</v>
      </c>
      <c r="J739" s="36">
        <v>120</v>
      </c>
      <c r="K739" s="6">
        <f t="shared" si="13"/>
        <v>11723.08</v>
      </c>
    </row>
    <row r="740" spans="1:11" x14ac:dyDescent="0.25">
      <c r="A740" s="35">
        <v>2010</v>
      </c>
      <c r="B740" s="33" t="s">
        <v>297</v>
      </c>
      <c r="C740" s="33" t="s">
        <v>289</v>
      </c>
      <c r="D740" s="33" t="s">
        <v>290</v>
      </c>
      <c r="E740" s="34" t="s">
        <v>298</v>
      </c>
      <c r="F740" s="36">
        <v>11020.08</v>
      </c>
      <c r="G740" s="36">
        <v>0</v>
      </c>
      <c r="H740" s="36">
        <v>551</v>
      </c>
      <c r="I740" s="36">
        <v>32</v>
      </c>
      <c r="J740" s="36">
        <v>120</v>
      </c>
      <c r="K740" s="6">
        <f t="shared" si="13"/>
        <v>11723.08</v>
      </c>
    </row>
    <row r="741" spans="1:11" x14ac:dyDescent="0.25">
      <c r="A741" s="35">
        <v>2010</v>
      </c>
      <c r="B741" s="33" t="s">
        <v>475</v>
      </c>
      <c r="C741" s="33"/>
      <c r="D741" s="33"/>
      <c r="E741" s="34" t="s">
        <v>476</v>
      </c>
      <c r="F741" s="36">
        <v>11020.08</v>
      </c>
      <c r="G741" s="36"/>
      <c r="H741" s="36"/>
      <c r="I741" s="36"/>
      <c r="J741" s="36"/>
      <c r="K741" s="6"/>
    </row>
    <row r="742" spans="1:11" x14ac:dyDescent="0.25">
      <c r="A742" s="35">
        <v>2010</v>
      </c>
      <c r="B742" s="33" t="s">
        <v>425</v>
      </c>
      <c r="C742" s="33"/>
      <c r="D742" s="33"/>
      <c r="E742" s="34" t="s">
        <v>426</v>
      </c>
      <c r="F742" s="36">
        <v>11020.08</v>
      </c>
      <c r="G742" s="36"/>
      <c r="H742" s="36"/>
      <c r="I742" s="36"/>
      <c r="J742" s="36"/>
      <c r="K742" s="6"/>
    </row>
    <row r="743" spans="1:11" x14ac:dyDescent="0.25">
      <c r="A743" s="35">
        <v>2010</v>
      </c>
      <c r="B743" s="33" t="s">
        <v>447</v>
      </c>
      <c r="C743" s="33"/>
      <c r="D743" s="33"/>
      <c r="E743" s="34" t="s">
        <v>448</v>
      </c>
      <c r="F743" s="36">
        <v>11227.63</v>
      </c>
      <c r="G743" s="36"/>
      <c r="H743" s="36"/>
      <c r="I743" s="36"/>
      <c r="J743" s="36"/>
      <c r="K743" s="6"/>
    </row>
    <row r="744" spans="1:11" x14ac:dyDescent="0.25">
      <c r="A744" s="35">
        <v>2010</v>
      </c>
      <c r="B744" s="33" t="s">
        <v>449</v>
      </c>
      <c r="C744" s="33"/>
      <c r="D744" s="33"/>
      <c r="E744" s="34" t="s">
        <v>450</v>
      </c>
      <c r="F744" s="36">
        <v>11550.05</v>
      </c>
      <c r="G744" s="36"/>
      <c r="H744" s="36"/>
      <c r="I744" s="36"/>
      <c r="J744" s="36"/>
      <c r="K744" s="6"/>
    </row>
    <row r="745" spans="1:11" x14ac:dyDescent="0.25">
      <c r="A745" s="35">
        <v>2010</v>
      </c>
      <c r="B745" s="33" t="s">
        <v>451</v>
      </c>
      <c r="C745" s="33"/>
      <c r="D745" s="33"/>
      <c r="E745" s="34" t="s">
        <v>452</v>
      </c>
      <c r="F745" s="36">
        <v>11550.05</v>
      </c>
      <c r="G745" s="36"/>
      <c r="H745" s="36"/>
      <c r="I745" s="36"/>
      <c r="J745" s="36"/>
      <c r="K745" s="6"/>
    </row>
    <row r="746" spans="1:11" x14ac:dyDescent="0.25">
      <c r="A746" s="35">
        <v>2010</v>
      </c>
      <c r="B746" s="33" t="s">
        <v>453</v>
      </c>
      <c r="C746" s="33"/>
      <c r="D746" s="33"/>
      <c r="E746" s="34" t="s">
        <v>454</v>
      </c>
      <c r="F746" s="36">
        <v>11550.05</v>
      </c>
      <c r="G746" s="36"/>
      <c r="H746" s="36"/>
      <c r="I746" s="36"/>
      <c r="J746" s="36"/>
      <c r="K746" s="6"/>
    </row>
    <row r="747" spans="1:11" x14ac:dyDescent="0.25">
      <c r="A747" s="35">
        <v>2010</v>
      </c>
      <c r="B747" s="33" t="s">
        <v>455</v>
      </c>
      <c r="C747" s="33"/>
      <c r="D747" s="33"/>
      <c r="E747" s="34" t="s">
        <v>456</v>
      </c>
      <c r="F747" s="36">
        <v>11550.05</v>
      </c>
      <c r="G747" s="36"/>
      <c r="H747" s="36"/>
      <c r="I747" s="36"/>
      <c r="J747" s="36"/>
      <c r="K747" s="6"/>
    </row>
    <row r="748" spans="1:11" x14ac:dyDescent="0.25">
      <c r="A748" s="35">
        <v>2010</v>
      </c>
      <c r="B748" s="33" t="s">
        <v>457</v>
      </c>
      <c r="C748" s="33"/>
      <c r="D748" s="33"/>
      <c r="E748" s="34" t="s">
        <v>458</v>
      </c>
      <c r="F748" s="36">
        <v>11550.05</v>
      </c>
      <c r="G748" s="36"/>
      <c r="H748" s="36"/>
      <c r="I748" s="36"/>
      <c r="J748" s="36"/>
      <c r="K748" s="6"/>
    </row>
    <row r="749" spans="1:11" x14ac:dyDescent="0.25">
      <c r="A749" s="35">
        <v>2010</v>
      </c>
      <c r="B749" s="33" t="s">
        <v>330</v>
      </c>
      <c r="C749" s="33"/>
      <c r="D749" s="33"/>
      <c r="E749" s="34" t="s">
        <v>333</v>
      </c>
      <c r="F749" s="36">
        <v>11550.05</v>
      </c>
      <c r="G749" s="36"/>
      <c r="H749" s="36"/>
      <c r="I749" s="36"/>
      <c r="J749" s="36"/>
      <c r="K749" s="6"/>
    </row>
    <row r="750" spans="1:11" x14ac:dyDescent="0.25">
      <c r="A750" s="35">
        <v>2010</v>
      </c>
      <c r="B750" s="33" t="s">
        <v>403</v>
      </c>
      <c r="C750" s="33"/>
      <c r="D750" s="33"/>
      <c r="E750" s="34" t="s">
        <v>404</v>
      </c>
      <c r="F750" s="36">
        <v>11550.05</v>
      </c>
      <c r="G750" s="36"/>
      <c r="H750" s="36"/>
      <c r="I750" s="36"/>
      <c r="J750" s="36"/>
      <c r="K750" s="6"/>
    </row>
    <row r="751" spans="1:11" x14ac:dyDescent="0.25">
      <c r="A751" s="35">
        <v>2010</v>
      </c>
      <c r="B751" s="33" t="s">
        <v>393</v>
      </c>
      <c r="C751" s="33" t="s">
        <v>383</v>
      </c>
      <c r="D751" s="33" t="s">
        <v>384</v>
      </c>
      <c r="E751" s="34" t="s">
        <v>394</v>
      </c>
      <c r="F751" s="36">
        <v>11020.08</v>
      </c>
      <c r="G751" s="36">
        <v>0</v>
      </c>
      <c r="H751" s="36">
        <v>551</v>
      </c>
      <c r="I751" s="36">
        <v>32</v>
      </c>
      <c r="J751" s="36">
        <v>120</v>
      </c>
      <c r="K751" s="6">
        <f t="shared" si="13"/>
        <v>11723.08</v>
      </c>
    </row>
    <row r="752" spans="1:11" x14ac:dyDescent="0.25">
      <c r="A752" s="35">
        <v>2010</v>
      </c>
      <c r="B752" s="33" t="s">
        <v>405</v>
      </c>
      <c r="C752" s="33"/>
      <c r="D752" s="33"/>
      <c r="E752" s="34" t="s">
        <v>406</v>
      </c>
      <c r="F752" s="36">
        <v>11020.08</v>
      </c>
      <c r="G752" s="36"/>
      <c r="H752" s="36"/>
      <c r="I752" s="36"/>
      <c r="J752" s="36"/>
      <c r="K752" s="6"/>
    </row>
    <row r="753" spans="1:11" x14ac:dyDescent="0.25">
      <c r="A753" s="35">
        <v>2010</v>
      </c>
      <c r="B753" s="33" t="s">
        <v>407</v>
      </c>
      <c r="C753" s="33"/>
      <c r="D753" s="33"/>
      <c r="E753" s="34" t="s">
        <v>408</v>
      </c>
      <c r="F753" s="36">
        <v>11020.08</v>
      </c>
      <c r="G753" s="36"/>
      <c r="H753" s="36"/>
      <c r="I753" s="36"/>
      <c r="J753" s="36"/>
      <c r="K753" s="6"/>
    </row>
    <row r="754" spans="1:11" x14ac:dyDescent="0.25">
      <c r="A754" s="35">
        <v>2010</v>
      </c>
      <c r="B754" s="33" t="s">
        <v>409</v>
      </c>
      <c r="C754" s="33"/>
      <c r="D754" s="33"/>
      <c r="E754" s="34" t="s">
        <v>410</v>
      </c>
      <c r="F754" s="36">
        <v>11020.08</v>
      </c>
      <c r="G754" s="36"/>
      <c r="H754" s="36"/>
      <c r="I754" s="36"/>
      <c r="J754" s="36"/>
      <c r="K754" s="6"/>
    </row>
    <row r="755" spans="1:11" x14ac:dyDescent="0.25">
      <c r="A755" s="35">
        <v>2010</v>
      </c>
      <c r="B755" s="33" t="s">
        <v>413</v>
      </c>
      <c r="C755" s="33"/>
      <c r="D755" s="33"/>
      <c r="E755" s="34" t="s">
        <v>414</v>
      </c>
      <c r="F755" s="36">
        <v>11020.08</v>
      </c>
      <c r="G755" s="36"/>
      <c r="H755" s="36"/>
      <c r="I755" s="36"/>
      <c r="J755" s="36"/>
      <c r="K755" s="6"/>
    </row>
    <row r="756" spans="1:11" x14ac:dyDescent="0.25">
      <c r="A756" s="35">
        <v>2010</v>
      </c>
      <c r="B756" s="33" t="s">
        <v>411</v>
      </c>
      <c r="C756" s="33"/>
      <c r="D756" s="33"/>
      <c r="E756" s="34" t="s">
        <v>412</v>
      </c>
      <c r="F756" s="36">
        <v>11020.08</v>
      </c>
      <c r="G756" s="36"/>
      <c r="H756" s="36"/>
      <c r="I756" s="36"/>
      <c r="J756" s="36"/>
      <c r="K756" s="6"/>
    </row>
    <row r="757" spans="1:11" x14ac:dyDescent="0.25">
      <c r="A757" s="35">
        <v>2010</v>
      </c>
      <c r="B757" s="33" t="s">
        <v>415</v>
      </c>
      <c r="C757" s="33"/>
      <c r="D757" s="33"/>
      <c r="E757" s="34" t="s">
        <v>416</v>
      </c>
      <c r="F757" s="36">
        <v>11020.08</v>
      </c>
      <c r="G757" s="36"/>
      <c r="H757" s="36"/>
      <c r="I757" s="36"/>
      <c r="J757" s="36"/>
      <c r="K757" s="6"/>
    </row>
    <row r="758" spans="1:11" x14ac:dyDescent="0.25">
      <c r="A758" s="35">
        <v>2010</v>
      </c>
      <c r="B758" s="33" t="s">
        <v>417</v>
      </c>
      <c r="C758" s="33"/>
      <c r="D758" s="33"/>
      <c r="E758" s="34" t="s">
        <v>418</v>
      </c>
      <c r="F758" s="36">
        <v>11020.08</v>
      </c>
      <c r="G758" s="36"/>
      <c r="H758" s="36"/>
      <c r="I758" s="36"/>
      <c r="J758" s="36"/>
      <c r="K758" s="6"/>
    </row>
    <row r="759" spans="1:11" x14ac:dyDescent="0.25">
      <c r="A759" s="35">
        <v>2010</v>
      </c>
      <c r="B759" s="33" t="s">
        <v>419</v>
      </c>
      <c r="C759" s="33"/>
      <c r="D759" s="33"/>
      <c r="E759" s="34" t="s">
        <v>420</v>
      </c>
      <c r="F759" s="36">
        <v>11020.08</v>
      </c>
      <c r="G759" s="36"/>
      <c r="H759" s="36"/>
      <c r="I759" s="36"/>
      <c r="J759" s="36"/>
      <c r="K759" s="6"/>
    </row>
    <row r="760" spans="1:11" x14ac:dyDescent="0.25">
      <c r="A760" s="35">
        <v>2010</v>
      </c>
      <c r="B760" s="33" t="s">
        <v>421</v>
      </c>
      <c r="C760" s="33"/>
      <c r="D760" s="33"/>
      <c r="E760" s="34" t="s">
        <v>422</v>
      </c>
      <c r="F760" s="36">
        <v>11020.08</v>
      </c>
      <c r="G760" s="36"/>
      <c r="H760" s="36"/>
      <c r="I760" s="36"/>
      <c r="J760" s="36"/>
      <c r="K760" s="6"/>
    </row>
    <row r="761" spans="1:11" x14ac:dyDescent="0.25">
      <c r="A761" s="35">
        <v>2010</v>
      </c>
      <c r="B761" s="33" t="s">
        <v>423</v>
      </c>
      <c r="C761" s="33"/>
      <c r="D761" s="33"/>
      <c r="E761" s="34" t="s">
        <v>424</v>
      </c>
      <c r="F761" s="36">
        <v>11020.08</v>
      </c>
      <c r="G761" s="36"/>
      <c r="H761" s="36"/>
      <c r="I761" s="36"/>
      <c r="J761" s="36"/>
      <c r="K761" s="6"/>
    </row>
    <row r="762" spans="1:11" x14ac:dyDescent="0.25">
      <c r="A762" s="35">
        <v>2010</v>
      </c>
      <c r="B762" s="33" t="s">
        <v>337</v>
      </c>
      <c r="C762" s="33" t="s">
        <v>331</v>
      </c>
      <c r="D762" s="33" t="s">
        <v>332</v>
      </c>
      <c r="E762" s="34" t="s">
        <v>338</v>
      </c>
      <c r="F762" s="36">
        <v>11550.05</v>
      </c>
      <c r="G762" s="36">
        <v>0</v>
      </c>
      <c r="H762" s="36">
        <v>551</v>
      </c>
      <c r="I762" s="36">
        <v>32</v>
      </c>
      <c r="J762" s="36">
        <v>120</v>
      </c>
      <c r="K762" s="6">
        <f t="shared" si="13"/>
        <v>12253.05</v>
      </c>
    </row>
    <row r="763" spans="1:11" x14ac:dyDescent="0.25">
      <c r="A763" s="35">
        <v>2010</v>
      </c>
      <c r="B763" s="33" t="s">
        <v>335</v>
      </c>
      <c r="C763" s="33" t="s">
        <v>331</v>
      </c>
      <c r="D763" s="33" t="s">
        <v>332</v>
      </c>
      <c r="E763" s="34" t="s">
        <v>336</v>
      </c>
      <c r="F763" s="36">
        <v>11550.05</v>
      </c>
      <c r="G763" s="36">
        <v>0</v>
      </c>
      <c r="H763" s="36">
        <v>551</v>
      </c>
      <c r="I763" s="36">
        <v>32</v>
      </c>
      <c r="J763" s="36">
        <v>120</v>
      </c>
      <c r="K763" s="6">
        <f t="shared" si="13"/>
        <v>12253.05</v>
      </c>
    </row>
    <row r="764" spans="1:11" x14ac:dyDescent="0.25">
      <c r="A764" s="35">
        <v>2010</v>
      </c>
      <c r="B764" s="33" t="s">
        <v>312</v>
      </c>
      <c r="C764" s="33" t="s">
        <v>304</v>
      </c>
      <c r="D764" s="33" t="s">
        <v>305</v>
      </c>
      <c r="E764" s="34" t="s">
        <v>313</v>
      </c>
      <c r="F764" s="36">
        <v>12080.17</v>
      </c>
      <c r="G764" s="36">
        <v>0</v>
      </c>
      <c r="H764" s="36">
        <v>551</v>
      </c>
      <c r="I764" s="36">
        <v>32</v>
      </c>
      <c r="J764" s="36">
        <v>120</v>
      </c>
      <c r="K764" s="6">
        <f t="shared" si="13"/>
        <v>12783.17</v>
      </c>
    </row>
    <row r="765" spans="1:11" x14ac:dyDescent="0.25">
      <c r="A765" s="35">
        <v>2010</v>
      </c>
      <c r="B765" s="33" t="s">
        <v>322</v>
      </c>
      <c r="C765" s="33" t="s">
        <v>304</v>
      </c>
      <c r="D765" s="33" t="s">
        <v>305</v>
      </c>
      <c r="E765" s="34" t="s">
        <v>323</v>
      </c>
      <c r="F765" s="36">
        <v>12080.17</v>
      </c>
      <c r="G765" s="36">
        <v>0</v>
      </c>
      <c r="H765" s="36">
        <v>551</v>
      </c>
      <c r="I765" s="36">
        <v>32</v>
      </c>
      <c r="J765" s="36">
        <v>120</v>
      </c>
      <c r="K765" s="6">
        <f t="shared" si="13"/>
        <v>12783.17</v>
      </c>
    </row>
    <row r="766" spans="1:11" x14ac:dyDescent="0.25">
      <c r="A766" s="35">
        <v>2010</v>
      </c>
      <c r="B766" s="33" t="s">
        <v>324</v>
      </c>
      <c r="C766" s="33" t="s">
        <v>304</v>
      </c>
      <c r="D766" s="33" t="s">
        <v>305</v>
      </c>
      <c r="E766" s="34" t="s">
        <v>325</v>
      </c>
      <c r="F766" s="36">
        <v>12080.17</v>
      </c>
      <c r="G766" s="36">
        <v>0</v>
      </c>
      <c r="H766" s="36">
        <v>551</v>
      </c>
      <c r="I766" s="36">
        <v>32</v>
      </c>
      <c r="J766" s="36">
        <v>120</v>
      </c>
      <c r="K766" s="6">
        <f t="shared" si="13"/>
        <v>12783.17</v>
      </c>
    </row>
    <row r="767" spans="1:11" x14ac:dyDescent="0.25">
      <c r="A767" s="35">
        <v>2010</v>
      </c>
      <c r="B767" s="33" t="s">
        <v>314</v>
      </c>
      <c r="C767" s="33" t="s">
        <v>304</v>
      </c>
      <c r="D767" s="33" t="s">
        <v>305</v>
      </c>
      <c r="E767" s="34" t="s">
        <v>315</v>
      </c>
      <c r="F767" s="36">
        <v>12080.17</v>
      </c>
      <c r="G767" s="36">
        <v>0</v>
      </c>
      <c r="H767" s="36">
        <v>551</v>
      </c>
      <c r="I767" s="36">
        <v>32</v>
      </c>
      <c r="J767" s="36">
        <v>120</v>
      </c>
      <c r="K767" s="6">
        <f t="shared" si="13"/>
        <v>12783.17</v>
      </c>
    </row>
    <row r="768" spans="1:11" x14ac:dyDescent="0.25">
      <c r="A768" s="35">
        <v>2010</v>
      </c>
      <c r="B768" s="33" t="s">
        <v>316</v>
      </c>
      <c r="C768" s="33" t="s">
        <v>304</v>
      </c>
      <c r="D768" s="33" t="s">
        <v>305</v>
      </c>
      <c r="E768" s="34" t="s">
        <v>317</v>
      </c>
      <c r="F768" s="36">
        <v>12080.17</v>
      </c>
      <c r="G768" s="36">
        <v>0</v>
      </c>
      <c r="H768" s="36">
        <v>551</v>
      </c>
      <c r="I768" s="36">
        <v>32</v>
      </c>
      <c r="J768" s="36">
        <v>120</v>
      </c>
      <c r="K768" s="6">
        <f t="shared" si="13"/>
        <v>12783.17</v>
      </c>
    </row>
    <row r="769" spans="1:11" x14ac:dyDescent="0.25">
      <c r="A769" s="35">
        <v>2010</v>
      </c>
      <c r="B769" s="33" t="s">
        <v>320</v>
      </c>
      <c r="C769" s="33" t="s">
        <v>304</v>
      </c>
      <c r="D769" s="33" t="s">
        <v>305</v>
      </c>
      <c r="E769" s="34" t="s">
        <v>321</v>
      </c>
      <c r="F769" s="36">
        <v>12080.17</v>
      </c>
      <c r="G769" s="36">
        <v>0</v>
      </c>
      <c r="H769" s="36">
        <v>551</v>
      </c>
      <c r="I769" s="36">
        <v>32</v>
      </c>
      <c r="J769" s="36">
        <v>120</v>
      </c>
      <c r="K769" s="6">
        <f t="shared" si="13"/>
        <v>12783.17</v>
      </c>
    </row>
    <row r="770" spans="1:11" x14ac:dyDescent="0.25">
      <c r="A770" s="35">
        <v>2010</v>
      </c>
      <c r="B770" s="33" t="s">
        <v>310</v>
      </c>
      <c r="C770" s="33" t="s">
        <v>304</v>
      </c>
      <c r="D770" s="33" t="s">
        <v>305</v>
      </c>
      <c r="E770" s="34" t="s">
        <v>311</v>
      </c>
      <c r="F770" s="36">
        <v>12080.17</v>
      </c>
      <c r="G770" s="36">
        <v>0</v>
      </c>
      <c r="H770" s="36">
        <v>551</v>
      </c>
      <c r="I770" s="36">
        <v>32</v>
      </c>
      <c r="J770" s="36">
        <v>120</v>
      </c>
      <c r="K770" s="6">
        <f t="shared" si="13"/>
        <v>12783.17</v>
      </c>
    </row>
    <row r="771" spans="1:11" x14ac:dyDescent="0.25">
      <c r="A771" s="35">
        <v>2010</v>
      </c>
      <c r="B771" s="33" t="s">
        <v>308</v>
      </c>
      <c r="C771" s="33" t="s">
        <v>304</v>
      </c>
      <c r="D771" s="33" t="s">
        <v>305</v>
      </c>
      <c r="E771" s="34" t="s">
        <v>309</v>
      </c>
      <c r="F771" s="36">
        <v>12080.17</v>
      </c>
      <c r="G771" s="36">
        <v>0</v>
      </c>
      <c r="H771" s="36">
        <v>551</v>
      </c>
      <c r="I771" s="36">
        <v>32</v>
      </c>
      <c r="J771" s="36">
        <v>120</v>
      </c>
      <c r="K771" s="6">
        <f t="shared" si="13"/>
        <v>12783.17</v>
      </c>
    </row>
    <row r="772" spans="1:11" x14ac:dyDescent="0.25">
      <c r="A772" s="35">
        <v>2010</v>
      </c>
      <c r="B772" s="33" t="s">
        <v>303</v>
      </c>
      <c r="C772" s="33" t="s">
        <v>304</v>
      </c>
      <c r="D772" s="33" t="s">
        <v>305</v>
      </c>
      <c r="E772" s="34" t="s">
        <v>306</v>
      </c>
      <c r="F772" s="36">
        <v>12080.17</v>
      </c>
      <c r="G772" s="36">
        <v>0</v>
      </c>
      <c r="H772" s="36">
        <v>551</v>
      </c>
      <c r="I772" s="36">
        <v>32</v>
      </c>
      <c r="J772" s="36">
        <v>120</v>
      </c>
      <c r="K772" s="6">
        <f t="shared" si="13"/>
        <v>12783.17</v>
      </c>
    </row>
    <row r="773" spans="1:11" x14ac:dyDescent="0.25">
      <c r="A773" s="35">
        <v>2010</v>
      </c>
      <c r="B773" s="33" t="s">
        <v>445</v>
      </c>
      <c r="C773" s="33"/>
      <c r="D773" s="33"/>
      <c r="E773" s="34" t="s">
        <v>446</v>
      </c>
      <c r="F773" s="36">
        <v>12080.17</v>
      </c>
      <c r="G773" s="36"/>
      <c r="H773" s="36"/>
      <c r="I773" s="36"/>
      <c r="J773" s="36"/>
      <c r="K773" s="6"/>
    </row>
    <row r="774" spans="1:11" x14ac:dyDescent="0.25">
      <c r="A774" s="35">
        <v>2010</v>
      </c>
      <c r="B774" s="33" t="s">
        <v>378</v>
      </c>
      <c r="C774" s="33" t="s">
        <v>350</v>
      </c>
      <c r="D774" s="33" t="s">
        <v>351</v>
      </c>
      <c r="E774" s="34" t="s">
        <v>379</v>
      </c>
      <c r="F774" s="36">
        <v>12609.65</v>
      </c>
      <c r="G774" s="36">
        <v>0</v>
      </c>
      <c r="H774" s="36">
        <v>551</v>
      </c>
      <c r="I774" s="36">
        <v>32</v>
      </c>
      <c r="J774" s="36">
        <v>120</v>
      </c>
      <c r="K774" s="6">
        <f t="shared" si="13"/>
        <v>13312.65</v>
      </c>
    </row>
    <row r="775" spans="1:11" x14ac:dyDescent="0.25">
      <c r="A775" s="35">
        <v>2010</v>
      </c>
      <c r="B775" s="33" t="s">
        <v>376</v>
      </c>
      <c r="C775" s="33" t="s">
        <v>350</v>
      </c>
      <c r="D775" s="33" t="s">
        <v>351</v>
      </c>
      <c r="E775" s="34" t="s">
        <v>377</v>
      </c>
      <c r="F775" s="36">
        <v>12609.65</v>
      </c>
      <c r="G775" s="36">
        <v>0</v>
      </c>
      <c r="H775" s="36">
        <v>551</v>
      </c>
      <c r="I775" s="36">
        <v>32</v>
      </c>
      <c r="J775" s="36">
        <v>120</v>
      </c>
      <c r="K775" s="6">
        <f t="shared" si="13"/>
        <v>13312.65</v>
      </c>
    </row>
    <row r="776" spans="1:11" x14ac:dyDescent="0.25">
      <c r="A776" s="35">
        <v>2010</v>
      </c>
      <c r="B776" s="33" t="s">
        <v>380</v>
      </c>
      <c r="C776" s="33" t="s">
        <v>350</v>
      </c>
      <c r="D776" s="33" t="s">
        <v>351</v>
      </c>
      <c r="E776" s="34" t="s">
        <v>381</v>
      </c>
      <c r="F776" s="36">
        <v>12609.65</v>
      </c>
      <c r="G776" s="36">
        <v>0</v>
      </c>
      <c r="H776" s="36">
        <v>551</v>
      </c>
      <c r="I776" s="36">
        <v>32</v>
      </c>
      <c r="J776" s="36">
        <v>120</v>
      </c>
      <c r="K776" s="6">
        <f t="shared" si="13"/>
        <v>13312.65</v>
      </c>
    </row>
    <row r="777" spans="1:11" x14ac:dyDescent="0.25">
      <c r="A777" s="35">
        <v>2010</v>
      </c>
      <c r="B777" s="33" t="s">
        <v>368</v>
      </c>
      <c r="C777" s="33" t="s">
        <v>350</v>
      </c>
      <c r="D777" s="33" t="s">
        <v>351</v>
      </c>
      <c r="E777" s="34" t="s">
        <v>369</v>
      </c>
      <c r="F777" s="36">
        <v>12609.65</v>
      </c>
      <c r="G777" s="36">
        <v>0</v>
      </c>
      <c r="H777" s="36">
        <v>551</v>
      </c>
      <c r="I777" s="36">
        <v>32</v>
      </c>
      <c r="J777" s="36">
        <v>120</v>
      </c>
      <c r="K777" s="6">
        <f t="shared" si="13"/>
        <v>13312.65</v>
      </c>
    </row>
    <row r="778" spans="1:11" x14ac:dyDescent="0.25">
      <c r="A778" s="35">
        <v>2010</v>
      </c>
      <c r="B778" s="33" t="s">
        <v>358</v>
      </c>
      <c r="C778" s="33" t="s">
        <v>350</v>
      </c>
      <c r="D778" s="33" t="s">
        <v>351</v>
      </c>
      <c r="E778" s="34" t="s">
        <v>359</v>
      </c>
      <c r="F778" s="36">
        <v>12609.65</v>
      </c>
      <c r="G778" s="36">
        <v>0</v>
      </c>
      <c r="H778" s="36">
        <v>551</v>
      </c>
      <c r="I778" s="36">
        <v>32</v>
      </c>
      <c r="J778" s="36">
        <v>120</v>
      </c>
      <c r="K778" s="6">
        <f t="shared" si="13"/>
        <v>13312.65</v>
      </c>
    </row>
    <row r="779" spans="1:11" x14ac:dyDescent="0.25">
      <c r="A779" s="35">
        <v>2010</v>
      </c>
      <c r="B779" s="33" t="s">
        <v>362</v>
      </c>
      <c r="C779" s="33" t="s">
        <v>350</v>
      </c>
      <c r="D779" s="33" t="s">
        <v>351</v>
      </c>
      <c r="E779" s="34" t="s">
        <v>363</v>
      </c>
      <c r="F779" s="36">
        <v>12609.65</v>
      </c>
      <c r="G779" s="36">
        <v>0</v>
      </c>
      <c r="H779" s="36">
        <v>551</v>
      </c>
      <c r="I779" s="36">
        <v>32</v>
      </c>
      <c r="J779" s="36">
        <v>120</v>
      </c>
      <c r="K779" s="6">
        <f t="shared" si="13"/>
        <v>13312.65</v>
      </c>
    </row>
    <row r="780" spans="1:11" x14ac:dyDescent="0.25">
      <c r="A780" s="35">
        <v>2010</v>
      </c>
      <c r="B780" s="33" t="s">
        <v>374</v>
      </c>
      <c r="C780" s="33" t="s">
        <v>350</v>
      </c>
      <c r="D780" s="33" t="s">
        <v>351</v>
      </c>
      <c r="E780" s="34" t="s">
        <v>375</v>
      </c>
      <c r="F780" s="36">
        <v>12609.65</v>
      </c>
      <c r="G780" s="36">
        <v>0</v>
      </c>
      <c r="H780" s="36">
        <v>551</v>
      </c>
      <c r="I780" s="36">
        <v>32</v>
      </c>
      <c r="J780" s="36">
        <v>120</v>
      </c>
      <c r="K780" s="6">
        <f t="shared" si="13"/>
        <v>13312.65</v>
      </c>
    </row>
    <row r="781" spans="1:11" x14ac:dyDescent="0.25">
      <c r="A781" s="35">
        <v>2010</v>
      </c>
      <c r="B781" s="33" t="s">
        <v>364</v>
      </c>
      <c r="C781" s="33" t="s">
        <v>350</v>
      </c>
      <c r="D781" s="33" t="s">
        <v>351</v>
      </c>
      <c r="E781" s="34" t="s">
        <v>365</v>
      </c>
      <c r="F781" s="36">
        <v>12609.65</v>
      </c>
      <c r="G781" s="36">
        <v>0</v>
      </c>
      <c r="H781" s="36">
        <v>551</v>
      </c>
      <c r="I781" s="36">
        <v>32</v>
      </c>
      <c r="J781" s="36">
        <v>120</v>
      </c>
      <c r="K781" s="6">
        <f t="shared" si="13"/>
        <v>13312.65</v>
      </c>
    </row>
    <row r="782" spans="1:11" x14ac:dyDescent="0.25">
      <c r="A782" s="35">
        <v>2010</v>
      </c>
      <c r="B782" s="33" t="s">
        <v>366</v>
      </c>
      <c r="C782" s="33" t="s">
        <v>350</v>
      </c>
      <c r="D782" s="33" t="s">
        <v>351</v>
      </c>
      <c r="E782" s="34" t="s">
        <v>367</v>
      </c>
      <c r="F782" s="36">
        <v>12609.65</v>
      </c>
      <c r="G782" s="36">
        <v>0</v>
      </c>
      <c r="H782" s="36">
        <v>551</v>
      </c>
      <c r="I782" s="36">
        <v>32</v>
      </c>
      <c r="J782" s="36">
        <v>120</v>
      </c>
      <c r="K782" s="6">
        <f t="shared" si="13"/>
        <v>13312.65</v>
      </c>
    </row>
    <row r="783" spans="1:11" x14ac:dyDescent="0.25">
      <c r="A783" s="35">
        <v>2010</v>
      </c>
      <c r="B783" s="33" t="s">
        <v>372</v>
      </c>
      <c r="C783" s="33" t="s">
        <v>350</v>
      </c>
      <c r="D783" s="33" t="s">
        <v>351</v>
      </c>
      <c r="E783" s="34" t="s">
        <v>373</v>
      </c>
      <c r="F783" s="36">
        <v>12609.65</v>
      </c>
      <c r="G783" s="36">
        <v>0</v>
      </c>
      <c r="H783" s="36">
        <v>551</v>
      </c>
      <c r="I783" s="36">
        <v>32</v>
      </c>
      <c r="J783" s="36">
        <v>120</v>
      </c>
      <c r="K783" s="6">
        <f t="shared" si="13"/>
        <v>13312.65</v>
      </c>
    </row>
    <row r="784" spans="1:11" x14ac:dyDescent="0.25">
      <c r="A784" s="35">
        <v>2010</v>
      </c>
      <c r="B784" s="33" t="s">
        <v>370</v>
      </c>
      <c r="C784" s="33" t="s">
        <v>350</v>
      </c>
      <c r="D784" s="33" t="s">
        <v>351</v>
      </c>
      <c r="E784" s="34" t="s">
        <v>371</v>
      </c>
      <c r="F784" s="36">
        <v>12609.65</v>
      </c>
      <c r="G784" s="36">
        <v>0</v>
      </c>
      <c r="H784" s="36">
        <v>551</v>
      </c>
      <c r="I784" s="36">
        <v>32</v>
      </c>
      <c r="J784" s="36">
        <v>120</v>
      </c>
      <c r="K784" s="6">
        <f t="shared" si="13"/>
        <v>13312.65</v>
      </c>
    </row>
    <row r="785" spans="1:11" x14ac:dyDescent="0.25">
      <c r="A785" s="35">
        <v>2010</v>
      </c>
      <c r="B785" s="33" t="s">
        <v>443</v>
      </c>
      <c r="C785" s="33" t="s">
        <v>304</v>
      </c>
      <c r="D785" s="33" t="s">
        <v>305</v>
      </c>
      <c r="E785" s="34" t="s">
        <v>444</v>
      </c>
      <c r="F785" s="36">
        <v>12080.17</v>
      </c>
      <c r="G785" s="36"/>
      <c r="H785" s="36"/>
      <c r="I785" s="36"/>
      <c r="J785" s="36"/>
      <c r="K785" s="6"/>
    </row>
    <row r="786" spans="1:11" x14ac:dyDescent="0.25">
      <c r="A786" s="35">
        <v>2010</v>
      </c>
      <c r="B786" s="33" t="s">
        <v>441</v>
      </c>
      <c r="C786" s="33" t="s">
        <v>304</v>
      </c>
      <c r="D786" s="33" t="s">
        <v>305</v>
      </c>
      <c r="E786" s="34" t="s">
        <v>442</v>
      </c>
      <c r="F786" s="36">
        <v>12080.17</v>
      </c>
      <c r="G786" s="36"/>
      <c r="H786" s="36"/>
      <c r="I786" s="36"/>
      <c r="J786" s="36"/>
      <c r="K786" s="6"/>
    </row>
    <row r="787" spans="1:11" x14ac:dyDescent="0.25">
      <c r="A787" s="35">
        <v>2010</v>
      </c>
      <c r="B787" s="33" t="s">
        <v>427</v>
      </c>
      <c r="C787" s="33"/>
      <c r="D787" s="33"/>
      <c r="E787" s="34" t="s">
        <v>428</v>
      </c>
      <c r="F787" s="36">
        <v>18397.810000000001</v>
      </c>
      <c r="G787" s="36"/>
      <c r="H787" s="36"/>
      <c r="I787" s="36"/>
      <c r="J787" s="36"/>
      <c r="K787" s="6"/>
    </row>
    <row r="788" spans="1:11" x14ac:dyDescent="0.25">
      <c r="A788" s="35">
        <v>2010</v>
      </c>
      <c r="B788" s="33" t="s">
        <v>429</v>
      </c>
      <c r="C788" s="33"/>
      <c r="D788" s="33"/>
      <c r="E788" s="34" t="s">
        <v>430</v>
      </c>
      <c r="F788" s="36">
        <v>15479.7</v>
      </c>
      <c r="G788" s="36"/>
      <c r="H788" s="36"/>
      <c r="I788" s="36"/>
      <c r="J788" s="36"/>
      <c r="K788" s="6"/>
    </row>
    <row r="789" spans="1:11" x14ac:dyDescent="0.25">
      <c r="A789" s="35">
        <v>2010</v>
      </c>
      <c r="B789" s="33" t="s">
        <v>477</v>
      </c>
      <c r="C789" s="33"/>
      <c r="D789" s="33"/>
      <c r="E789" s="34" t="s">
        <v>432</v>
      </c>
      <c r="F789" s="36">
        <v>13247.07</v>
      </c>
      <c r="G789" s="36"/>
      <c r="H789" s="36"/>
      <c r="I789" s="36"/>
      <c r="J789" s="36"/>
      <c r="K789" s="6"/>
    </row>
    <row r="790" spans="1:11" x14ac:dyDescent="0.25">
      <c r="A790" s="35">
        <v>2010</v>
      </c>
      <c r="B790" s="33" t="s">
        <v>433</v>
      </c>
      <c r="C790" s="33"/>
      <c r="D790" s="33"/>
      <c r="E790" s="34" t="s">
        <v>434</v>
      </c>
      <c r="F790" s="36">
        <v>11610.89</v>
      </c>
      <c r="G790" s="36"/>
      <c r="H790" s="36"/>
      <c r="I790" s="36"/>
      <c r="J790" s="36"/>
      <c r="K790" s="6"/>
    </row>
    <row r="791" spans="1:11" x14ac:dyDescent="0.25">
      <c r="A791" s="35">
        <v>2010</v>
      </c>
      <c r="B791" s="33" t="s">
        <v>478</v>
      </c>
      <c r="C791" s="33"/>
      <c r="D791" s="33"/>
      <c r="E791" s="34" t="s">
        <v>436</v>
      </c>
      <c r="F791" s="36">
        <v>10386.94</v>
      </c>
      <c r="G791" s="36"/>
      <c r="H791" s="36"/>
      <c r="I791" s="36"/>
      <c r="J791" s="36"/>
      <c r="K791" s="6"/>
    </row>
    <row r="792" spans="1:11" x14ac:dyDescent="0.25">
      <c r="A792" s="35">
        <v>2010</v>
      </c>
      <c r="B792" s="33" t="s">
        <v>437</v>
      </c>
      <c r="C792" s="33"/>
      <c r="D792" s="33"/>
      <c r="E792" s="34" t="s">
        <v>438</v>
      </c>
      <c r="F792" s="36">
        <v>9770.09</v>
      </c>
      <c r="G792" s="36"/>
      <c r="H792" s="36"/>
      <c r="I792" s="36"/>
      <c r="J792" s="36"/>
      <c r="K792" s="6"/>
    </row>
    <row r="793" spans="1:11" x14ac:dyDescent="0.25">
      <c r="A793" s="35">
        <v>2010</v>
      </c>
      <c r="B793" s="33" t="s">
        <v>439</v>
      </c>
      <c r="C793" s="33"/>
      <c r="D793" s="33"/>
      <c r="E793" s="34" t="s">
        <v>440</v>
      </c>
      <c r="F793" s="36">
        <v>8380.7999999999993</v>
      </c>
      <c r="G793" s="36"/>
      <c r="H793" s="36"/>
      <c r="I793" s="36"/>
      <c r="J793" s="36"/>
      <c r="K793" s="6"/>
    </row>
    <row r="794" spans="1:11" x14ac:dyDescent="0.25">
      <c r="A794" s="35">
        <v>2010</v>
      </c>
      <c r="B794" s="33" t="s">
        <v>459</v>
      </c>
      <c r="C794" s="33"/>
      <c r="D794" s="33"/>
      <c r="E794" s="34" t="s">
        <v>479</v>
      </c>
      <c r="F794" s="36">
        <v>31811.26</v>
      </c>
      <c r="G794" s="36"/>
      <c r="H794" s="36"/>
      <c r="I794" s="36"/>
      <c r="J794" s="36"/>
      <c r="K794" s="6"/>
    </row>
    <row r="795" spans="1:11" x14ac:dyDescent="0.25">
      <c r="A795" s="35">
        <v>2010</v>
      </c>
      <c r="B795" s="33" t="s">
        <v>461</v>
      </c>
      <c r="C795" s="33"/>
      <c r="D795" s="33"/>
      <c r="E795" s="34" t="s">
        <v>462</v>
      </c>
      <c r="F795" s="36">
        <v>11314.39</v>
      </c>
      <c r="G795" s="36"/>
      <c r="H795" s="36"/>
      <c r="I795" s="36"/>
      <c r="J795" s="36"/>
      <c r="K795" s="6"/>
    </row>
    <row r="796" spans="1:11" x14ac:dyDescent="0.25">
      <c r="A796" s="35">
        <v>2010</v>
      </c>
      <c r="B796" s="33" t="s">
        <v>463</v>
      </c>
      <c r="C796" s="33"/>
      <c r="D796" s="33"/>
      <c r="E796" s="34" t="s">
        <v>464</v>
      </c>
      <c r="F796" s="36">
        <v>11482.76</v>
      </c>
      <c r="G796" s="36"/>
      <c r="H796" s="36"/>
      <c r="I796" s="36"/>
      <c r="J796" s="36"/>
      <c r="K796" s="6"/>
    </row>
    <row r="797" spans="1:11" x14ac:dyDescent="0.25">
      <c r="A797" s="35">
        <v>2010</v>
      </c>
      <c r="B797" s="33" t="s">
        <v>465</v>
      </c>
      <c r="C797" s="33"/>
      <c r="D797" s="33"/>
      <c r="E797" s="34" t="s">
        <v>466</v>
      </c>
      <c r="F797" s="36">
        <v>12444.22</v>
      </c>
      <c r="G797" s="36"/>
      <c r="H797" s="36"/>
      <c r="I797" s="36"/>
      <c r="J797" s="36"/>
      <c r="K797" s="6"/>
    </row>
    <row r="798" spans="1:11" x14ac:dyDescent="0.25">
      <c r="A798" s="35">
        <v>2010</v>
      </c>
      <c r="B798" s="33" t="s">
        <v>467</v>
      </c>
      <c r="C798" s="33"/>
      <c r="D798" s="33"/>
      <c r="E798" s="34" t="s">
        <v>468</v>
      </c>
      <c r="F798" s="36">
        <v>7869.62</v>
      </c>
      <c r="G798" s="36"/>
      <c r="H798" s="36"/>
      <c r="I798" s="36"/>
      <c r="J798" s="36"/>
      <c r="K798" s="6"/>
    </row>
    <row r="799" spans="1:11" x14ac:dyDescent="0.25">
      <c r="A799" s="35">
        <v>2010</v>
      </c>
      <c r="B799" s="33" t="s">
        <v>469</v>
      </c>
      <c r="C799" s="33"/>
      <c r="D799" s="33"/>
      <c r="E799" s="34" t="s">
        <v>470</v>
      </c>
      <c r="F799" s="36">
        <v>7188.01</v>
      </c>
      <c r="G799" s="36"/>
      <c r="H799" s="36"/>
      <c r="I799" s="36"/>
      <c r="J799" s="36"/>
      <c r="K799" s="6"/>
    </row>
    <row r="800" spans="1:11" x14ac:dyDescent="0.25">
      <c r="A800" s="35">
        <v>2010</v>
      </c>
      <c r="B800" s="33" t="s">
        <v>471</v>
      </c>
      <c r="C800" s="33"/>
      <c r="D800" s="33"/>
      <c r="E800" s="34" t="s">
        <v>472</v>
      </c>
      <c r="F800" s="36">
        <v>8398.74</v>
      </c>
      <c r="G800" s="36"/>
      <c r="H800" s="36"/>
      <c r="I800" s="36"/>
      <c r="J800" s="36"/>
      <c r="K800" s="6"/>
    </row>
    <row r="801" spans="1:11" x14ac:dyDescent="0.25">
      <c r="A801" s="35">
        <v>2010</v>
      </c>
      <c r="B801" s="33" t="s">
        <v>473</v>
      </c>
      <c r="C801" s="33"/>
      <c r="D801" s="33"/>
      <c r="E801" s="34" t="s">
        <v>474</v>
      </c>
      <c r="F801" s="36">
        <v>6613.11</v>
      </c>
      <c r="G801" s="36"/>
      <c r="H801" s="36"/>
      <c r="I801" s="36"/>
      <c r="J801" s="36"/>
      <c r="K801" s="6"/>
    </row>
    <row r="802" spans="1:11" x14ac:dyDescent="0.25">
      <c r="A802" s="4">
        <v>2009</v>
      </c>
      <c r="B802" s="11" t="s">
        <v>288</v>
      </c>
      <c r="C802" s="11" t="s">
        <v>289</v>
      </c>
      <c r="D802" s="11" t="s">
        <v>290</v>
      </c>
      <c r="E802" s="12" t="s">
        <v>291</v>
      </c>
      <c r="F802" s="5"/>
      <c r="G802" s="5">
        <v>0</v>
      </c>
      <c r="H802" s="5">
        <v>551</v>
      </c>
      <c r="I802" s="5">
        <v>32</v>
      </c>
      <c r="J802" s="5">
        <v>120</v>
      </c>
      <c r="K802" s="6">
        <f>SUM(F802:J802)</f>
        <v>703</v>
      </c>
    </row>
    <row r="803" spans="1:11" x14ac:dyDescent="0.25">
      <c r="A803" s="4">
        <v>2009</v>
      </c>
      <c r="B803" s="11" t="s">
        <v>295</v>
      </c>
      <c r="C803" s="11" t="s">
        <v>289</v>
      </c>
      <c r="D803" s="11" t="s">
        <v>290</v>
      </c>
      <c r="E803" s="12" t="s">
        <v>296</v>
      </c>
      <c r="F803" s="5">
        <v>10596.23</v>
      </c>
      <c r="G803" s="5">
        <v>0</v>
      </c>
      <c r="H803" s="5">
        <v>551</v>
      </c>
      <c r="I803" s="5">
        <v>32</v>
      </c>
      <c r="J803" s="5">
        <v>120</v>
      </c>
      <c r="K803" s="6">
        <f t="shared" ref="K803:K861" si="14">SUM(F803:J803)</f>
        <v>11299.23</v>
      </c>
    </row>
    <row r="804" spans="1:11" x14ac:dyDescent="0.25">
      <c r="A804" s="4">
        <v>2009</v>
      </c>
      <c r="B804" s="11" t="s">
        <v>301</v>
      </c>
      <c r="C804" s="11" t="s">
        <v>289</v>
      </c>
      <c r="D804" s="11" t="s">
        <v>290</v>
      </c>
      <c r="E804" s="12" t="s">
        <v>302</v>
      </c>
      <c r="F804" s="5">
        <v>10596.23</v>
      </c>
      <c r="G804" s="5">
        <v>0</v>
      </c>
      <c r="H804" s="5">
        <v>551</v>
      </c>
      <c r="I804" s="5">
        <v>32</v>
      </c>
      <c r="J804" s="5">
        <v>120</v>
      </c>
      <c r="K804" s="6">
        <f t="shared" si="14"/>
        <v>11299.23</v>
      </c>
    </row>
    <row r="805" spans="1:11" x14ac:dyDescent="0.25">
      <c r="A805" s="4">
        <v>2009</v>
      </c>
      <c r="B805" s="11" t="s">
        <v>299</v>
      </c>
      <c r="C805" s="11" t="s">
        <v>289</v>
      </c>
      <c r="D805" s="11" t="s">
        <v>290</v>
      </c>
      <c r="E805" s="12" t="s">
        <v>300</v>
      </c>
      <c r="F805" s="5">
        <v>10596.23</v>
      </c>
      <c r="G805" s="5">
        <v>0</v>
      </c>
      <c r="H805" s="5">
        <v>551</v>
      </c>
      <c r="I805" s="5">
        <v>32</v>
      </c>
      <c r="J805" s="5">
        <v>120</v>
      </c>
      <c r="K805" s="6">
        <f t="shared" si="14"/>
        <v>11299.23</v>
      </c>
    </row>
    <row r="806" spans="1:11" x14ac:dyDescent="0.25">
      <c r="A806" s="4">
        <v>2009</v>
      </c>
      <c r="B806" s="11" t="s">
        <v>297</v>
      </c>
      <c r="C806" s="11" t="s">
        <v>289</v>
      </c>
      <c r="D806" s="11" t="s">
        <v>290</v>
      </c>
      <c r="E806" s="12" t="s">
        <v>298</v>
      </c>
      <c r="F806" s="5">
        <v>10596.23</v>
      </c>
      <c r="G806" s="5">
        <v>0</v>
      </c>
      <c r="H806" s="5">
        <v>551</v>
      </c>
      <c r="I806" s="5">
        <v>32</v>
      </c>
      <c r="J806" s="5">
        <v>120</v>
      </c>
      <c r="K806" s="6">
        <f t="shared" si="14"/>
        <v>11299.23</v>
      </c>
    </row>
    <row r="807" spans="1:11" x14ac:dyDescent="0.25">
      <c r="A807" s="4">
        <v>2009</v>
      </c>
      <c r="B807" s="11" t="s">
        <v>391</v>
      </c>
      <c r="C807" s="11" t="s">
        <v>383</v>
      </c>
      <c r="D807" s="11" t="s">
        <v>384</v>
      </c>
      <c r="E807" s="12" t="s">
        <v>392</v>
      </c>
      <c r="F807" s="5">
        <v>10596.23</v>
      </c>
      <c r="G807" s="5">
        <v>0</v>
      </c>
      <c r="H807" s="5">
        <v>551</v>
      </c>
      <c r="I807" s="5">
        <v>32</v>
      </c>
      <c r="J807" s="5">
        <v>120</v>
      </c>
      <c r="K807" s="6">
        <f t="shared" si="14"/>
        <v>11299.23</v>
      </c>
    </row>
    <row r="808" spans="1:11" x14ac:dyDescent="0.25">
      <c r="A808" s="4">
        <v>2009</v>
      </c>
      <c r="B808" s="11" t="s">
        <v>393</v>
      </c>
      <c r="C808" s="11" t="s">
        <v>383</v>
      </c>
      <c r="D808" s="11" t="s">
        <v>384</v>
      </c>
      <c r="E808" s="12" t="s">
        <v>394</v>
      </c>
      <c r="F808" s="5">
        <v>10596.23</v>
      </c>
      <c r="G808" s="5">
        <v>0</v>
      </c>
      <c r="H808" s="5">
        <v>551</v>
      </c>
      <c r="I808" s="5">
        <v>32</v>
      </c>
      <c r="J808" s="5">
        <v>120</v>
      </c>
      <c r="K808" s="6">
        <f t="shared" si="14"/>
        <v>11299.23</v>
      </c>
    </row>
    <row r="809" spans="1:11" x14ac:dyDescent="0.25">
      <c r="A809" s="4">
        <v>2009</v>
      </c>
      <c r="B809" s="11" t="s">
        <v>387</v>
      </c>
      <c r="C809" s="11" t="s">
        <v>383</v>
      </c>
      <c r="D809" s="11" t="s">
        <v>384</v>
      </c>
      <c r="E809" s="12" t="s">
        <v>388</v>
      </c>
      <c r="F809" s="5">
        <v>10596.23</v>
      </c>
      <c r="G809" s="5">
        <v>0</v>
      </c>
      <c r="H809" s="5">
        <v>551</v>
      </c>
      <c r="I809" s="5">
        <v>32</v>
      </c>
      <c r="J809" s="5">
        <v>120</v>
      </c>
      <c r="K809" s="6">
        <f t="shared" si="14"/>
        <v>11299.23</v>
      </c>
    </row>
    <row r="810" spans="1:11" x14ac:dyDescent="0.25">
      <c r="A810" s="4">
        <v>2009</v>
      </c>
      <c r="B810" s="11" t="s">
        <v>382</v>
      </c>
      <c r="C810" s="11" t="s">
        <v>383</v>
      </c>
      <c r="D810" s="11" t="s">
        <v>384</v>
      </c>
      <c r="E810" s="12" t="s">
        <v>385</v>
      </c>
      <c r="F810" s="5">
        <v>10596.23</v>
      </c>
      <c r="G810" s="5">
        <v>0</v>
      </c>
      <c r="H810" s="5">
        <v>551</v>
      </c>
      <c r="I810" s="5">
        <v>32</v>
      </c>
      <c r="J810" s="5">
        <v>120</v>
      </c>
      <c r="K810" s="6">
        <f t="shared" si="14"/>
        <v>11299.23</v>
      </c>
    </row>
    <row r="811" spans="1:11" x14ac:dyDescent="0.25">
      <c r="A811" s="4">
        <v>2009</v>
      </c>
      <c r="B811" s="11" t="s">
        <v>389</v>
      </c>
      <c r="C811" s="11" t="s">
        <v>383</v>
      </c>
      <c r="D811" s="11" t="s">
        <v>384</v>
      </c>
      <c r="E811" s="12" t="s">
        <v>390</v>
      </c>
      <c r="F811" s="5">
        <v>10596.23</v>
      </c>
      <c r="G811" s="5">
        <v>0</v>
      </c>
      <c r="H811" s="5">
        <v>551</v>
      </c>
      <c r="I811" s="5">
        <v>32</v>
      </c>
      <c r="J811" s="5">
        <v>120</v>
      </c>
      <c r="K811" s="6">
        <f t="shared" si="14"/>
        <v>11299.23</v>
      </c>
    </row>
    <row r="812" spans="1:11" x14ac:dyDescent="0.25">
      <c r="A812" s="4">
        <v>2009</v>
      </c>
      <c r="B812" s="11" t="s">
        <v>407</v>
      </c>
      <c r="C812" s="11" t="s">
        <v>383</v>
      </c>
      <c r="D812" s="11" t="s">
        <v>384</v>
      </c>
      <c r="E812" s="12" t="s">
        <v>408</v>
      </c>
      <c r="F812" s="5">
        <v>10596.23</v>
      </c>
      <c r="G812" s="5"/>
      <c r="H812" s="5"/>
      <c r="I812" s="5"/>
      <c r="J812" s="5"/>
      <c r="K812" s="6"/>
    </row>
    <row r="813" spans="1:11" x14ac:dyDescent="0.25">
      <c r="A813" s="4">
        <v>2009</v>
      </c>
      <c r="B813" s="11" t="s">
        <v>409</v>
      </c>
      <c r="C813" s="11" t="s">
        <v>383</v>
      </c>
      <c r="D813" s="11" t="s">
        <v>384</v>
      </c>
      <c r="E813" s="12" t="s">
        <v>410</v>
      </c>
      <c r="F813" s="5">
        <v>10596.23</v>
      </c>
      <c r="G813" s="5"/>
      <c r="H813" s="5"/>
      <c r="I813" s="5"/>
      <c r="J813" s="5"/>
      <c r="K813" s="6"/>
    </row>
    <row r="814" spans="1:11" x14ac:dyDescent="0.25">
      <c r="A814" s="4">
        <v>2009</v>
      </c>
      <c r="B814" s="11" t="s">
        <v>411</v>
      </c>
      <c r="C814" s="11" t="s">
        <v>383</v>
      </c>
      <c r="D814" s="11" t="s">
        <v>384</v>
      </c>
      <c r="E814" s="12" t="s">
        <v>412</v>
      </c>
      <c r="F814" s="5">
        <v>10596.23</v>
      </c>
      <c r="G814" s="5"/>
      <c r="H814" s="5"/>
      <c r="I814" s="5"/>
      <c r="J814" s="5"/>
      <c r="K814" s="6"/>
    </row>
    <row r="815" spans="1:11" x14ac:dyDescent="0.25">
      <c r="A815" s="4">
        <v>2009</v>
      </c>
      <c r="B815" s="11" t="s">
        <v>413</v>
      </c>
      <c r="C815" s="11" t="s">
        <v>383</v>
      </c>
      <c r="D815" s="11" t="s">
        <v>384</v>
      </c>
      <c r="E815" s="12" t="s">
        <v>414</v>
      </c>
      <c r="F815" s="5">
        <v>10596.23</v>
      </c>
      <c r="G815" s="5"/>
      <c r="H815" s="5"/>
      <c r="I815" s="5"/>
      <c r="J815" s="5"/>
      <c r="K815" s="6"/>
    </row>
    <row r="816" spans="1:11" x14ac:dyDescent="0.25">
      <c r="A816" s="4">
        <v>2009</v>
      </c>
      <c r="B816" s="11" t="s">
        <v>415</v>
      </c>
      <c r="C816" s="11" t="s">
        <v>383</v>
      </c>
      <c r="D816" s="11" t="s">
        <v>384</v>
      </c>
      <c r="E816" s="12" t="s">
        <v>416</v>
      </c>
      <c r="F816" s="5">
        <v>10596.23</v>
      </c>
      <c r="G816" s="5"/>
      <c r="H816" s="5"/>
      <c r="I816" s="5"/>
      <c r="J816" s="5"/>
      <c r="K816" s="6"/>
    </row>
    <row r="817" spans="1:11" x14ac:dyDescent="0.25">
      <c r="A817" s="4">
        <v>2009</v>
      </c>
      <c r="B817" s="11" t="s">
        <v>417</v>
      </c>
      <c r="C817" s="11" t="s">
        <v>383</v>
      </c>
      <c r="D817" s="11" t="s">
        <v>384</v>
      </c>
      <c r="E817" s="12" t="s">
        <v>418</v>
      </c>
      <c r="F817" s="5">
        <v>10596.23</v>
      </c>
      <c r="G817" s="5"/>
      <c r="H817" s="5"/>
      <c r="I817" s="5"/>
      <c r="J817" s="5"/>
      <c r="K817" s="6"/>
    </row>
    <row r="818" spans="1:11" x14ac:dyDescent="0.25">
      <c r="A818" s="4">
        <v>2009</v>
      </c>
      <c r="B818" s="11" t="s">
        <v>419</v>
      </c>
      <c r="C818" s="11" t="s">
        <v>383</v>
      </c>
      <c r="D818" s="11" t="s">
        <v>384</v>
      </c>
      <c r="E818" s="12" t="s">
        <v>420</v>
      </c>
      <c r="F818" s="5">
        <v>10596.23</v>
      </c>
      <c r="G818" s="5"/>
      <c r="H818" s="5"/>
      <c r="I818" s="5"/>
      <c r="J818" s="5"/>
      <c r="K818" s="6"/>
    </row>
    <row r="819" spans="1:11" x14ac:dyDescent="0.25">
      <c r="A819" s="4">
        <v>2009</v>
      </c>
      <c r="B819" s="11" t="s">
        <v>421</v>
      </c>
      <c r="C819" s="11" t="s">
        <v>383</v>
      </c>
      <c r="D819" s="11" t="s">
        <v>384</v>
      </c>
      <c r="E819" s="12" t="s">
        <v>422</v>
      </c>
      <c r="F819" s="5">
        <v>10596.23</v>
      </c>
      <c r="G819" s="5"/>
      <c r="H819" s="5"/>
      <c r="I819" s="5"/>
      <c r="J819" s="5"/>
      <c r="K819" s="6"/>
    </row>
    <row r="820" spans="1:11" x14ac:dyDescent="0.25">
      <c r="A820" s="4">
        <v>2009</v>
      </c>
      <c r="B820" s="11" t="s">
        <v>423</v>
      </c>
      <c r="C820" s="11" t="s">
        <v>383</v>
      </c>
      <c r="D820" s="11" t="s">
        <v>384</v>
      </c>
      <c r="E820" s="12" t="s">
        <v>424</v>
      </c>
      <c r="F820" s="5">
        <v>10596.23</v>
      </c>
      <c r="G820" s="5"/>
      <c r="H820" s="5"/>
      <c r="I820" s="5"/>
      <c r="J820" s="5"/>
      <c r="K820" s="6"/>
    </row>
    <row r="821" spans="1:11" x14ac:dyDescent="0.25">
      <c r="A821" s="4">
        <v>2009</v>
      </c>
      <c r="B821" s="11" t="s">
        <v>405</v>
      </c>
      <c r="C821" s="11" t="s">
        <v>383</v>
      </c>
      <c r="D821" s="11" t="s">
        <v>384</v>
      </c>
      <c r="E821" s="12" t="s">
        <v>406</v>
      </c>
      <c r="F821" s="5">
        <v>10596.23</v>
      </c>
      <c r="G821" s="5"/>
      <c r="H821" s="5"/>
      <c r="I821" s="5"/>
      <c r="J821" s="5"/>
      <c r="K821" s="6"/>
    </row>
    <row r="822" spans="1:11" x14ac:dyDescent="0.25">
      <c r="A822" s="4">
        <v>2009</v>
      </c>
      <c r="B822" s="11" t="s">
        <v>425</v>
      </c>
      <c r="C822" s="11" t="s">
        <v>383</v>
      </c>
      <c r="D822" s="11" t="s">
        <v>384</v>
      </c>
      <c r="E822" s="12" t="s">
        <v>426</v>
      </c>
      <c r="F822" s="5">
        <v>10596.23</v>
      </c>
      <c r="G822" s="5"/>
      <c r="H822" s="5"/>
      <c r="I822" s="5"/>
      <c r="J822" s="5"/>
      <c r="K822" s="6"/>
    </row>
    <row r="823" spans="1:11" x14ac:dyDescent="0.25">
      <c r="A823" s="4">
        <v>2009</v>
      </c>
      <c r="B823" s="11" t="s">
        <v>337</v>
      </c>
      <c r="C823" s="11" t="s">
        <v>331</v>
      </c>
      <c r="D823" s="11" t="s">
        <v>332</v>
      </c>
      <c r="E823" s="12" t="s">
        <v>338</v>
      </c>
      <c r="F823" s="5">
        <v>11105.82</v>
      </c>
      <c r="G823" s="5">
        <v>0</v>
      </c>
      <c r="H823" s="5">
        <v>551</v>
      </c>
      <c r="I823" s="5">
        <v>32</v>
      </c>
      <c r="J823" s="5">
        <v>120</v>
      </c>
      <c r="K823" s="6">
        <f t="shared" si="14"/>
        <v>11808.82</v>
      </c>
    </row>
    <row r="824" spans="1:11" x14ac:dyDescent="0.25">
      <c r="A824" s="4">
        <v>2009</v>
      </c>
      <c r="B824" s="11" t="s">
        <v>403</v>
      </c>
      <c r="C824" s="11" t="s">
        <v>331</v>
      </c>
      <c r="D824" s="11" t="s">
        <v>332</v>
      </c>
      <c r="E824" s="12" t="s">
        <v>404</v>
      </c>
      <c r="F824" s="5">
        <v>11105.82</v>
      </c>
      <c r="G824" s="5"/>
      <c r="H824" s="5"/>
      <c r="I824" s="5"/>
      <c r="J824" s="5"/>
      <c r="K824" s="6"/>
    </row>
    <row r="825" spans="1:11" x14ac:dyDescent="0.25">
      <c r="A825" s="4">
        <v>2009</v>
      </c>
      <c r="B825" s="11" t="s">
        <v>345</v>
      </c>
      <c r="C825" s="11" t="s">
        <v>331</v>
      </c>
      <c r="D825" s="11" t="s">
        <v>332</v>
      </c>
      <c r="E825" s="12" t="s">
        <v>346</v>
      </c>
      <c r="F825" s="5">
        <v>11105.82</v>
      </c>
      <c r="G825" s="5">
        <v>0</v>
      </c>
      <c r="H825" s="5">
        <v>551</v>
      </c>
      <c r="I825" s="5">
        <v>32</v>
      </c>
      <c r="J825" s="5">
        <v>120</v>
      </c>
      <c r="K825" s="6">
        <f t="shared" si="14"/>
        <v>11808.82</v>
      </c>
    </row>
    <row r="826" spans="1:11" x14ac:dyDescent="0.25">
      <c r="A826" s="4">
        <v>2009</v>
      </c>
      <c r="B826" s="11" t="s">
        <v>341</v>
      </c>
      <c r="C826" s="11" t="s">
        <v>331</v>
      </c>
      <c r="D826" s="11" t="s">
        <v>332</v>
      </c>
      <c r="E826" s="12" t="s">
        <v>342</v>
      </c>
      <c r="F826" s="5">
        <v>11105.82</v>
      </c>
      <c r="G826" s="5">
        <v>0</v>
      </c>
      <c r="H826" s="5">
        <v>551</v>
      </c>
      <c r="I826" s="5">
        <v>32</v>
      </c>
      <c r="J826" s="5">
        <v>120</v>
      </c>
      <c r="K826" s="6">
        <f t="shared" si="14"/>
        <v>11808.82</v>
      </c>
    </row>
    <row r="827" spans="1:11" x14ac:dyDescent="0.25">
      <c r="A827" s="4">
        <v>2009</v>
      </c>
      <c r="B827" s="11" t="s">
        <v>343</v>
      </c>
      <c r="C827" s="11" t="s">
        <v>331</v>
      </c>
      <c r="D827" s="11" t="s">
        <v>332</v>
      </c>
      <c r="E827" s="12" t="s">
        <v>344</v>
      </c>
      <c r="F827" s="5">
        <v>11105.82</v>
      </c>
      <c r="G827" s="5">
        <v>0</v>
      </c>
      <c r="H827" s="5">
        <v>551</v>
      </c>
      <c r="I827" s="5">
        <v>32</v>
      </c>
      <c r="J827" s="5">
        <v>120</v>
      </c>
      <c r="K827" s="6">
        <f t="shared" si="14"/>
        <v>11808.82</v>
      </c>
    </row>
    <row r="828" spans="1:11" x14ac:dyDescent="0.25">
      <c r="A828" s="4">
        <v>2009</v>
      </c>
      <c r="B828" s="11" t="s">
        <v>347</v>
      </c>
      <c r="C828" s="11" t="s">
        <v>331</v>
      </c>
      <c r="D828" s="11" t="s">
        <v>332</v>
      </c>
      <c r="E828" s="12" t="s">
        <v>348</v>
      </c>
      <c r="F828" s="5">
        <v>11105.82</v>
      </c>
      <c r="G828" s="5">
        <v>0</v>
      </c>
      <c r="H828" s="5">
        <v>551</v>
      </c>
      <c r="I828" s="5">
        <v>32</v>
      </c>
      <c r="J828" s="5">
        <v>120</v>
      </c>
      <c r="K828" s="6">
        <f t="shared" si="14"/>
        <v>11808.82</v>
      </c>
    </row>
    <row r="829" spans="1:11" x14ac:dyDescent="0.25">
      <c r="A829" s="4">
        <v>2009</v>
      </c>
      <c r="B829" s="11" t="s">
        <v>330</v>
      </c>
      <c r="C829" s="11" t="s">
        <v>331</v>
      </c>
      <c r="D829" s="11" t="s">
        <v>332</v>
      </c>
      <c r="E829" s="12" t="s">
        <v>333</v>
      </c>
      <c r="F829" s="5">
        <v>11105.82</v>
      </c>
      <c r="G829" s="5">
        <v>0</v>
      </c>
      <c r="H829" s="5">
        <v>551</v>
      </c>
      <c r="I829" s="5">
        <v>32</v>
      </c>
      <c r="J829" s="5">
        <v>120</v>
      </c>
      <c r="K829" s="6">
        <f t="shared" si="14"/>
        <v>11808.82</v>
      </c>
    </row>
    <row r="830" spans="1:11" x14ac:dyDescent="0.25">
      <c r="A830" s="4">
        <v>2009</v>
      </c>
      <c r="B830" s="11" t="s">
        <v>335</v>
      </c>
      <c r="C830" s="11" t="s">
        <v>331</v>
      </c>
      <c r="D830" s="11" t="s">
        <v>332</v>
      </c>
      <c r="E830" s="12" t="s">
        <v>336</v>
      </c>
      <c r="F830" s="5">
        <v>11105.82</v>
      </c>
      <c r="G830" s="5">
        <v>0</v>
      </c>
      <c r="H830" s="5">
        <v>551</v>
      </c>
      <c r="I830" s="5">
        <v>32</v>
      </c>
      <c r="J830" s="5">
        <v>120</v>
      </c>
      <c r="K830" s="6">
        <f t="shared" si="14"/>
        <v>11808.82</v>
      </c>
    </row>
    <row r="831" spans="1:11" x14ac:dyDescent="0.25">
      <c r="A831" s="4">
        <v>2009</v>
      </c>
      <c r="B831" s="11" t="s">
        <v>339</v>
      </c>
      <c r="C831" s="11" t="s">
        <v>331</v>
      </c>
      <c r="D831" s="11" t="s">
        <v>332</v>
      </c>
      <c r="E831" s="12" t="s">
        <v>340</v>
      </c>
      <c r="F831" s="5">
        <v>11105.82</v>
      </c>
      <c r="G831" s="5">
        <v>0</v>
      </c>
      <c r="H831" s="5">
        <v>551</v>
      </c>
      <c r="I831" s="5">
        <v>32</v>
      </c>
      <c r="J831" s="5">
        <v>120</v>
      </c>
      <c r="K831" s="6">
        <f t="shared" si="14"/>
        <v>11808.82</v>
      </c>
    </row>
    <row r="832" spans="1:11" x14ac:dyDescent="0.25">
      <c r="A832" s="4">
        <v>2009</v>
      </c>
      <c r="B832" s="11" t="s">
        <v>318</v>
      </c>
      <c r="C832" s="11" t="s">
        <v>304</v>
      </c>
      <c r="D832" s="11" t="s">
        <v>305</v>
      </c>
      <c r="E832" s="12" t="s">
        <v>319</v>
      </c>
      <c r="F832" s="5">
        <v>11615.55</v>
      </c>
      <c r="G832" s="5">
        <v>0</v>
      </c>
      <c r="H832" s="5">
        <v>551</v>
      </c>
      <c r="I832" s="5">
        <v>32</v>
      </c>
      <c r="J832" s="5">
        <v>120</v>
      </c>
      <c r="K832" s="6">
        <f t="shared" si="14"/>
        <v>12318.55</v>
      </c>
    </row>
    <row r="833" spans="1:11" x14ac:dyDescent="0.25">
      <c r="A833" s="4">
        <v>2009</v>
      </c>
      <c r="B833" s="11" t="s">
        <v>312</v>
      </c>
      <c r="C833" s="11" t="s">
        <v>304</v>
      </c>
      <c r="D833" s="11" t="s">
        <v>305</v>
      </c>
      <c r="E833" s="12" t="s">
        <v>313</v>
      </c>
      <c r="F833" s="5">
        <v>11615.55</v>
      </c>
      <c r="G833" s="5">
        <v>0</v>
      </c>
      <c r="H833" s="5">
        <v>551</v>
      </c>
      <c r="I833" s="5">
        <v>32</v>
      </c>
      <c r="J833" s="5">
        <v>120</v>
      </c>
      <c r="K833" s="6">
        <f t="shared" si="14"/>
        <v>12318.55</v>
      </c>
    </row>
    <row r="834" spans="1:11" x14ac:dyDescent="0.25">
      <c r="A834" s="4">
        <v>2009</v>
      </c>
      <c r="B834" s="11" t="s">
        <v>326</v>
      </c>
      <c r="C834" s="11" t="s">
        <v>304</v>
      </c>
      <c r="D834" s="11" t="s">
        <v>305</v>
      </c>
      <c r="E834" s="12" t="s">
        <v>327</v>
      </c>
      <c r="F834" s="5">
        <v>11615.55</v>
      </c>
      <c r="G834" s="5">
        <v>0</v>
      </c>
      <c r="H834" s="5">
        <v>551</v>
      </c>
      <c r="I834" s="5">
        <v>32</v>
      </c>
      <c r="J834" s="5">
        <v>120</v>
      </c>
      <c r="K834" s="6">
        <f t="shared" si="14"/>
        <v>12318.55</v>
      </c>
    </row>
    <row r="835" spans="1:11" x14ac:dyDescent="0.25">
      <c r="A835" s="4">
        <v>2009</v>
      </c>
      <c r="B835" s="11" t="s">
        <v>322</v>
      </c>
      <c r="C835" s="11" t="s">
        <v>304</v>
      </c>
      <c r="D835" s="11" t="s">
        <v>305</v>
      </c>
      <c r="E835" s="12" t="s">
        <v>323</v>
      </c>
      <c r="F835" s="5">
        <v>11615.55</v>
      </c>
      <c r="G835" s="5">
        <v>0</v>
      </c>
      <c r="H835" s="5">
        <v>551</v>
      </c>
      <c r="I835" s="5">
        <v>32</v>
      </c>
      <c r="J835" s="5">
        <v>120</v>
      </c>
      <c r="K835" s="6">
        <f t="shared" si="14"/>
        <v>12318.55</v>
      </c>
    </row>
    <row r="836" spans="1:11" x14ac:dyDescent="0.25">
      <c r="A836" s="4">
        <v>2009</v>
      </c>
      <c r="B836" s="11" t="s">
        <v>324</v>
      </c>
      <c r="C836" s="11" t="s">
        <v>304</v>
      </c>
      <c r="D836" s="11" t="s">
        <v>305</v>
      </c>
      <c r="E836" s="12" t="s">
        <v>325</v>
      </c>
      <c r="F836" s="5">
        <v>11615.55</v>
      </c>
      <c r="G836" s="5">
        <v>0</v>
      </c>
      <c r="H836" s="5">
        <v>551</v>
      </c>
      <c r="I836" s="5">
        <v>32</v>
      </c>
      <c r="J836" s="5">
        <v>120</v>
      </c>
      <c r="K836" s="6">
        <f t="shared" si="14"/>
        <v>12318.55</v>
      </c>
    </row>
    <row r="837" spans="1:11" x14ac:dyDescent="0.25">
      <c r="A837" s="4">
        <v>2009</v>
      </c>
      <c r="B837" s="11" t="s">
        <v>328</v>
      </c>
      <c r="C837" s="11" t="s">
        <v>304</v>
      </c>
      <c r="D837" s="11" t="s">
        <v>305</v>
      </c>
      <c r="E837" s="12" t="s">
        <v>329</v>
      </c>
      <c r="F837" s="5">
        <v>11615.55</v>
      </c>
      <c r="G837" s="5">
        <v>0</v>
      </c>
      <c r="H837" s="5">
        <v>551</v>
      </c>
      <c r="I837" s="5">
        <v>32</v>
      </c>
      <c r="J837" s="5">
        <v>120</v>
      </c>
      <c r="K837" s="6">
        <f t="shared" si="14"/>
        <v>12318.55</v>
      </c>
    </row>
    <row r="838" spans="1:11" x14ac:dyDescent="0.25">
      <c r="A838" s="4">
        <v>2009</v>
      </c>
      <c r="B838" s="11" t="s">
        <v>314</v>
      </c>
      <c r="C838" s="11" t="s">
        <v>304</v>
      </c>
      <c r="D838" s="11" t="s">
        <v>305</v>
      </c>
      <c r="E838" s="12" t="s">
        <v>315</v>
      </c>
      <c r="F838" s="5">
        <v>11615.55</v>
      </c>
      <c r="G838" s="5">
        <v>0</v>
      </c>
      <c r="H838" s="5">
        <v>551</v>
      </c>
      <c r="I838" s="5">
        <v>32</v>
      </c>
      <c r="J838" s="5">
        <v>120</v>
      </c>
      <c r="K838" s="6">
        <f t="shared" si="14"/>
        <v>12318.55</v>
      </c>
    </row>
    <row r="839" spans="1:11" x14ac:dyDescent="0.25">
      <c r="A839" s="4">
        <v>2009</v>
      </c>
      <c r="B839" s="11" t="s">
        <v>316</v>
      </c>
      <c r="C839" s="11" t="s">
        <v>304</v>
      </c>
      <c r="D839" s="11" t="s">
        <v>305</v>
      </c>
      <c r="E839" s="12" t="s">
        <v>317</v>
      </c>
      <c r="F839" s="5">
        <v>11615.55</v>
      </c>
      <c r="G839" s="5">
        <v>0</v>
      </c>
      <c r="H839" s="5">
        <v>551</v>
      </c>
      <c r="I839" s="5">
        <v>32</v>
      </c>
      <c r="J839" s="5">
        <v>120</v>
      </c>
      <c r="K839" s="6">
        <f t="shared" si="14"/>
        <v>12318.55</v>
      </c>
    </row>
    <row r="840" spans="1:11" x14ac:dyDescent="0.25">
      <c r="A840" s="4">
        <v>2009</v>
      </c>
      <c r="B840" s="11" t="s">
        <v>320</v>
      </c>
      <c r="C840" s="11" t="s">
        <v>304</v>
      </c>
      <c r="D840" s="11" t="s">
        <v>305</v>
      </c>
      <c r="E840" s="12" t="s">
        <v>321</v>
      </c>
      <c r="F840" s="5">
        <v>11615.55</v>
      </c>
      <c r="G840" s="5">
        <v>0</v>
      </c>
      <c r="H840" s="5">
        <v>551</v>
      </c>
      <c r="I840" s="5">
        <v>32</v>
      </c>
      <c r="J840" s="5">
        <v>120</v>
      </c>
      <c r="K840" s="6">
        <f t="shared" si="14"/>
        <v>12318.55</v>
      </c>
    </row>
    <row r="841" spans="1:11" x14ac:dyDescent="0.25">
      <c r="A841" s="4">
        <v>2009</v>
      </c>
      <c r="B841" s="11" t="s">
        <v>310</v>
      </c>
      <c r="C841" s="11" t="s">
        <v>304</v>
      </c>
      <c r="D841" s="11" t="s">
        <v>305</v>
      </c>
      <c r="E841" s="12" t="s">
        <v>311</v>
      </c>
      <c r="F841" s="5">
        <v>11615.55</v>
      </c>
      <c r="G841" s="5">
        <v>0</v>
      </c>
      <c r="H841" s="5">
        <v>551</v>
      </c>
      <c r="I841" s="5">
        <v>32</v>
      </c>
      <c r="J841" s="5">
        <v>120</v>
      </c>
      <c r="K841" s="6">
        <f t="shared" si="14"/>
        <v>12318.55</v>
      </c>
    </row>
    <row r="842" spans="1:11" x14ac:dyDescent="0.25">
      <c r="A842" s="4">
        <v>2009</v>
      </c>
      <c r="B842" s="11" t="s">
        <v>308</v>
      </c>
      <c r="C842" s="11" t="s">
        <v>304</v>
      </c>
      <c r="D842" s="11" t="s">
        <v>305</v>
      </c>
      <c r="E842" s="12" t="s">
        <v>309</v>
      </c>
      <c r="F842" s="5">
        <v>11615.55</v>
      </c>
      <c r="G842" s="5">
        <v>0</v>
      </c>
      <c r="H842" s="5">
        <v>551</v>
      </c>
      <c r="I842" s="5">
        <v>32</v>
      </c>
      <c r="J842" s="5">
        <v>120</v>
      </c>
      <c r="K842" s="6">
        <f t="shared" si="14"/>
        <v>12318.55</v>
      </c>
    </row>
    <row r="843" spans="1:11" x14ac:dyDescent="0.25">
      <c r="A843" s="4">
        <v>2009</v>
      </c>
      <c r="B843" s="11" t="s">
        <v>303</v>
      </c>
      <c r="C843" s="11" t="s">
        <v>304</v>
      </c>
      <c r="D843" s="11" t="s">
        <v>305</v>
      </c>
      <c r="E843" s="12" t="s">
        <v>306</v>
      </c>
      <c r="F843" s="5">
        <v>11615.55</v>
      </c>
      <c r="G843" s="5">
        <v>0</v>
      </c>
      <c r="H843" s="5">
        <v>551</v>
      </c>
      <c r="I843" s="5">
        <v>32</v>
      </c>
      <c r="J843" s="5">
        <v>120</v>
      </c>
      <c r="K843" s="6">
        <f t="shared" si="14"/>
        <v>12318.55</v>
      </c>
    </row>
    <row r="844" spans="1:11" x14ac:dyDescent="0.25">
      <c r="A844" s="4">
        <v>2009</v>
      </c>
      <c r="B844" s="11" t="s">
        <v>293</v>
      </c>
      <c r="C844" s="11" t="s">
        <v>289</v>
      </c>
      <c r="D844" s="11" t="s">
        <v>290</v>
      </c>
      <c r="E844" s="12" t="s">
        <v>294</v>
      </c>
      <c r="F844" s="5">
        <v>12124.66</v>
      </c>
      <c r="G844" s="5">
        <v>0</v>
      </c>
      <c r="H844" s="5">
        <v>551</v>
      </c>
      <c r="I844" s="5">
        <v>32</v>
      </c>
      <c r="J844" s="5">
        <v>120</v>
      </c>
      <c r="K844" s="6">
        <f t="shared" si="14"/>
        <v>12827.66</v>
      </c>
    </row>
    <row r="845" spans="1:11" x14ac:dyDescent="0.25">
      <c r="A845" s="4">
        <v>2009</v>
      </c>
      <c r="B845" s="11" t="s">
        <v>378</v>
      </c>
      <c r="C845" s="11" t="s">
        <v>350</v>
      </c>
      <c r="D845" s="11" t="s">
        <v>351</v>
      </c>
      <c r="E845" s="12" t="s">
        <v>379</v>
      </c>
      <c r="F845" s="5">
        <v>12124.66</v>
      </c>
      <c r="G845" s="5">
        <v>0</v>
      </c>
      <c r="H845" s="5">
        <v>551</v>
      </c>
      <c r="I845" s="5">
        <v>32</v>
      </c>
      <c r="J845" s="5">
        <v>120</v>
      </c>
      <c r="K845" s="6">
        <f t="shared" si="14"/>
        <v>12827.66</v>
      </c>
    </row>
    <row r="846" spans="1:11" x14ac:dyDescent="0.25">
      <c r="A846" s="4">
        <v>2009</v>
      </c>
      <c r="B846" s="11" t="s">
        <v>376</v>
      </c>
      <c r="C846" s="11" t="s">
        <v>350</v>
      </c>
      <c r="D846" s="11" t="s">
        <v>351</v>
      </c>
      <c r="E846" s="12" t="s">
        <v>377</v>
      </c>
      <c r="F846" s="5">
        <v>12124.66</v>
      </c>
      <c r="G846" s="5">
        <v>0</v>
      </c>
      <c r="H846" s="5">
        <v>551</v>
      </c>
      <c r="I846" s="5">
        <v>32</v>
      </c>
      <c r="J846" s="5">
        <v>120</v>
      </c>
      <c r="K846" s="6">
        <f t="shared" si="14"/>
        <v>12827.66</v>
      </c>
    </row>
    <row r="847" spans="1:11" x14ac:dyDescent="0.25">
      <c r="A847" s="4">
        <v>2009</v>
      </c>
      <c r="B847" s="11" t="s">
        <v>380</v>
      </c>
      <c r="C847" s="11" t="s">
        <v>350</v>
      </c>
      <c r="D847" s="11" t="s">
        <v>351</v>
      </c>
      <c r="E847" s="12" t="s">
        <v>381</v>
      </c>
      <c r="F847" s="5">
        <v>12124.66</v>
      </c>
      <c r="G847" s="5">
        <v>0</v>
      </c>
      <c r="H847" s="5">
        <v>551</v>
      </c>
      <c r="I847" s="5">
        <v>32</v>
      </c>
      <c r="J847" s="5">
        <v>120</v>
      </c>
      <c r="K847" s="6">
        <f t="shared" si="14"/>
        <v>12827.66</v>
      </c>
    </row>
    <row r="848" spans="1:11" x14ac:dyDescent="0.25">
      <c r="A848" s="4">
        <v>2009</v>
      </c>
      <c r="B848" s="11" t="s">
        <v>360</v>
      </c>
      <c r="C848" s="11" t="s">
        <v>350</v>
      </c>
      <c r="D848" s="11" t="s">
        <v>351</v>
      </c>
      <c r="E848" s="12" t="s">
        <v>361</v>
      </c>
      <c r="F848" s="5">
        <v>12124.66</v>
      </c>
      <c r="G848" s="5">
        <v>0</v>
      </c>
      <c r="H848" s="5">
        <v>551</v>
      </c>
      <c r="I848" s="5">
        <v>32</v>
      </c>
      <c r="J848" s="5">
        <v>120</v>
      </c>
      <c r="K848" s="6">
        <f t="shared" si="14"/>
        <v>12827.66</v>
      </c>
    </row>
    <row r="849" spans="1:11" x14ac:dyDescent="0.25">
      <c r="A849" s="4">
        <v>2009</v>
      </c>
      <c r="B849" s="11" t="s">
        <v>368</v>
      </c>
      <c r="C849" s="11" t="s">
        <v>350</v>
      </c>
      <c r="D849" s="11" t="s">
        <v>351</v>
      </c>
      <c r="E849" s="12" t="s">
        <v>369</v>
      </c>
      <c r="F849" s="5">
        <v>12124.66</v>
      </c>
      <c r="G849" s="5">
        <v>0</v>
      </c>
      <c r="H849" s="5">
        <v>551</v>
      </c>
      <c r="I849" s="5">
        <v>32</v>
      </c>
      <c r="J849" s="5">
        <v>120</v>
      </c>
      <c r="K849" s="6">
        <f t="shared" si="14"/>
        <v>12827.66</v>
      </c>
    </row>
    <row r="850" spans="1:11" x14ac:dyDescent="0.25">
      <c r="A850" s="4">
        <v>2009</v>
      </c>
      <c r="B850" s="11" t="s">
        <v>358</v>
      </c>
      <c r="C850" s="11" t="s">
        <v>350</v>
      </c>
      <c r="D850" s="11" t="s">
        <v>351</v>
      </c>
      <c r="E850" s="12" t="s">
        <v>359</v>
      </c>
      <c r="F850" s="5">
        <v>12124.66</v>
      </c>
      <c r="G850" s="5">
        <v>0</v>
      </c>
      <c r="H850" s="5">
        <v>551</v>
      </c>
      <c r="I850" s="5">
        <v>32</v>
      </c>
      <c r="J850" s="5">
        <v>120</v>
      </c>
      <c r="K850" s="6">
        <f t="shared" si="14"/>
        <v>12827.66</v>
      </c>
    </row>
    <row r="851" spans="1:11" x14ac:dyDescent="0.25">
      <c r="A851" s="4">
        <v>2009</v>
      </c>
      <c r="B851" s="11" t="s">
        <v>362</v>
      </c>
      <c r="C851" s="11" t="s">
        <v>350</v>
      </c>
      <c r="D851" s="11" t="s">
        <v>351</v>
      </c>
      <c r="E851" s="12" t="s">
        <v>363</v>
      </c>
      <c r="F851" s="5">
        <v>12124.66</v>
      </c>
      <c r="G851" s="5">
        <v>0</v>
      </c>
      <c r="H851" s="5">
        <v>551</v>
      </c>
      <c r="I851" s="5">
        <v>32</v>
      </c>
      <c r="J851" s="5">
        <v>120</v>
      </c>
      <c r="K851" s="6">
        <f t="shared" si="14"/>
        <v>12827.66</v>
      </c>
    </row>
    <row r="852" spans="1:11" x14ac:dyDescent="0.25">
      <c r="A852" s="4">
        <v>2009</v>
      </c>
      <c r="B852" s="11" t="s">
        <v>374</v>
      </c>
      <c r="C852" s="11" t="s">
        <v>350</v>
      </c>
      <c r="D852" s="11" t="s">
        <v>351</v>
      </c>
      <c r="E852" s="12" t="s">
        <v>375</v>
      </c>
      <c r="F852" s="5">
        <v>12124.66</v>
      </c>
      <c r="G852" s="5">
        <v>0</v>
      </c>
      <c r="H852" s="5">
        <v>551</v>
      </c>
      <c r="I852" s="5">
        <v>32</v>
      </c>
      <c r="J852" s="5">
        <v>120</v>
      </c>
      <c r="K852" s="6">
        <f t="shared" si="14"/>
        <v>12827.66</v>
      </c>
    </row>
    <row r="853" spans="1:11" x14ac:dyDescent="0.25">
      <c r="A853" s="4">
        <v>2009</v>
      </c>
      <c r="B853" s="11" t="s">
        <v>364</v>
      </c>
      <c r="C853" s="11" t="s">
        <v>350</v>
      </c>
      <c r="D853" s="11" t="s">
        <v>351</v>
      </c>
      <c r="E853" s="12" t="s">
        <v>365</v>
      </c>
      <c r="F853" s="5">
        <v>12124.66</v>
      </c>
      <c r="G853" s="5">
        <v>0</v>
      </c>
      <c r="H853" s="5">
        <v>551</v>
      </c>
      <c r="I853" s="5">
        <v>32</v>
      </c>
      <c r="J853" s="5">
        <v>120</v>
      </c>
      <c r="K853" s="6">
        <f t="shared" si="14"/>
        <v>12827.66</v>
      </c>
    </row>
    <row r="854" spans="1:11" x14ac:dyDescent="0.25">
      <c r="A854" s="4">
        <v>2009</v>
      </c>
      <c r="B854" s="11" t="s">
        <v>366</v>
      </c>
      <c r="C854" s="11" t="s">
        <v>350</v>
      </c>
      <c r="D854" s="11" t="s">
        <v>351</v>
      </c>
      <c r="E854" s="12" t="s">
        <v>367</v>
      </c>
      <c r="F854" s="5">
        <v>12124.66</v>
      </c>
      <c r="G854" s="5">
        <v>0</v>
      </c>
      <c r="H854" s="5">
        <v>551</v>
      </c>
      <c r="I854" s="5">
        <v>32</v>
      </c>
      <c r="J854" s="5">
        <v>120</v>
      </c>
      <c r="K854" s="6">
        <f t="shared" si="14"/>
        <v>12827.66</v>
      </c>
    </row>
    <row r="855" spans="1:11" x14ac:dyDescent="0.25">
      <c r="A855" s="4">
        <v>2009</v>
      </c>
      <c r="B855" s="11" t="s">
        <v>372</v>
      </c>
      <c r="C855" s="11" t="s">
        <v>350</v>
      </c>
      <c r="D855" s="11" t="s">
        <v>351</v>
      </c>
      <c r="E855" s="12" t="s">
        <v>373</v>
      </c>
      <c r="F855" s="5">
        <v>12124.66</v>
      </c>
      <c r="G855" s="5">
        <v>0</v>
      </c>
      <c r="H855" s="5">
        <v>551</v>
      </c>
      <c r="I855" s="5">
        <v>32</v>
      </c>
      <c r="J855" s="5">
        <v>120</v>
      </c>
      <c r="K855" s="6">
        <f t="shared" si="14"/>
        <v>12827.66</v>
      </c>
    </row>
    <row r="856" spans="1:11" x14ac:dyDescent="0.25">
      <c r="A856" s="4">
        <v>2009</v>
      </c>
      <c r="B856" s="11" t="s">
        <v>370</v>
      </c>
      <c r="C856" s="11" t="s">
        <v>350</v>
      </c>
      <c r="D856" s="11" t="s">
        <v>351</v>
      </c>
      <c r="E856" s="12" t="s">
        <v>371</v>
      </c>
      <c r="F856" s="5">
        <v>12124.66</v>
      </c>
      <c r="G856" s="5">
        <v>0</v>
      </c>
      <c r="H856" s="5">
        <v>551</v>
      </c>
      <c r="I856" s="5">
        <v>32</v>
      </c>
      <c r="J856" s="5">
        <v>120</v>
      </c>
      <c r="K856" s="6">
        <f t="shared" si="14"/>
        <v>12827.66</v>
      </c>
    </row>
    <row r="857" spans="1:11" x14ac:dyDescent="0.25">
      <c r="A857" s="4">
        <v>2009</v>
      </c>
      <c r="B857" s="11" t="s">
        <v>356</v>
      </c>
      <c r="C857" s="11" t="s">
        <v>350</v>
      </c>
      <c r="D857" s="11" t="s">
        <v>351</v>
      </c>
      <c r="E857" s="12" t="s">
        <v>357</v>
      </c>
      <c r="F857" s="5">
        <v>12124.66</v>
      </c>
      <c r="G857" s="5">
        <v>0</v>
      </c>
      <c r="H857" s="5">
        <v>551</v>
      </c>
      <c r="I857" s="5">
        <v>32</v>
      </c>
      <c r="J857" s="5">
        <v>120</v>
      </c>
      <c r="K857" s="6">
        <f t="shared" si="14"/>
        <v>12827.66</v>
      </c>
    </row>
    <row r="858" spans="1:11" x14ac:dyDescent="0.25">
      <c r="A858" s="4">
        <v>2009</v>
      </c>
      <c r="B858" s="11" t="s">
        <v>354</v>
      </c>
      <c r="C858" s="11" t="s">
        <v>350</v>
      </c>
      <c r="D858" s="11" t="s">
        <v>351</v>
      </c>
      <c r="E858" s="12" t="s">
        <v>355</v>
      </c>
      <c r="F858" s="5">
        <v>12124.66</v>
      </c>
      <c r="G858" s="5">
        <v>0</v>
      </c>
      <c r="H858" s="5">
        <v>551</v>
      </c>
      <c r="I858" s="5">
        <v>32</v>
      </c>
      <c r="J858" s="5">
        <v>120</v>
      </c>
      <c r="K858" s="6">
        <f t="shared" si="14"/>
        <v>12827.66</v>
      </c>
    </row>
    <row r="859" spans="1:11" x14ac:dyDescent="0.25">
      <c r="A859" s="4">
        <v>2009</v>
      </c>
      <c r="B859" s="11" t="s">
        <v>349</v>
      </c>
      <c r="C859" s="11" t="s">
        <v>350</v>
      </c>
      <c r="D859" s="11" t="s">
        <v>351</v>
      </c>
      <c r="E859" s="12" t="s">
        <v>352</v>
      </c>
      <c r="F859" s="5">
        <v>12124.66</v>
      </c>
      <c r="G859" s="5">
        <v>0</v>
      </c>
      <c r="H859" s="5">
        <v>551</v>
      </c>
      <c r="I859" s="5">
        <v>32</v>
      </c>
      <c r="J859" s="5">
        <v>120</v>
      </c>
      <c r="K859" s="6">
        <f t="shared" si="14"/>
        <v>12827.66</v>
      </c>
    </row>
    <row r="860" spans="1:11" x14ac:dyDescent="0.25">
      <c r="A860" s="4">
        <v>2009</v>
      </c>
      <c r="B860" s="11" t="s">
        <v>399</v>
      </c>
      <c r="C860" s="11" t="s">
        <v>400</v>
      </c>
      <c r="D860" s="11" t="s">
        <v>401</v>
      </c>
      <c r="E860" s="12" t="s">
        <v>402</v>
      </c>
      <c r="F860" s="5">
        <v>12634.05</v>
      </c>
      <c r="G860" s="5">
        <v>0</v>
      </c>
      <c r="H860" s="5">
        <v>551</v>
      </c>
      <c r="I860" s="5">
        <v>32</v>
      </c>
      <c r="J860" s="5">
        <v>120</v>
      </c>
      <c r="K860" s="6">
        <f t="shared" si="14"/>
        <v>13337.05</v>
      </c>
    </row>
    <row r="861" spans="1:11" x14ac:dyDescent="0.25">
      <c r="A861" s="4">
        <v>2009</v>
      </c>
      <c r="B861" s="11" t="s">
        <v>395</v>
      </c>
      <c r="C861" s="11" t="s">
        <v>396</v>
      </c>
      <c r="D861" s="11" t="s">
        <v>397</v>
      </c>
      <c r="E861" s="12" t="s">
        <v>398</v>
      </c>
      <c r="F861" s="5">
        <v>13143.77</v>
      </c>
      <c r="G861" s="5">
        <v>0</v>
      </c>
      <c r="H861" s="5">
        <v>551</v>
      </c>
      <c r="I861" s="5">
        <v>32</v>
      </c>
      <c r="J861" s="5">
        <v>120</v>
      </c>
      <c r="K861" s="6">
        <f t="shared" si="14"/>
        <v>13846.77</v>
      </c>
    </row>
    <row r="862" spans="1:11" x14ac:dyDescent="0.25">
      <c r="A862" s="4">
        <v>2009</v>
      </c>
      <c r="B862" s="11" t="s">
        <v>427</v>
      </c>
      <c r="C862" s="11"/>
      <c r="D862" s="11"/>
      <c r="E862" s="12" t="s">
        <v>428</v>
      </c>
      <c r="F862" s="5">
        <v>17690.2</v>
      </c>
      <c r="G862" s="5"/>
      <c r="H862" s="5"/>
      <c r="I862" s="5"/>
      <c r="J862" s="5"/>
      <c r="K862" s="6"/>
    </row>
    <row r="863" spans="1:11" x14ac:dyDescent="0.25">
      <c r="A863" s="4">
        <v>2009</v>
      </c>
      <c r="B863" s="11" t="s">
        <v>429</v>
      </c>
      <c r="C863" s="11"/>
      <c r="D863" s="11"/>
      <c r="E863" s="12" t="s">
        <v>430</v>
      </c>
      <c r="F863" s="5">
        <v>14884.33</v>
      </c>
      <c r="G863" s="5"/>
      <c r="H863" s="5"/>
      <c r="I863" s="5"/>
      <c r="J863" s="5"/>
      <c r="K863" s="6"/>
    </row>
    <row r="864" spans="1:11" x14ac:dyDescent="0.25">
      <c r="A864" s="4">
        <v>2009</v>
      </c>
      <c r="B864" s="11" t="s">
        <v>431</v>
      </c>
      <c r="C864" s="11"/>
      <c r="D864" s="11"/>
      <c r="E864" s="12" t="s">
        <v>432</v>
      </c>
      <c r="F864" s="5">
        <v>12737.57</v>
      </c>
      <c r="G864" s="5"/>
      <c r="H864" s="5"/>
      <c r="I864" s="5"/>
      <c r="J864" s="5"/>
      <c r="K864" s="6"/>
    </row>
    <row r="865" spans="1:11" x14ac:dyDescent="0.25">
      <c r="A865" s="4">
        <v>2009</v>
      </c>
      <c r="B865" s="11" t="s">
        <v>433</v>
      </c>
      <c r="C865" s="11"/>
      <c r="D865" s="11"/>
      <c r="E865" s="12" t="s">
        <v>434</v>
      </c>
      <c r="F865" s="5">
        <v>11164.32</v>
      </c>
      <c r="G865" s="5"/>
      <c r="H865" s="5"/>
      <c r="I865" s="5"/>
      <c r="J865" s="5"/>
      <c r="K865" s="6"/>
    </row>
    <row r="866" spans="1:11" x14ac:dyDescent="0.25">
      <c r="A866" s="4">
        <v>2009</v>
      </c>
      <c r="B866" s="11" t="s">
        <v>435</v>
      </c>
      <c r="C866" s="11"/>
      <c r="D866" s="11"/>
      <c r="E866" s="12" t="s">
        <v>436</v>
      </c>
      <c r="F866" s="5">
        <v>9987.44</v>
      </c>
      <c r="G866" s="5"/>
      <c r="H866" s="5"/>
      <c r="I866" s="5"/>
      <c r="J866" s="5"/>
      <c r="K866" s="6"/>
    </row>
    <row r="867" spans="1:11" x14ac:dyDescent="0.25">
      <c r="A867" s="4">
        <v>2009</v>
      </c>
      <c r="B867" s="11" t="s">
        <v>437</v>
      </c>
      <c r="C867" s="11"/>
      <c r="D867" s="11"/>
      <c r="E867" s="12" t="s">
        <v>438</v>
      </c>
      <c r="F867" s="5">
        <v>9394.32</v>
      </c>
      <c r="G867" s="5"/>
      <c r="H867" s="5"/>
      <c r="I867" s="5"/>
      <c r="J867" s="5"/>
      <c r="K867" s="6"/>
    </row>
    <row r="868" spans="1:11" x14ac:dyDescent="0.25">
      <c r="A868" s="4">
        <v>2009</v>
      </c>
      <c r="B868" s="11" t="s">
        <v>439</v>
      </c>
      <c r="C868" s="11"/>
      <c r="D868" s="11"/>
      <c r="E868" s="12" t="s">
        <v>440</v>
      </c>
      <c r="F868" s="5">
        <v>8058.46</v>
      </c>
      <c r="G868" s="5"/>
      <c r="H868" s="5"/>
      <c r="I868" s="5"/>
      <c r="J868" s="5"/>
      <c r="K868" s="6"/>
    </row>
    <row r="869" spans="1:11" x14ac:dyDescent="0.25">
      <c r="A869" s="4">
        <v>2009</v>
      </c>
      <c r="B869" s="11" t="s">
        <v>441</v>
      </c>
      <c r="C869" s="11"/>
      <c r="D869" s="11"/>
      <c r="E869" s="12" t="s">
        <v>442</v>
      </c>
      <c r="F869" s="5">
        <v>11615.55</v>
      </c>
      <c r="G869" s="5"/>
      <c r="H869" s="5"/>
      <c r="I869" s="5"/>
      <c r="J869" s="5"/>
      <c r="K869" s="6"/>
    </row>
    <row r="870" spans="1:11" x14ac:dyDescent="0.25">
      <c r="A870" s="4">
        <v>2009</v>
      </c>
      <c r="B870" s="11" t="s">
        <v>443</v>
      </c>
      <c r="C870" s="11"/>
      <c r="D870" s="11"/>
      <c r="E870" s="12" t="s">
        <v>444</v>
      </c>
      <c r="F870" s="5">
        <v>11615.55</v>
      </c>
      <c r="G870" s="5"/>
      <c r="H870" s="5"/>
      <c r="I870" s="5"/>
      <c r="J870" s="5"/>
      <c r="K870" s="6"/>
    </row>
    <row r="871" spans="1:11" x14ac:dyDescent="0.25">
      <c r="A871" s="4">
        <v>2009</v>
      </c>
      <c r="B871" s="11" t="s">
        <v>447</v>
      </c>
      <c r="C871" s="11"/>
      <c r="D871" s="11"/>
      <c r="E871" s="12" t="s">
        <v>448</v>
      </c>
      <c r="F871" s="5">
        <v>11105.82</v>
      </c>
      <c r="G871" s="5"/>
      <c r="H871" s="5"/>
      <c r="I871" s="5"/>
      <c r="J871" s="5"/>
      <c r="K871" s="6"/>
    </row>
    <row r="872" spans="1:11" x14ac:dyDescent="0.25">
      <c r="A872" s="4">
        <v>2009</v>
      </c>
      <c r="B872" s="11" t="s">
        <v>449</v>
      </c>
      <c r="C872" s="11"/>
      <c r="D872" s="11"/>
      <c r="E872" s="12" t="s">
        <v>450</v>
      </c>
      <c r="F872" s="5">
        <v>11105.82</v>
      </c>
      <c r="G872" s="5"/>
      <c r="H872" s="5"/>
      <c r="I872" s="5"/>
      <c r="J872" s="5"/>
      <c r="K872" s="6"/>
    </row>
    <row r="873" spans="1:11" x14ac:dyDescent="0.25">
      <c r="A873" s="4">
        <v>2009</v>
      </c>
      <c r="B873" s="11" t="s">
        <v>451</v>
      </c>
      <c r="C873" s="11"/>
      <c r="D873" s="11"/>
      <c r="E873" s="12" t="s">
        <v>452</v>
      </c>
      <c r="F873" s="5">
        <v>11105.82</v>
      </c>
      <c r="G873" s="5"/>
      <c r="H873" s="5"/>
      <c r="I873" s="5"/>
      <c r="J873" s="5"/>
      <c r="K873" s="6"/>
    </row>
    <row r="874" spans="1:11" x14ac:dyDescent="0.25">
      <c r="A874" s="4">
        <v>2009</v>
      </c>
      <c r="B874" s="11" t="s">
        <v>453</v>
      </c>
      <c r="C874" s="11"/>
      <c r="D874" s="11"/>
      <c r="E874" s="12" t="s">
        <v>454</v>
      </c>
      <c r="F874" s="5">
        <v>11105.82</v>
      </c>
      <c r="G874" s="5"/>
      <c r="H874" s="5"/>
      <c r="I874" s="5"/>
      <c r="J874" s="5"/>
      <c r="K874" s="6"/>
    </row>
    <row r="875" spans="1:11" x14ac:dyDescent="0.25">
      <c r="A875" s="4">
        <v>2009</v>
      </c>
      <c r="B875" s="11" t="s">
        <v>455</v>
      </c>
      <c r="C875" s="11"/>
      <c r="D875" s="11"/>
      <c r="E875" s="12" t="s">
        <v>456</v>
      </c>
      <c r="F875" s="5">
        <v>11105.82</v>
      </c>
      <c r="G875" s="5"/>
      <c r="H875" s="5"/>
      <c r="I875" s="5"/>
      <c r="J875" s="5"/>
      <c r="K875" s="6"/>
    </row>
    <row r="876" spans="1:11" x14ac:dyDescent="0.25">
      <c r="A876" s="4">
        <v>2009</v>
      </c>
      <c r="B876" s="11" t="s">
        <v>457</v>
      </c>
      <c r="C876" s="11"/>
      <c r="D876" s="11"/>
      <c r="E876" s="12" t="s">
        <v>458</v>
      </c>
      <c r="F876" s="5">
        <v>11105.82</v>
      </c>
      <c r="G876" s="5"/>
      <c r="H876" s="5"/>
      <c r="I876" s="5"/>
      <c r="J876" s="5"/>
      <c r="K876" s="6"/>
    </row>
    <row r="877" spans="1:11" x14ac:dyDescent="0.25">
      <c r="A877" s="4">
        <v>2009</v>
      </c>
      <c r="B877" s="11" t="s">
        <v>445</v>
      </c>
      <c r="C877" s="11"/>
      <c r="D877" s="11"/>
      <c r="E877" s="12" t="s">
        <v>446</v>
      </c>
      <c r="F877" s="5">
        <v>11615.55</v>
      </c>
      <c r="G877" s="5"/>
      <c r="H877" s="5"/>
      <c r="I877" s="5"/>
      <c r="J877" s="5"/>
      <c r="K877" s="6"/>
    </row>
    <row r="878" spans="1:11" x14ac:dyDescent="0.25">
      <c r="A878" s="4">
        <v>2009</v>
      </c>
      <c r="B878" s="11" t="s">
        <v>459</v>
      </c>
      <c r="C878" s="11"/>
      <c r="D878" s="11"/>
      <c r="E878" s="12" t="s">
        <v>460</v>
      </c>
      <c r="F878" s="5">
        <v>30587.75</v>
      </c>
      <c r="G878" s="5"/>
      <c r="H878" s="5"/>
      <c r="I878" s="5"/>
      <c r="J878" s="5"/>
      <c r="K878" s="6"/>
    </row>
    <row r="879" spans="1:11" x14ac:dyDescent="0.25">
      <c r="A879" s="4">
        <v>2009</v>
      </c>
      <c r="B879" s="11" t="s">
        <v>461</v>
      </c>
      <c r="C879" s="11"/>
      <c r="D879" s="11"/>
      <c r="E879" s="12" t="s">
        <v>462</v>
      </c>
      <c r="F879" s="5">
        <v>10879.22</v>
      </c>
      <c r="G879" s="5"/>
      <c r="H879" s="5"/>
      <c r="I879" s="5"/>
      <c r="J879" s="5"/>
      <c r="K879" s="6"/>
    </row>
    <row r="880" spans="1:11" x14ac:dyDescent="0.25">
      <c r="A880" s="4">
        <v>2009</v>
      </c>
      <c r="B880" s="11" t="s">
        <v>463</v>
      </c>
      <c r="C880" s="11"/>
      <c r="D880" s="11"/>
      <c r="E880" s="12" t="s">
        <v>464</v>
      </c>
      <c r="F880" s="5">
        <v>11362.68</v>
      </c>
      <c r="G880" s="5"/>
      <c r="H880" s="5"/>
      <c r="I880" s="5"/>
      <c r="J880" s="5"/>
      <c r="K880" s="6"/>
    </row>
    <row r="881" spans="1:11" x14ac:dyDescent="0.25">
      <c r="A881" s="4">
        <v>2009</v>
      </c>
      <c r="B881" s="11" t="s">
        <v>465</v>
      </c>
      <c r="C881" s="11"/>
      <c r="D881" s="11"/>
      <c r="E881" s="12" t="s">
        <v>466</v>
      </c>
      <c r="F881" s="5">
        <v>11965.6</v>
      </c>
      <c r="G881" s="5"/>
      <c r="H881" s="5"/>
      <c r="I881" s="5"/>
      <c r="J881" s="5"/>
      <c r="K881" s="6"/>
    </row>
    <row r="882" spans="1:11" x14ac:dyDescent="0.25">
      <c r="A882" s="4">
        <v>2009</v>
      </c>
      <c r="B882" s="11" t="s">
        <v>467</v>
      </c>
      <c r="C882" s="11"/>
      <c r="D882" s="11"/>
      <c r="E882" s="12" t="s">
        <v>468</v>
      </c>
      <c r="F882" s="5">
        <v>7566.94</v>
      </c>
      <c r="G882" s="5"/>
      <c r="H882" s="5"/>
      <c r="I882" s="5"/>
      <c r="J882" s="5"/>
      <c r="K882" s="6"/>
    </row>
    <row r="883" spans="1:11" x14ac:dyDescent="0.25">
      <c r="A883" s="4">
        <v>2009</v>
      </c>
      <c r="B883" s="11" t="s">
        <v>469</v>
      </c>
      <c r="C883" s="11"/>
      <c r="D883" s="11"/>
      <c r="E883" s="12" t="s">
        <v>470</v>
      </c>
      <c r="F883" s="5">
        <v>6911.55</v>
      </c>
      <c r="G883" s="5"/>
      <c r="H883" s="5"/>
      <c r="I883" s="5"/>
      <c r="J883" s="5"/>
      <c r="K883" s="6"/>
    </row>
    <row r="884" spans="1:11" x14ac:dyDescent="0.25">
      <c r="A884" s="4">
        <v>2009</v>
      </c>
      <c r="B884" s="11" t="s">
        <v>471</v>
      </c>
      <c r="C884" s="11"/>
      <c r="D884" s="11"/>
      <c r="E884" s="12" t="s">
        <v>472</v>
      </c>
      <c r="F884" s="5">
        <v>8075.71</v>
      </c>
      <c r="G884" s="5"/>
      <c r="H884" s="5"/>
      <c r="I884" s="5"/>
      <c r="J884" s="5"/>
      <c r="K884" s="6"/>
    </row>
    <row r="885" spans="1:11" x14ac:dyDescent="0.25">
      <c r="A885" s="4">
        <v>2009</v>
      </c>
      <c r="B885" s="11" t="s">
        <v>473</v>
      </c>
      <c r="C885" s="11"/>
      <c r="D885" s="11"/>
      <c r="E885" s="12" t="s">
        <v>474</v>
      </c>
      <c r="F885" s="5">
        <v>6358.76</v>
      </c>
      <c r="G885" s="5"/>
      <c r="H885" s="5"/>
      <c r="I885" s="5"/>
      <c r="J885" s="5"/>
      <c r="K885" s="6"/>
    </row>
  </sheetData>
  <autoFilter ref="A1:K878" xr:uid="{3CB0C295-EF0B-4216-BE01-60E48FEBA8DE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2FCEF-61AB-428C-8DB5-F2474CCD7FB8}">
  <dimension ref="B1:G49"/>
  <sheetViews>
    <sheetView workbookViewId="0">
      <selection activeCell="D43" sqref="D43"/>
    </sheetView>
  </sheetViews>
  <sheetFormatPr baseColWidth="10" defaultRowHeight="15" x14ac:dyDescent="0.25"/>
  <cols>
    <col min="5" max="5" width="33.140625" customWidth="1"/>
    <col min="7" max="7" width="36" customWidth="1"/>
  </cols>
  <sheetData>
    <row r="1" spans="2:7" ht="33" customHeight="1" x14ac:dyDescent="0.25">
      <c r="B1" s="23" t="s">
        <v>0</v>
      </c>
      <c r="C1" s="23" t="s">
        <v>1</v>
      </c>
      <c r="D1" s="23" t="s">
        <v>2</v>
      </c>
      <c r="E1" s="23" t="s">
        <v>3</v>
      </c>
      <c r="F1" s="24" t="s">
        <v>287</v>
      </c>
      <c r="G1" s="23" t="s">
        <v>286</v>
      </c>
    </row>
    <row r="2" spans="2:7" x14ac:dyDescent="0.25">
      <c r="B2" s="25" t="s">
        <v>288</v>
      </c>
      <c r="C2" s="26" t="s">
        <v>289</v>
      </c>
      <c r="D2" s="27" t="s">
        <v>290</v>
      </c>
      <c r="E2" s="28" t="s">
        <v>291</v>
      </c>
      <c r="F2" s="31">
        <v>16841</v>
      </c>
      <c r="G2" s="29" t="s">
        <v>292</v>
      </c>
    </row>
    <row r="3" spans="2:7" x14ac:dyDescent="0.25">
      <c r="B3" s="25" t="s">
        <v>295</v>
      </c>
      <c r="C3" s="26" t="s">
        <v>289</v>
      </c>
      <c r="D3" s="27" t="s">
        <v>290</v>
      </c>
      <c r="E3" s="28" t="s">
        <v>296</v>
      </c>
      <c r="F3" s="31">
        <v>19476</v>
      </c>
      <c r="G3" s="29" t="s">
        <v>292</v>
      </c>
    </row>
    <row r="4" spans="2:7" x14ac:dyDescent="0.25">
      <c r="B4" s="25" t="s">
        <v>301</v>
      </c>
      <c r="C4" s="26" t="s">
        <v>289</v>
      </c>
      <c r="D4" s="27" t="s">
        <v>290</v>
      </c>
      <c r="E4" s="28" t="s">
        <v>302</v>
      </c>
      <c r="F4" s="30">
        <v>19476</v>
      </c>
      <c r="G4" s="29" t="s">
        <v>292</v>
      </c>
    </row>
    <row r="5" spans="2:7" x14ac:dyDescent="0.25">
      <c r="B5" s="25" t="s">
        <v>299</v>
      </c>
      <c r="C5" s="26" t="s">
        <v>289</v>
      </c>
      <c r="D5" s="27" t="s">
        <v>290</v>
      </c>
      <c r="E5" s="28" t="s">
        <v>300</v>
      </c>
      <c r="F5" s="30">
        <v>19476</v>
      </c>
      <c r="G5" s="29" t="s">
        <v>292</v>
      </c>
    </row>
    <row r="6" spans="2:7" x14ac:dyDescent="0.25">
      <c r="B6" s="25" t="s">
        <v>297</v>
      </c>
      <c r="C6" s="26" t="s">
        <v>289</v>
      </c>
      <c r="D6" s="27" t="s">
        <v>290</v>
      </c>
      <c r="E6" s="28" t="s">
        <v>298</v>
      </c>
      <c r="F6" s="30">
        <v>19476</v>
      </c>
      <c r="G6" s="29" t="s">
        <v>292</v>
      </c>
    </row>
    <row r="7" spans="2:7" x14ac:dyDescent="0.25">
      <c r="B7" s="25" t="s">
        <v>391</v>
      </c>
      <c r="C7" s="26" t="s">
        <v>383</v>
      </c>
      <c r="D7" s="27" t="s">
        <v>384</v>
      </c>
      <c r="E7" s="28" t="s">
        <v>392</v>
      </c>
      <c r="F7" s="30">
        <v>19628</v>
      </c>
      <c r="G7" s="29" t="s">
        <v>386</v>
      </c>
    </row>
    <row r="8" spans="2:7" x14ac:dyDescent="0.25">
      <c r="B8" s="25" t="s">
        <v>393</v>
      </c>
      <c r="C8" s="26" t="s">
        <v>383</v>
      </c>
      <c r="D8" s="27" t="s">
        <v>384</v>
      </c>
      <c r="E8" s="28" t="s">
        <v>394</v>
      </c>
      <c r="F8" s="30">
        <v>19628</v>
      </c>
      <c r="G8" s="29" t="s">
        <v>386</v>
      </c>
    </row>
    <row r="9" spans="2:7" x14ac:dyDescent="0.25">
      <c r="B9" s="25" t="s">
        <v>387</v>
      </c>
      <c r="C9" s="26" t="s">
        <v>383</v>
      </c>
      <c r="D9" s="27" t="s">
        <v>384</v>
      </c>
      <c r="E9" s="28" t="s">
        <v>388</v>
      </c>
      <c r="F9" s="30">
        <v>19628</v>
      </c>
      <c r="G9" s="29" t="s">
        <v>386</v>
      </c>
    </row>
    <row r="10" spans="2:7" x14ac:dyDescent="0.25">
      <c r="B10" s="25" t="s">
        <v>382</v>
      </c>
      <c r="C10" s="26" t="s">
        <v>383</v>
      </c>
      <c r="D10" s="27" t="s">
        <v>384</v>
      </c>
      <c r="E10" s="28" t="s">
        <v>385</v>
      </c>
      <c r="F10" s="30">
        <v>19628</v>
      </c>
      <c r="G10" s="29" t="s">
        <v>386</v>
      </c>
    </row>
    <row r="11" spans="2:7" x14ac:dyDescent="0.25">
      <c r="B11" s="25" t="s">
        <v>389</v>
      </c>
      <c r="C11" s="26" t="s">
        <v>383</v>
      </c>
      <c r="D11" s="27" t="s">
        <v>384</v>
      </c>
      <c r="E11" s="28" t="s">
        <v>390</v>
      </c>
      <c r="F11" s="30">
        <v>19628</v>
      </c>
      <c r="G11" s="29" t="s">
        <v>386</v>
      </c>
    </row>
    <row r="12" spans="2:7" x14ac:dyDescent="0.25">
      <c r="B12" s="25" t="s">
        <v>337</v>
      </c>
      <c r="C12" s="26" t="s">
        <v>331</v>
      </c>
      <c r="D12" s="27" t="s">
        <v>332</v>
      </c>
      <c r="E12" s="28" t="s">
        <v>338</v>
      </c>
      <c r="F12" s="31">
        <v>20260</v>
      </c>
      <c r="G12" s="29" t="s">
        <v>334</v>
      </c>
    </row>
    <row r="13" spans="2:7" x14ac:dyDescent="0.25">
      <c r="B13" s="25" t="s">
        <v>345</v>
      </c>
      <c r="C13" s="26" t="s">
        <v>331</v>
      </c>
      <c r="D13" s="27" t="s">
        <v>332</v>
      </c>
      <c r="E13" s="28" t="s">
        <v>346</v>
      </c>
      <c r="F13" s="31">
        <v>20260</v>
      </c>
      <c r="G13" s="29" t="s">
        <v>334</v>
      </c>
    </row>
    <row r="14" spans="2:7" x14ac:dyDescent="0.25">
      <c r="B14" s="25" t="s">
        <v>341</v>
      </c>
      <c r="C14" s="26" t="s">
        <v>331</v>
      </c>
      <c r="D14" s="27" t="s">
        <v>332</v>
      </c>
      <c r="E14" s="28" t="s">
        <v>342</v>
      </c>
      <c r="F14" s="31">
        <v>20260</v>
      </c>
      <c r="G14" s="29" t="s">
        <v>334</v>
      </c>
    </row>
    <row r="15" spans="2:7" x14ac:dyDescent="0.25">
      <c r="B15" s="25" t="s">
        <v>343</v>
      </c>
      <c r="C15" s="26" t="s">
        <v>331</v>
      </c>
      <c r="D15" s="27" t="s">
        <v>332</v>
      </c>
      <c r="E15" s="28" t="s">
        <v>344</v>
      </c>
      <c r="F15" s="31">
        <v>20260</v>
      </c>
      <c r="G15" s="29" t="s">
        <v>334</v>
      </c>
    </row>
    <row r="16" spans="2:7" x14ac:dyDescent="0.25">
      <c r="B16" s="25" t="s">
        <v>347</v>
      </c>
      <c r="C16" s="26" t="s">
        <v>331</v>
      </c>
      <c r="D16" s="27" t="s">
        <v>332</v>
      </c>
      <c r="E16" s="28" t="s">
        <v>348</v>
      </c>
      <c r="F16" s="31">
        <v>20260</v>
      </c>
      <c r="G16" s="29" t="s">
        <v>334</v>
      </c>
    </row>
    <row r="17" spans="2:7" x14ac:dyDescent="0.25">
      <c r="B17" s="25" t="s">
        <v>330</v>
      </c>
      <c r="C17" s="26" t="s">
        <v>331</v>
      </c>
      <c r="D17" s="27" t="s">
        <v>332</v>
      </c>
      <c r="E17" s="28" t="s">
        <v>333</v>
      </c>
      <c r="F17" s="31">
        <v>20260</v>
      </c>
      <c r="G17" s="29" t="s">
        <v>334</v>
      </c>
    </row>
    <row r="18" spans="2:7" x14ac:dyDescent="0.25">
      <c r="B18" s="25" t="s">
        <v>335</v>
      </c>
      <c r="C18" s="26" t="s">
        <v>331</v>
      </c>
      <c r="D18" s="27" t="s">
        <v>332</v>
      </c>
      <c r="E18" s="28" t="s">
        <v>336</v>
      </c>
      <c r="F18" s="31">
        <v>20260</v>
      </c>
      <c r="G18" s="29" t="s">
        <v>334</v>
      </c>
    </row>
    <row r="19" spans="2:7" x14ac:dyDescent="0.25">
      <c r="B19" s="25" t="s">
        <v>339</v>
      </c>
      <c r="C19" s="26" t="s">
        <v>331</v>
      </c>
      <c r="D19" s="27" t="s">
        <v>332</v>
      </c>
      <c r="E19" s="28" t="s">
        <v>340</v>
      </c>
      <c r="F19" s="31">
        <v>20260</v>
      </c>
      <c r="G19" s="29" t="s">
        <v>334</v>
      </c>
    </row>
    <row r="20" spans="2:7" x14ac:dyDescent="0.25">
      <c r="B20" s="25" t="s">
        <v>318</v>
      </c>
      <c r="C20" s="26" t="s">
        <v>304</v>
      </c>
      <c r="D20" s="27" t="s">
        <v>305</v>
      </c>
      <c r="E20" s="28" t="s">
        <v>319</v>
      </c>
      <c r="F20" s="30">
        <v>21188</v>
      </c>
      <c r="G20" s="29" t="s">
        <v>307</v>
      </c>
    </row>
    <row r="21" spans="2:7" x14ac:dyDescent="0.25">
      <c r="B21" s="25" t="s">
        <v>312</v>
      </c>
      <c r="C21" s="26" t="s">
        <v>304</v>
      </c>
      <c r="D21" s="27" t="s">
        <v>305</v>
      </c>
      <c r="E21" s="28" t="s">
        <v>313</v>
      </c>
      <c r="F21" s="30">
        <v>21188</v>
      </c>
      <c r="G21" s="29" t="s">
        <v>307</v>
      </c>
    </row>
    <row r="22" spans="2:7" x14ac:dyDescent="0.25">
      <c r="B22" s="25" t="s">
        <v>326</v>
      </c>
      <c r="C22" s="26" t="s">
        <v>304</v>
      </c>
      <c r="D22" s="27" t="s">
        <v>305</v>
      </c>
      <c r="E22" s="28" t="s">
        <v>327</v>
      </c>
      <c r="F22" s="30">
        <v>21188</v>
      </c>
      <c r="G22" s="29" t="s">
        <v>307</v>
      </c>
    </row>
    <row r="23" spans="2:7" x14ac:dyDescent="0.25">
      <c r="B23" s="25" t="s">
        <v>322</v>
      </c>
      <c r="C23" s="26" t="s">
        <v>304</v>
      </c>
      <c r="D23" s="27" t="s">
        <v>305</v>
      </c>
      <c r="E23" s="28" t="s">
        <v>323</v>
      </c>
      <c r="F23" s="30">
        <v>21188</v>
      </c>
      <c r="G23" s="29" t="s">
        <v>307</v>
      </c>
    </row>
    <row r="24" spans="2:7" x14ac:dyDescent="0.25">
      <c r="B24" s="25" t="s">
        <v>324</v>
      </c>
      <c r="C24" s="26" t="s">
        <v>304</v>
      </c>
      <c r="D24" s="27" t="s">
        <v>305</v>
      </c>
      <c r="E24" s="28" t="s">
        <v>325</v>
      </c>
      <c r="F24" s="30">
        <v>21188</v>
      </c>
      <c r="G24" s="29" t="s">
        <v>307</v>
      </c>
    </row>
    <row r="25" spans="2:7" x14ac:dyDescent="0.25">
      <c r="B25" s="25" t="s">
        <v>328</v>
      </c>
      <c r="C25" s="26" t="s">
        <v>304</v>
      </c>
      <c r="D25" s="27" t="s">
        <v>305</v>
      </c>
      <c r="E25" s="28" t="s">
        <v>329</v>
      </c>
      <c r="F25" s="30">
        <v>21188</v>
      </c>
      <c r="G25" s="29" t="s">
        <v>307</v>
      </c>
    </row>
    <row r="26" spans="2:7" x14ac:dyDescent="0.25">
      <c r="B26" s="25" t="s">
        <v>314</v>
      </c>
      <c r="C26" s="26" t="s">
        <v>304</v>
      </c>
      <c r="D26" s="27" t="s">
        <v>305</v>
      </c>
      <c r="E26" s="28" t="s">
        <v>315</v>
      </c>
      <c r="F26" s="30">
        <v>21188</v>
      </c>
      <c r="G26" s="29" t="s">
        <v>307</v>
      </c>
    </row>
    <row r="27" spans="2:7" x14ac:dyDescent="0.25">
      <c r="B27" s="25" t="s">
        <v>316</v>
      </c>
      <c r="C27" s="26" t="s">
        <v>304</v>
      </c>
      <c r="D27" s="27" t="s">
        <v>305</v>
      </c>
      <c r="E27" s="28" t="s">
        <v>317</v>
      </c>
      <c r="F27" s="30">
        <v>21188</v>
      </c>
      <c r="G27" s="29" t="s">
        <v>307</v>
      </c>
    </row>
    <row r="28" spans="2:7" x14ac:dyDescent="0.25">
      <c r="B28" s="25" t="s">
        <v>320</v>
      </c>
      <c r="C28" s="26" t="s">
        <v>304</v>
      </c>
      <c r="D28" s="27" t="s">
        <v>305</v>
      </c>
      <c r="E28" s="28" t="s">
        <v>321</v>
      </c>
      <c r="F28" s="30">
        <v>21188</v>
      </c>
      <c r="G28" s="29" t="s">
        <v>307</v>
      </c>
    </row>
    <row r="29" spans="2:7" x14ac:dyDescent="0.25">
      <c r="B29" s="25" t="s">
        <v>310</v>
      </c>
      <c r="C29" s="26" t="s">
        <v>304</v>
      </c>
      <c r="D29" s="27" t="s">
        <v>305</v>
      </c>
      <c r="E29" s="28" t="s">
        <v>311</v>
      </c>
      <c r="F29" s="30">
        <v>21188</v>
      </c>
      <c r="G29" s="29" t="s">
        <v>307</v>
      </c>
    </row>
    <row r="30" spans="2:7" x14ac:dyDescent="0.25">
      <c r="B30" s="25" t="s">
        <v>308</v>
      </c>
      <c r="C30" s="26" t="s">
        <v>304</v>
      </c>
      <c r="D30" s="27" t="s">
        <v>305</v>
      </c>
      <c r="E30" s="28" t="s">
        <v>309</v>
      </c>
      <c r="F30" s="30">
        <v>21188</v>
      </c>
      <c r="G30" s="29" t="s">
        <v>307</v>
      </c>
    </row>
    <row r="31" spans="2:7" x14ac:dyDescent="0.25">
      <c r="B31" s="25" t="s">
        <v>303</v>
      </c>
      <c r="C31" s="26" t="s">
        <v>304</v>
      </c>
      <c r="D31" s="27" t="s">
        <v>305</v>
      </c>
      <c r="E31" s="28" t="s">
        <v>306</v>
      </c>
      <c r="F31" s="30">
        <v>21188</v>
      </c>
      <c r="G31" s="29" t="s">
        <v>307</v>
      </c>
    </row>
    <row r="32" spans="2:7" x14ac:dyDescent="0.25">
      <c r="B32" s="25" t="s">
        <v>293</v>
      </c>
      <c r="C32" s="26" t="s">
        <v>289</v>
      </c>
      <c r="D32" s="27" t="s">
        <v>290</v>
      </c>
      <c r="E32" s="28" t="s">
        <v>294</v>
      </c>
      <c r="F32" s="31">
        <v>22248.5</v>
      </c>
      <c r="G32" s="29" t="s">
        <v>292</v>
      </c>
    </row>
    <row r="33" spans="2:7" x14ac:dyDescent="0.25">
      <c r="B33" s="25" t="s">
        <v>378</v>
      </c>
      <c r="C33" s="26" t="s">
        <v>350</v>
      </c>
      <c r="D33" s="27" t="s">
        <v>351</v>
      </c>
      <c r="E33" s="28" t="s">
        <v>379</v>
      </c>
      <c r="F33" s="31">
        <v>22248.5</v>
      </c>
      <c r="G33" s="29" t="s">
        <v>353</v>
      </c>
    </row>
    <row r="34" spans="2:7" x14ac:dyDescent="0.25">
      <c r="B34" s="25" t="s">
        <v>376</v>
      </c>
      <c r="C34" s="26" t="s">
        <v>350</v>
      </c>
      <c r="D34" s="27" t="s">
        <v>351</v>
      </c>
      <c r="E34" s="28" t="s">
        <v>377</v>
      </c>
      <c r="F34" s="31">
        <v>22248.5</v>
      </c>
      <c r="G34" s="29" t="s">
        <v>353</v>
      </c>
    </row>
    <row r="35" spans="2:7" x14ac:dyDescent="0.25">
      <c r="B35" s="25" t="s">
        <v>380</v>
      </c>
      <c r="C35" s="26" t="s">
        <v>350</v>
      </c>
      <c r="D35" s="27" t="s">
        <v>351</v>
      </c>
      <c r="E35" s="28" t="s">
        <v>381</v>
      </c>
      <c r="F35" s="31">
        <v>22248.5</v>
      </c>
      <c r="G35" s="29" t="s">
        <v>353</v>
      </c>
    </row>
    <row r="36" spans="2:7" x14ac:dyDescent="0.25">
      <c r="B36" s="25" t="s">
        <v>360</v>
      </c>
      <c r="C36" s="26" t="s">
        <v>350</v>
      </c>
      <c r="D36" s="27" t="s">
        <v>351</v>
      </c>
      <c r="E36" s="28" t="s">
        <v>361</v>
      </c>
      <c r="F36" s="31">
        <v>22248.5</v>
      </c>
      <c r="G36" s="29" t="s">
        <v>353</v>
      </c>
    </row>
    <row r="37" spans="2:7" x14ac:dyDescent="0.25">
      <c r="B37" s="25" t="s">
        <v>368</v>
      </c>
      <c r="C37" s="26" t="s">
        <v>350</v>
      </c>
      <c r="D37" s="27" t="s">
        <v>351</v>
      </c>
      <c r="E37" s="28" t="s">
        <v>369</v>
      </c>
      <c r="F37" s="31">
        <v>22248.5</v>
      </c>
      <c r="G37" s="29" t="s">
        <v>353</v>
      </c>
    </row>
    <row r="38" spans="2:7" x14ac:dyDescent="0.25">
      <c r="B38" s="25" t="s">
        <v>358</v>
      </c>
      <c r="C38" s="26" t="s">
        <v>350</v>
      </c>
      <c r="D38" s="27" t="s">
        <v>351</v>
      </c>
      <c r="E38" s="28" t="s">
        <v>359</v>
      </c>
      <c r="F38" s="31">
        <v>22248.5</v>
      </c>
      <c r="G38" s="29" t="s">
        <v>353</v>
      </c>
    </row>
    <row r="39" spans="2:7" x14ac:dyDescent="0.25">
      <c r="B39" s="25" t="s">
        <v>362</v>
      </c>
      <c r="C39" s="26" t="s">
        <v>350</v>
      </c>
      <c r="D39" s="27" t="s">
        <v>351</v>
      </c>
      <c r="E39" s="28" t="s">
        <v>363</v>
      </c>
      <c r="F39" s="31">
        <v>22248.5</v>
      </c>
      <c r="G39" s="29" t="s">
        <v>353</v>
      </c>
    </row>
    <row r="40" spans="2:7" x14ac:dyDescent="0.25">
      <c r="B40" s="25" t="s">
        <v>374</v>
      </c>
      <c r="C40" s="26" t="s">
        <v>350</v>
      </c>
      <c r="D40" s="27" t="s">
        <v>351</v>
      </c>
      <c r="E40" s="28" t="s">
        <v>375</v>
      </c>
      <c r="F40" s="31">
        <v>22248.5</v>
      </c>
      <c r="G40" s="29" t="s">
        <v>353</v>
      </c>
    </row>
    <row r="41" spans="2:7" x14ac:dyDescent="0.25">
      <c r="B41" s="25" t="s">
        <v>364</v>
      </c>
      <c r="C41" s="26" t="s">
        <v>350</v>
      </c>
      <c r="D41" s="27" t="s">
        <v>351</v>
      </c>
      <c r="E41" s="28" t="s">
        <v>365</v>
      </c>
      <c r="F41" s="31">
        <v>22248.5</v>
      </c>
      <c r="G41" s="29" t="s">
        <v>353</v>
      </c>
    </row>
    <row r="42" spans="2:7" x14ac:dyDescent="0.25">
      <c r="B42" s="25" t="s">
        <v>366</v>
      </c>
      <c r="C42" s="26" t="s">
        <v>350</v>
      </c>
      <c r="D42" s="27" t="s">
        <v>351</v>
      </c>
      <c r="E42" s="28" t="s">
        <v>367</v>
      </c>
      <c r="F42" s="31">
        <v>22248.5</v>
      </c>
      <c r="G42" s="29" t="s">
        <v>353</v>
      </c>
    </row>
    <row r="43" spans="2:7" x14ac:dyDescent="0.25">
      <c r="B43" s="25" t="s">
        <v>372</v>
      </c>
      <c r="C43" s="26" t="s">
        <v>350</v>
      </c>
      <c r="D43" s="27" t="s">
        <v>351</v>
      </c>
      <c r="E43" s="28" t="s">
        <v>373</v>
      </c>
      <c r="F43" s="31">
        <v>22248.5</v>
      </c>
      <c r="G43" s="29" t="s">
        <v>353</v>
      </c>
    </row>
    <row r="44" spans="2:7" x14ac:dyDescent="0.25">
      <c r="B44" s="25" t="s">
        <v>370</v>
      </c>
      <c r="C44" s="26" t="s">
        <v>350</v>
      </c>
      <c r="D44" s="27" t="s">
        <v>351</v>
      </c>
      <c r="E44" s="28" t="s">
        <v>371</v>
      </c>
      <c r="F44" s="31">
        <v>22248.5</v>
      </c>
      <c r="G44" s="29" t="s">
        <v>353</v>
      </c>
    </row>
    <row r="45" spans="2:7" x14ac:dyDescent="0.25">
      <c r="B45" s="25" t="s">
        <v>356</v>
      </c>
      <c r="C45" s="26" t="s">
        <v>350</v>
      </c>
      <c r="D45" s="27" t="s">
        <v>351</v>
      </c>
      <c r="E45" s="28" t="s">
        <v>357</v>
      </c>
      <c r="F45" s="31">
        <v>22248.5</v>
      </c>
      <c r="G45" s="29" t="s">
        <v>353</v>
      </c>
    </row>
    <row r="46" spans="2:7" x14ac:dyDescent="0.25">
      <c r="B46" s="25" t="s">
        <v>354</v>
      </c>
      <c r="C46" s="26" t="s">
        <v>350</v>
      </c>
      <c r="D46" s="27" t="s">
        <v>351</v>
      </c>
      <c r="E46" s="28" t="s">
        <v>355</v>
      </c>
      <c r="F46" s="31">
        <v>22248.5</v>
      </c>
      <c r="G46" s="29" t="s">
        <v>353</v>
      </c>
    </row>
    <row r="47" spans="2:7" x14ac:dyDescent="0.25">
      <c r="B47" s="25" t="s">
        <v>349</v>
      </c>
      <c r="C47" s="26" t="s">
        <v>350</v>
      </c>
      <c r="D47" s="27" t="s">
        <v>351</v>
      </c>
      <c r="E47" s="28" t="s">
        <v>352</v>
      </c>
      <c r="F47" s="31">
        <v>22248.5</v>
      </c>
      <c r="G47" s="29" t="s">
        <v>353</v>
      </c>
    </row>
    <row r="48" spans="2:7" x14ac:dyDescent="0.25">
      <c r="B48" s="25" t="s">
        <v>399</v>
      </c>
      <c r="C48" s="27" t="s">
        <v>400</v>
      </c>
      <c r="D48" s="27" t="s">
        <v>401</v>
      </c>
      <c r="E48" s="28" t="s">
        <v>402</v>
      </c>
      <c r="F48" s="31">
        <v>22987.5</v>
      </c>
      <c r="G48" s="32" t="s">
        <v>402</v>
      </c>
    </row>
    <row r="49" spans="2:7" x14ac:dyDescent="0.25">
      <c r="B49" s="25" t="s">
        <v>395</v>
      </c>
      <c r="C49" s="27" t="s">
        <v>396</v>
      </c>
      <c r="D49" s="27" t="s">
        <v>397</v>
      </c>
      <c r="E49" s="28" t="s">
        <v>398</v>
      </c>
      <c r="F49" s="31">
        <v>24142.5</v>
      </c>
      <c r="G49" s="32" t="s">
        <v>398</v>
      </c>
    </row>
  </sheetData>
  <sortState xmlns:xlrd2="http://schemas.microsoft.com/office/spreadsheetml/2017/richdata2" ref="B2:F49">
    <sortCondition ref="F2:F49"/>
    <sortCondition ref="E2:E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</vt:lpstr>
      <vt:lpstr>CF</vt:lpstr>
      <vt:lpstr>AROS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Hernandez Espinosa</dc:creator>
  <cp:lastModifiedBy>Héctor Hernández Espinosa</cp:lastModifiedBy>
  <dcterms:created xsi:type="dcterms:W3CDTF">2023-04-14T16:04:50Z</dcterms:created>
  <dcterms:modified xsi:type="dcterms:W3CDTF">2026-02-20T19:59:50Z</dcterms:modified>
</cp:coreProperties>
</file>